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<sst xmlns="http://schemas.openxmlformats.org/spreadsheetml/2006/main" count="8573" uniqueCount="322">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</sst>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2.0"/>
      <color rgb="FF000000"/>
      <name val="Arial"/>
    </font>
    <font>
      <b/>
      <sz val="10.0"/>
      <color rgb="FF000000"/>
      <name val="Arial"/>
    </font>
    <font>
      <i/>
      <sz val="10.0"/>
      <color rgb="FF000000"/>
      <name val="Arial"/>
    </font>
    <font>
      <color rgb="FFFF00FF"/>
      <name val="Arial"/>
    </font>
    <font>
      <b/>
      <sz val="10.0"/>
      <color rgb="FFFF9900"/>
      <name val="Arial"/>
    </font>
    <font>
      <b/>
      <sz val="10.0"/>
      <color rgb="FF9900FF"/>
      <name val="Arial"/>
    </font>
    <font>
      <b/>
      <sz val="10.0"/>
      <color rgb="FFFF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76" fillId="3" fontId="5" numFmtId="49" xfId="0" applyAlignment="1" applyBorder="1" applyFont="1" applyNumberForma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7" fillId="18" fontId="5" numFmtId="49" xfId="0" applyAlignment="1" applyBorder="1" applyFill="1" applyFont="1" applyNumberFormat="1">
      <alignment horizontal="center" vertical="center"/>
    </xf>
    <xf borderId="15" fillId="18" fontId="5" numFmtId="49" xfId="0" applyAlignment="1" applyBorder="1" applyFont="1" applyNumberFormat="1">
      <alignment horizontal="center" vertical="center"/>
    </xf>
    <xf borderId="16" fillId="18" fontId="5" numFmtId="49" xfId="0" applyAlignment="1" applyBorder="1" applyFont="1" applyNumberFormat="1">
      <alignment horizontal="center" vertical="center"/>
    </xf>
    <xf borderId="17" fillId="19" fontId="52" numFmtId="49" xfId="0" applyAlignment="1" applyBorder="1" applyFill="1" applyFont="1" applyNumberFormat="1">
      <alignment horizontal="center" vertical="center"/>
    </xf>
    <xf borderId="15" fillId="19" fontId="52" numFmtId="49" xfId="0" applyAlignment="1" applyBorder="1" applyFont="1" applyNumberFormat="1">
      <alignment horizontal="center" vertical="center"/>
    </xf>
    <xf borderId="77" fillId="3" fontId="1" numFmtId="49" xfId="0" applyAlignment="1" applyBorder="1" applyFont="1" applyNumberFormat="1">
      <alignment horizontal="center" vertical="center"/>
    </xf>
    <xf borderId="78" fillId="2" fontId="39" numFmtId="0" xfId="0" applyAlignment="1" applyBorder="1" applyFont="1">
      <alignment horizontal="left" vertical="center"/>
    </xf>
    <xf borderId="79" fillId="2" fontId="5" numFmtId="49" xfId="0" applyAlignment="1" applyBorder="1" applyFont="1" applyNumberFormat="1">
      <alignment horizontal="center" shrinkToFit="0" vertical="center" wrapText="1"/>
    </xf>
    <xf borderId="80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readingOrder="0" vertical="center"/>
    </xf>
    <xf borderId="22" fillId="3" fontId="5" numFmtId="49" xfId="0" applyAlignment="1" applyBorder="1" applyFont="1" applyNumberFormat="1">
      <alignment horizontal="center" readingOrder="0" vertical="center"/>
    </xf>
    <xf borderId="20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3" numFmtId="49" xfId="0" applyAlignment="1" applyBorder="1" applyFont="1" applyNumberFormat="1">
      <alignment horizontal="left" vertical="center"/>
    </xf>
    <xf borderId="81" fillId="0" fontId="54" numFmtId="49" xfId="0" applyAlignment="1" applyBorder="1" applyFont="1" applyNumberFormat="1">
      <alignment vertical="center"/>
    </xf>
    <xf borderId="82" fillId="4" fontId="40" numFmtId="49" xfId="0" applyAlignment="1" applyBorder="1" applyFont="1" applyNumberFormat="1">
      <alignment horizontal="center" readingOrder="0" shrinkToFit="0" wrapText="0"/>
    </xf>
    <xf borderId="56" fillId="2" fontId="40" numFmtId="49" xfId="0" applyAlignment="1" applyBorder="1" applyFont="1" applyNumberForma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83" fillId="4" fontId="40" numFmtId="49" xfId="0" applyAlignment="1" applyBorder="1" applyFont="1" applyNumberFormat="1">
      <alignment horizontal="center" readingOrder="0" shrinkToFit="0" wrapText="0"/>
    </xf>
    <xf borderId="58" fillId="19" fontId="55" numFmtId="49" xfId="0" applyAlignment="1" applyBorder="1" applyFont="1" applyNumberFormat="1">
      <alignment horizontal="center" readingOrder="0" shrinkToFit="0" wrapText="0"/>
    </xf>
    <xf borderId="56" fillId="19" fontId="55" numFmtId="49" xfId="0" applyAlignment="1" applyBorder="1" applyFont="1" applyNumberFormat="1">
      <alignment horizontal="center" readingOrder="0" shrinkToFit="0" wrapText="0"/>
    </xf>
    <xf borderId="83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vertical="center"/>
    </xf>
    <xf borderId="36" fillId="0" fontId="54" numFmtId="49" xfId="0" applyAlignment="1" applyBorder="1" applyFont="1" applyNumberFormat="1">
      <alignment vertical="center"/>
    </xf>
    <xf borderId="84" fillId="4" fontId="40" numFmtId="49" xfId="0" applyAlignment="1" applyBorder="1" applyFont="1" applyNumberFormat="1">
      <alignment horizontal="center" readingOrder="0" shrinkToFit="0" wrapText="0"/>
    </xf>
    <xf borderId="18" fillId="17" fontId="40" numFmtId="49" xfId="0" applyAlignment="1" applyBorder="1" applyFont="1" applyNumberFormat="1">
      <alignment horizontal="center" readingOrder="0" shrinkToFit="0" wrapText="0"/>
    </xf>
    <xf borderId="11" fillId="4" fontId="40" numFmtId="49" xfId="0" applyAlignment="1" applyBorder="1" applyFont="1" applyNumberFormat="1">
      <alignment horizontal="center" readingOrder="0" shrinkToFit="0" wrapText="0"/>
    </xf>
    <xf borderId="1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9" fillId="17" fontId="40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ill="1" applyFont="1" applyNumberFormat="1">
      <alignment horizontal="left" vertical="center"/>
    </xf>
    <xf borderId="18" fillId="4" fontId="40" numFmtId="49" xfId="0" applyAlignment="1" applyBorder="1" applyFont="1" applyNumberFormat="1">
      <alignment horizontal="center" readingOrder="0" shrinkToFit="0" wrapText="0"/>
    </xf>
    <xf borderId="18" fillId="20" fontId="57" numFmtId="49" xfId="0" applyAlignment="1" applyBorder="1" applyFont="1" applyNumberFormat="1">
      <alignment horizontal="left" readingOrder="0" vertical="center"/>
    </xf>
    <xf borderId="11" fillId="19" fontId="55" numFmtId="49" xfId="0" applyAlignment="1" applyBorder="1" applyFont="1" applyNumberFormat="1">
      <alignment horizontal="center" readingOrder="0" shrinkToFit="0" wrapText="0"/>
    </xf>
    <xf borderId="18" fillId="21" fontId="58" numFmtId="49" xfId="0" applyAlignment="1" applyBorder="1" applyFill="1" applyFont="1" applyNumberFormat="1">
      <alignment horizontal="left" readingOrder="0" vertical="center"/>
    </xf>
    <xf borderId="18" fillId="19" fontId="55" numFmtId="49" xfId="0" applyAlignment="1" applyBorder="1" applyFont="1" applyNumberFormat="1">
      <alignment horizontal="center" readingOrder="0" shrinkToFit="0" wrapText="0"/>
    </xf>
    <xf borderId="19" fillId="19" fontId="55" numFmtId="49" xfId="0" applyAlignment="1" applyBorder="1" applyFont="1" applyNumberFormat="1">
      <alignment horizontal="center" readingOrder="0" shrinkToFit="0" wrapText="0"/>
    </xf>
    <xf borderId="11" fillId="2" fontId="59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ont="1" applyNumberFormat="1">
      <alignment horizontal="left"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readingOrder="0" vertical="center"/>
    </xf>
    <xf borderId="18" fillId="21" fontId="57" numFmtId="49" xfId="0" applyAlignment="1" applyBorder="1" applyFont="1" applyNumberFormat="1">
      <alignment horizontal="left" readingOrder="0" vertical="center"/>
    </xf>
    <xf borderId="84" fillId="6" fontId="40" numFmtId="49" xfId="0" applyAlignment="1" applyBorder="1" applyFont="1" applyNumberFormat="1">
      <alignment horizontal="center" readingOrder="0" shrinkToFit="0" wrapText="0"/>
    </xf>
    <xf borderId="18" fillId="2" fontId="40" numFmtId="0" xfId="0" applyAlignment="1" applyBorder="1" applyFon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84" fillId="2" fontId="40" numFmtId="0" xfId="0" applyAlignment="1" applyBorder="1" applyFont="1">
      <alignment horizontal="center" readingOrder="0" shrinkToFit="0" wrapText="0"/>
    </xf>
    <xf borderId="19" fillId="2" fontId="40" numFmtId="0" xfId="0" applyAlignment="1" applyBorder="1" applyFont="1">
      <alignment horizontal="center" readingOrder="0" shrinkToFit="0" wrapText="0"/>
    </xf>
    <xf borderId="18" fillId="2" fontId="57" numFmtId="49" xfId="0" applyAlignment="1" applyBorder="1" applyFont="1" applyNumberFormat="1">
      <alignment horizontal="left" readingOrder="0" vertical="center"/>
    </xf>
    <xf borderId="18" fillId="2" fontId="60" numFmtId="49" xfId="0" applyAlignment="1" applyBorder="1" applyFont="1" applyNumberFormat="1">
      <alignment horizontal="center" readingOrder="0" shrinkToFit="0" wrapText="0"/>
    </xf>
    <xf borderId="18" fillId="2" fontId="61" numFmtId="49" xfId="0" applyAlignment="1" applyBorder="1" applyFont="1" applyNumberFormat="1">
      <alignment horizontal="left" readingOrder="0" vertical="center"/>
    </xf>
    <xf borderId="36" fillId="0" fontId="54" numFmtId="49" xfId="0" applyAlignment="1" applyBorder="1" applyFont="1" applyNumberFormat="1">
      <alignment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20" fillId="2" fontId="40" numFmtId="49" xfId="0" applyAlignment="1" applyBorder="1" applyFont="1" applyNumberFormat="1">
      <alignment horizontal="center" readingOrder="0" shrinkToFit="0" wrapText="0"/>
    </xf>
    <xf borderId="21" fillId="2" fontId="40" numFmtId="0" xfId="0" applyAlignment="1" applyBorder="1" applyFont="1">
      <alignment horizontal="center" readingOrder="0"/>
    </xf>
    <xf borderId="21" fillId="4" fontId="40" numFmtId="49" xfId="0" applyAlignment="1" applyBorder="1" applyFont="1" applyNumberForma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2" fontId="40" numFmtId="49" xfId="0" applyAlignment="1" applyBorder="1" applyFont="1" applyNumberFormat="1">
      <alignment horizontal="center" readingOrder="0" shrinkToFit="0" wrapText="0"/>
    </xf>
    <xf borderId="85" fillId="2" fontId="40" numFmtId="0" xfId="0" applyAlignment="1" applyBorder="1" applyFon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wrapText="0"/>
    </xf>
    <xf borderId="15" fillId="19" fontId="55" numFmtId="49" xfId="0" applyAlignment="1" applyBorder="1" applyFont="1" applyNumberFormat="1">
      <alignment horizontal="center" readingOrder="0" shrinkToFit="0" wrapText="0"/>
    </xf>
    <xf borderId="16" fillId="19" fontId="55" numFmtId="49" xfId="0" applyAlignment="1" applyBorder="1" applyFont="1" applyNumberFormat="1">
      <alignment horizontal="center" readingOrder="0" shrinkToFit="0" wrapText="0"/>
    </xf>
    <xf borderId="16" fillId="4" fontId="40" numFmtId="49" xfId="0" applyAlignment="1" applyBorder="1" applyFont="1" applyNumberFormat="1">
      <alignment horizontal="center" readingOrder="0" shrinkToFit="0" wrapText="0"/>
    </xf>
    <xf borderId="16" fillId="2" fontId="40" numFmtId="49" xfId="0" applyAlignment="1" applyBorder="1" applyFont="1" applyNumberFormat="1">
      <alignment horizontal="center" readingOrder="0" shrinkToFit="0" wrapText="0"/>
    </xf>
    <xf borderId="17" fillId="2" fontId="40" numFmtId="49" xfId="0" applyAlignment="1" applyBorder="1" applyFont="1" applyNumberFormat="1">
      <alignment horizontal="center" readingOrder="0" shrinkToFit="0" wrapText="0"/>
    </xf>
    <xf borderId="15" fillId="2" fontId="40" numFmtId="49" xfId="0" applyAlignment="1" applyBorder="1" applyFont="1" applyNumberFormat="1">
      <alignment horizontal="center" readingOrder="0" shrinkToFit="0" wrapText="0"/>
    </xf>
    <xf borderId="18" fillId="2" fontId="53" numFmtId="0" xfId="0" applyAlignment="1" applyBorder="1" applyFont="1">
      <alignment horizontal="left" readingOrder="0"/>
    </xf>
    <xf borderId="36" fillId="0" fontId="54" numFmtId="49" xfId="0" applyAlignment="1" applyBorder="1" applyFont="1" applyNumberFormat="1">
      <alignment horizontal="center" vertical="center"/>
    </xf>
    <xf borderId="20" fillId="21" fontId="58" numFmtId="0" xfId="0" applyAlignment="1" applyBorder="1" applyFont="1">
      <alignment horizontal="left" readingOrder="0"/>
    </xf>
    <xf borderId="86" fillId="0" fontId="54" numFmtId="49" xfId="0" applyAlignment="1" applyBorder="1" applyFont="1" applyNumberFormat="1">
      <alignment horizontal="center" vertical="center"/>
    </xf>
    <xf borderId="80" fillId="2" fontId="40" numFmtId="49" xfId="0" applyAlignment="1" applyBorder="1" applyFont="1" applyNumberFormat="1">
      <alignment horizontal="center" readingOrder="0" shrinkToFit="0" wrapText="0"/>
    </xf>
    <xf borderId="22" fillId="2" fontId="40" numFmtId="0" xfId="0" applyAlignment="1" applyBorder="1" applyFont="1">
      <alignment horizontal="center" readingOrder="0" shrinkToFit="0" wrapText="0"/>
    </xf>
    <xf borderId="20" fillId="2" fontId="40" numFmtId="0" xfId="0" applyAlignment="1" applyBorder="1" applyFon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19" fontId="55" numFmtId="49" xfId="0" applyAlignment="1" applyBorder="1" applyFont="1" applyNumberFormat="1">
      <alignment horizontal="center" readingOrder="0" shrinkToFit="0" wrapText="0"/>
    </xf>
    <xf borderId="20" fillId="19" fontId="55" numFmtId="49" xfId="0" applyAlignment="1" applyBorder="1" applyFont="1" applyNumberFormat="1">
      <alignment horizontal="center" readingOrder="0" shrinkToFit="0" wrapText="0"/>
    </xf>
    <xf borderId="87" fillId="0" fontId="10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17" fillId="21" fontId="6" numFmtId="49" xfId="0" applyAlignment="1" applyBorder="1" applyFont="1" applyNumberFormat="1">
      <alignment horizontal="center" vertical="center"/>
    </xf>
    <xf borderId="15" fillId="21" fontId="6" numFmtId="49" xfId="0" applyAlignment="1" applyBorder="1" applyFont="1" applyNumberFormat="1">
      <alignment horizontal="center" vertical="center"/>
    </xf>
    <xf borderId="16" fillId="21" fontId="6" numFmtId="49" xfId="0" applyAlignment="1" applyBorder="1" applyFont="1" applyNumberFormat="1">
      <alignment horizontal="center" vertical="center"/>
    </xf>
    <xf borderId="88" fillId="0" fontId="10" numFmtId="49" xfId="0" applyAlignment="1" applyBorder="1" applyFont="1" applyNumberFormat="1">
      <alignment horizontal="center" vertical="center"/>
    </xf>
    <xf borderId="8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9" fillId="0" fontId="31" numFmtId="49" xfId="0" applyAlignment="1" applyBorder="1" applyFont="1" applyNumberFormat="1">
      <alignment horizontal="center" readingOrder="0" vertical="center"/>
    </xf>
    <xf borderId="82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84" fillId="3" fontId="30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vertical="center"/>
    </xf>
    <xf borderId="91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8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21" fontId="50" numFmtId="0" xfId="0" applyAlignment="1" applyBorder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22" fontId="62" numFmtId="0" xfId="0" applyAlignment="1" applyFill="1" applyFont="1">
      <alignment horizontal="center"/>
    </xf>
    <xf borderId="0" fillId="23" fontId="63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9" fillId="3" fontId="9" numFmtId="49" xfId="0" applyAlignment="1" applyBorder="1" applyFont="1" applyNumberFormat="1">
      <alignment horizontal="center" shrinkToFit="0" vertical="center" wrapText="1"/>
    </xf>
    <xf borderId="8" fillId="24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2" fillId="0" fontId="3" numFmtId="0" xfId="0" applyBorder="1" applyFont="1"/>
    <xf borderId="93" fillId="24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2" numFmtId="49" xfId="0" applyAlignment="1" applyFont="1" applyNumberFormat="1">
      <alignment horizontal="center" readingOrder="0" vertical="center"/>
    </xf>
    <xf borderId="11" fillId="3" fontId="64" numFmtId="0" xfId="0" applyAlignment="1" applyBorder="1" applyFont="1">
      <alignment horizontal="center" vertical="center"/>
    </xf>
    <xf borderId="11" fillId="2" fontId="6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4" numFmtId="0" xfId="0" applyAlignment="1" applyBorder="1" applyFont="1">
      <alignment horizontal="center" vertical="center"/>
    </xf>
    <xf borderId="11" fillId="2" fontId="66" numFmtId="0" xfId="0" applyAlignment="1" applyBorder="1" applyFont="1">
      <alignment horizontal="center" readingOrder="0" vertical="center"/>
    </xf>
    <xf borderId="11" fillId="2" fontId="66" numFmtId="49" xfId="0" applyAlignment="1" applyBorder="1" applyFont="1" applyNumberFormat="1">
      <alignment horizontal="center" vertical="center"/>
    </xf>
    <xf borderId="11" fillId="2" fontId="66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readingOrder="0" vertical="center"/>
    </xf>
    <xf borderId="0" fillId="2" fontId="52" numFmtId="49" xfId="0" applyAlignment="1" applyFont="1" applyNumberFormat="1">
      <alignment horizontal="center" readingOrder="0" vertical="center"/>
    </xf>
    <xf borderId="11" fillId="2" fontId="6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8" numFmtId="49" xfId="0" applyAlignment="1" applyBorder="1" applyFont="1" applyNumberFormat="1">
      <alignment horizontal="center" vertical="center"/>
    </xf>
    <xf borderId="11" fillId="0" fontId="64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229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3</v>
      </c>
      <c r="AM9" s="51">
        <f t="shared" si="7"/>
        <v>0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228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5</v>
      </c>
      <c r="AL19" s="228">
        <f t="shared" si="6"/>
        <v>3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230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6</v>
      </c>
      <c r="AM20" s="51">
        <f t="shared" si="7"/>
        <v>6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227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3</v>
      </c>
      <c r="AJ30" s="48">
        <f t="shared" si="4"/>
        <v>2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229</v>
      </c>
      <c r="AC41" s="252" t="s">
        <v>226</v>
      </c>
      <c r="AD41" s="222" t="s">
        <v>226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8</v>
      </c>
      <c r="AJ41" s="48">
        <f t="shared" si="4"/>
        <v>0</v>
      </c>
      <c r="AK41" s="227">
        <f t="shared" si="5"/>
        <v>6</v>
      </c>
      <c r="AL41" s="228">
        <f t="shared" si="6"/>
        <v>5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 t="str">
        <f>IFERROR(__xludf.DUMMYFUNCTION("AI(""Fill an appropriate value for this cell based on the table context"")"),"Prepared by: MIN")</f>
        <v>Prepared by: MIN</v>
      </c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185" t="s">
        <v>11</v>
      </c>
      <c r="E3" s="186" t="s">
        <v>12</v>
      </c>
      <c r="F3" s="186" t="s">
        <v>13</v>
      </c>
      <c r="G3" s="186" t="s">
        <v>7</v>
      </c>
      <c r="H3" s="186" t="s">
        <v>8</v>
      </c>
      <c r="I3" s="186" t="s">
        <v>9</v>
      </c>
      <c r="J3" s="187" t="s">
        <v>10</v>
      </c>
      <c r="K3" s="185" t="s">
        <v>11</v>
      </c>
      <c r="L3" s="186" t="s">
        <v>12</v>
      </c>
      <c r="M3" s="186" t="s">
        <v>13</v>
      </c>
      <c r="N3" s="186" t="s">
        <v>7</v>
      </c>
      <c r="O3" s="186" t="s">
        <v>8</v>
      </c>
      <c r="P3" s="186" t="s">
        <v>9</v>
      </c>
      <c r="Q3" s="187" t="s">
        <v>10</v>
      </c>
      <c r="R3" s="185" t="s">
        <v>11</v>
      </c>
      <c r="S3" s="186" t="s">
        <v>12</v>
      </c>
      <c r="T3" s="186" t="s">
        <v>13</v>
      </c>
      <c r="U3" s="186" t="s">
        <v>7</v>
      </c>
      <c r="V3" s="186" t="s">
        <v>8</v>
      </c>
      <c r="W3" s="321" t="s">
        <v>9</v>
      </c>
      <c r="X3" s="322" t="s">
        <v>10</v>
      </c>
      <c r="Y3" s="323" t="s">
        <v>11</v>
      </c>
      <c r="Z3" s="324" t="s">
        <v>12</v>
      </c>
      <c r="AA3" s="186" t="s">
        <v>13</v>
      </c>
      <c r="AB3" s="186" t="s">
        <v>7</v>
      </c>
      <c r="AC3" s="186" t="s">
        <v>8</v>
      </c>
      <c r="AD3" s="186" t="s">
        <v>9</v>
      </c>
      <c r="AE3" s="325" t="s">
        <v>10</v>
      </c>
      <c r="AF3" s="326" t="s">
        <v>11</v>
      </c>
      <c r="AG3" s="325" t="s">
        <v>12</v>
      </c>
      <c r="AH3" s="327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8"/>
      <c r="B4" s="329"/>
      <c r="C4" s="330" t="s">
        <v>14</v>
      </c>
      <c r="D4" s="331" t="s">
        <v>15</v>
      </c>
      <c r="E4" s="332" t="s">
        <v>16</v>
      </c>
      <c r="F4" s="332" t="s">
        <v>224</v>
      </c>
      <c r="G4" s="332" t="s">
        <v>225</v>
      </c>
      <c r="H4" s="333" t="s">
        <v>279</v>
      </c>
      <c r="I4" s="333" t="s">
        <v>17</v>
      </c>
      <c r="J4" s="334" t="s">
        <v>18</v>
      </c>
      <c r="K4" s="335" t="s">
        <v>19</v>
      </c>
      <c r="L4" s="333" t="s">
        <v>20</v>
      </c>
      <c r="M4" s="333" t="s">
        <v>21</v>
      </c>
      <c r="N4" s="333" t="s">
        <v>22</v>
      </c>
      <c r="O4" s="333" t="s">
        <v>23</v>
      </c>
      <c r="P4" s="333" t="s">
        <v>24</v>
      </c>
      <c r="Q4" s="334" t="s">
        <v>25</v>
      </c>
      <c r="R4" s="335" t="s">
        <v>26</v>
      </c>
      <c r="S4" s="333" t="s">
        <v>27</v>
      </c>
      <c r="T4" s="333" t="s">
        <v>28</v>
      </c>
      <c r="U4" s="333" t="s">
        <v>29</v>
      </c>
      <c r="V4" s="333" t="s">
        <v>30</v>
      </c>
      <c r="W4" s="333" t="s">
        <v>31</v>
      </c>
      <c r="X4" s="334" t="s">
        <v>32</v>
      </c>
      <c r="Y4" s="335" t="s">
        <v>33</v>
      </c>
      <c r="Z4" s="333" t="s">
        <v>34</v>
      </c>
      <c r="AA4" s="333" t="s">
        <v>35</v>
      </c>
      <c r="AB4" s="333" t="s">
        <v>36</v>
      </c>
      <c r="AC4" s="333" t="s">
        <v>37</v>
      </c>
      <c r="AD4" s="333" t="s">
        <v>38</v>
      </c>
      <c r="AE4" s="334" t="s">
        <v>39</v>
      </c>
      <c r="AF4" s="335" t="s">
        <v>40</v>
      </c>
      <c r="AG4" s="334" t="s">
        <v>41</v>
      </c>
      <c r="AH4" s="336"/>
      <c r="AI4" s="337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2.75" customHeight="1">
      <c r="A5" s="338" t="s">
        <v>232</v>
      </c>
      <c r="B5" s="339" t="s">
        <v>53</v>
      </c>
      <c r="C5" s="340" t="s">
        <v>47</v>
      </c>
      <c r="D5" s="215" t="s">
        <v>230</v>
      </c>
      <c r="E5" s="341" t="s">
        <v>229</v>
      </c>
      <c r="F5" s="341" t="s">
        <v>229</v>
      </c>
      <c r="G5" s="341" t="s">
        <v>228</v>
      </c>
      <c r="H5" s="341" t="s">
        <v>226</v>
      </c>
      <c r="I5" s="342" t="s">
        <v>47</v>
      </c>
      <c r="J5" s="343" t="s">
        <v>47</v>
      </c>
      <c r="K5" s="215" t="s">
        <v>229</v>
      </c>
      <c r="L5" s="341" t="s">
        <v>229</v>
      </c>
      <c r="M5" s="341" t="s">
        <v>228</v>
      </c>
      <c r="N5" s="341" t="s">
        <v>228</v>
      </c>
      <c r="O5" s="341" t="s">
        <v>226</v>
      </c>
      <c r="P5" s="342" t="s">
        <v>47</v>
      </c>
      <c r="Q5" s="343" t="s">
        <v>47</v>
      </c>
      <c r="R5" s="215" t="s">
        <v>230</v>
      </c>
      <c r="S5" s="341" t="s">
        <v>228</v>
      </c>
      <c r="T5" s="341" t="s">
        <v>228</v>
      </c>
      <c r="U5" s="341" t="s">
        <v>226</v>
      </c>
      <c r="V5" s="223" t="s">
        <v>231</v>
      </c>
      <c r="W5" s="342" t="s">
        <v>47</v>
      </c>
      <c r="X5" s="343" t="s">
        <v>47</v>
      </c>
      <c r="Y5" s="344" t="s">
        <v>231</v>
      </c>
      <c r="Z5" s="345" t="s">
        <v>231</v>
      </c>
      <c r="AA5" s="342" t="s">
        <v>47</v>
      </c>
      <c r="AB5" s="341" t="s">
        <v>227</v>
      </c>
      <c r="AC5" s="341" t="s">
        <v>227</v>
      </c>
      <c r="AD5" s="342" t="s">
        <v>47</v>
      </c>
      <c r="AE5" s="346" t="s">
        <v>230</v>
      </c>
      <c r="AF5" s="215" t="s">
        <v>229</v>
      </c>
      <c r="AG5" s="346" t="s">
        <v>229</v>
      </c>
      <c r="AH5" s="25"/>
      <c r="AI5" s="225">
        <f t="shared" ref="AI5:AI31" si="2">SUM(AJ5:AK5)</f>
        <v>5</v>
      </c>
      <c r="AJ5" s="226">
        <f t="shared" ref="AJ5:AJ45" si="3">COUNTIF($C5:$AG5,"D5")</f>
        <v>3</v>
      </c>
      <c r="AK5" s="48">
        <f t="shared" ref="AK5:AK45" si="4">COUNTIF($C5:$AG5,"C6")</f>
        <v>2</v>
      </c>
      <c r="AL5" s="227">
        <f t="shared" ref="AL5:AL45" si="5">COUNTIF($C5:$AG5,"B5")</f>
        <v>5</v>
      </c>
      <c r="AM5" s="228">
        <f t="shared" ref="AM5:AM45" si="6">COUNTIF($C5:$AG5,"A8")</f>
        <v>6</v>
      </c>
      <c r="AN5" s="51">
        <f t="shared" ref="AN5:AN45" si="7">COUNTIF($C5:$AG5,"A2")</f>
        <v>3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2.75" customHeight="1">
      <c r="A6" s="347" t="s">
        <v>233</v>
      </c>
      <c r="B6" s="348" t="s">
        <v>56</v>
      </c>
      <c r="C6" s="349" t="s">
        <v>47</v>
      </c>
      <c r="D6" s="350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351" t="s">
        <v>47</v>
      </c>
      <c r="J6" s="352" t="s">
        <v>47</v>
      </c>
      <c r="K6" s="251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351" t="s">
        <v>47</v>
      </c>
      <c r="Q6" s="352" t="s">
        <v>47</v>
      </c>
      <c r="R6" s="251" t="s">
        <v>231</v>
      </c>
      <c r="S6" s="239" t="s">
        <v>231</v>
      </c>
      <c r="T6" s="351" t="s">
        <v>47</v>
      </c>
      <c r="U6" s="353" t="s">
        <v>227</v>
      </c>
      <c r="V6" s="353" t="s">
        <v>226</v>
      </c>
      <c r="W6" s="351" t="s">
        <v>47</v>
      </c>
      <c r="X6" s="354" t="s">
        <v>228</v>
      </c>
      <c r="Y6" s="218" t="s">
        <v>228</v>
      </c>
      <c r="Z6" s="353" t="s">
        <v>228</v>
      </c>
      <c r="AA6" s="353" t="s">
        <v>226</v>
      </c>
      <c r="AB6" s="351" t="s">
        <v>47</v>
      </c>
      <c r="AC6" s="353" t="s">
        <v>226</v>
      </c>
      <c r="AD6" s="351" t="s">
        <v>47</v>
      </c>
      <c r="AE6" s="354" t="s">
        <v>230</v>
      </c>
      <c r="AF6" s="218" t="s">
        <v>230</v>
      </c>
      <c r="AG6" s="355" t="s">
        <v>230</v>
      </c>
      <c r="AH6" s="25"/>
      <c r="AI6" s="225">
        <f t="shared" si="2"/>
        <v>4</v>
      </c>
      <c r="AJ6" s="226">
        <f t="shared" si="3"/>
        <v>3</v>
      </c>
      <c r="AK6" s="48">
        <f t="shared" si="4"/>
        <v>1</v>
      </c>
      <c r="AL6" s="227">
        <f t="shared" si="5"/>
        <v>3</v>
      </c>
      <c r="AM6" s="228">
        <f t="shared" si="6"/>
        <v>0</v>
      </c>
      <c r="AN6" s="51">
        <f t="shared" si="7"/>
        <v>4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2.75" customHeight="1">
      <c r="A7" s="356" t="s">
        <v>234</v>
      </c>
      <c r="B7" s="348" t="s">
        <v>59</v>
      </c>
      <c r="C7" s="349" t="s">
        <v>47</v>
      </c>
      <c r="D7" s="357" t="s">
        <v>47</v>
      </c>
      <c r="E7" s="353" t="s">
        <v>230</v>
      </c>
      <c r="F7" s="353" t="s">
        <v>230</v>
      </c>
      <c r="G7" s="353" t="s">
        <v>226</v>
      </c>
      <c r="H7" s="353" t="s">
        <v>226</v>
      </c>
      <c r="I7" s="353" t="s">
        <v>226</v>
      </c>
      <c r="J7" s="352" t="s">
        <v>47</v>
      </c>
      <c r="K7" s="357" t="s">
        <v>47</v>
      </c>
      <c r="L7" s="353" t="s">
        <v>230</v>
      </c>
      <c r="M7" s="353" t="s">
        <v>230</v>
      </c>
      <c r="N7" s="353" t="s">
        <v>226</v>
      </c>
      <c r="O7" s="353" t="s">
        <v>226</v>
      </c>
      <c r="P7" s="353" t="s">
        <v>226</v>
      </c>
      <c r="Q7" s="352" t="s">
        <v>47</v>
      </c>
      <c r="R7" s="357" t="s">
        <v>47</v>
      </c>
      <c r="S7" s="353" t="s">
        <v>230</v>
      </c>
      <c r="T7" s="353" t="s">
        <v>230</v>
      </c>
      <c r="U7" s="353" t="s">
        <v>230</v>
      </c>
      <c r="V7" s="353" t="s">
        <v>226</v>
      </c>
      <c r="W7" s="345" t="s">
        <v>231</v>
      </c>
      <c r="X7" s="352" t="s">
        <v>47</v>
      </c>
      <c r="Y7" s="357" t="s">
        <v>47</v>
      </c>
      <c r="Z7" s="345" t="s">
        <v>231</v>
      </c>
      <c r="AA7" s="353" t="s">
        <v>230</v>
      </c>
      <c r="AB7" s="353" t="s">
        <v>226</v>
      </c>
      <c r="AC7" s="353" t="s">
        <v>226</v>
      </c>
      <c r="AD7" s="353" t="s">
        <v>226</v>
      </c>
      <c r="AE7" s="357" t="s">
        <v>47</v>
      </c>
      <c r="AF7" s="357" t="s">
        <v>47</v>
      </c>
      <c r="AG7" s="354" t="s">
        <v>230</v>
      </c>
      <c r="AH7" s="25"/>
      <c r="AI7" s="225">
        <f t="shared" si="2"/>
        <v>10</v>
      </c>
      <c r="AJ7" s="226">
        <f t="shared" si="3"/>
        <v>10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9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2.75" customHeight="1">
      <c r="A8" s="358" t="s">
        <v>280</v>
      </c>
      <c r="B8" s="348" t="s">
        <v>65</v>
      </c>
      <c r="C8" s="349" t="s">
        <v>47</v>
      </c>
      <c r="D8" s="251" t="s">
        <v>231</v>
      </c>
      <c r="E8" s="239" t="s">
        <v>231</v>
      </c>
      <c r="F8" s="239" t="s">
        <v>231</v>
      </c>
      <c r="G8" s="239" t="s">
        <v>231</v>
      </c>
      <c r="H8" s="353" t="s">
        <v>228</v>
      </c>
      <c r="I8" s="351" t="s">
        <v>47</v>
      </c>
      <c r="J8" s="352" t="s">
        <v>47</v>
      </c>
      <c r="K8" s="251" t="s">
        <v>231</v>
      </c>
      <c r="L8" s="239" t="s">
        <v>231</v>
      </c>
      <c r="M8" s="353" t="s">
        <v>228</v>
      </c>
      <c r="N8" s="353" t="s">
        <v>227</v>
      </c>
      <c r="O8" s="353" t="s">
        <v>227</v>
      </c>
      <c r="P8" s="351" t="s">
        <v>47</v>
      </c>
      <c r="Q8" s="352" t="s">
        <v>47</v>
      </c>
      <c r="R8" s="218" t="s">
        <v>230</v>
      </c>
      <c r="S8" s="353" t="s">
        <v>228</v>
      </c>
      <c r="T8" s="353" t="s">
        <v>228</v>
      </c>
      <c r="U8" s="353" t="s">
        <v>228</v>
      </c>
      <c r="V8" s="353" t="s">
        <v>226</v>
      </c>
      <c r="W8" s="351" t="s">
        <v>47</v>
      </c>
      <c r="X8" s="352" t="s">
        <v>47</v>
      </c>
      <c r="Y8" s="357" t="s">
        <v>47</v>
      </c>
      <c r="Z8" s="359" t="s">
        <v>231</v>
      </c>
      <c r="AA8" s="353" t="s">
        <v>229</v>
      </c>
      <c r="AB8" s="353" t="s">
        <v>226</v>
      </c>
      <c r="AC8" s="353" t="s">
        <v>226</v>
      </c>
      <c r="AD8" s="351" t="s">
        <v>47</v>
      </c>
      <c r="AE8" s="354" t="s">
        <v>228</v>
      </c>
      <c r="AF8" s="218" t="s">
        <v>228</v>
      </c>
      <c r="AG8" s="354" t="s">
        <v>228</v>
      </c>
      <c r="AH8" s="25"/>
      <c r="AI8" s="225">
        <f t="shared" si="2"/>
        <v>5</v>
      </c>
      <c r="AJ8" s="226">
        <f t="shared" si="3"/>
        <v>3</v>
      </c>
      <c r="AK8" s="48">
        <f t="shared" si="4"/>
        <v>2</v>
      </c>
      <c r="AL8" s="227">
        <f t="shared" si="5"/>
        <v>8</v>
      </c>
      <c r="AM8" s="228">
        <f t="shared" si="6"/>
        <v>1</v>
      </c>
      <c r="AN8" s="51">
        <f t="shared" si="7"/>
        <v>1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2.75" customHeight="1">
      <c r="A9" s="360" t="s">
        <v>281</v>
      </c>
      <c r="B9" s="348" t="s">
        <v>68</v>
      </c>
      <c r="C9" s="349" t="s">
        <v>47</v>
      </c>
      <c r="D9" s="357" t="s">
        <v>47</v>
      </c>
      <c r="E9" s="353" t="s">
        <v>229</v>
      </c>
      <c r="F9" s="239" t="s">
        <v>231</v>
      </c>
      <c r="G9" s="353" t="s">
        <v>230</v>
      </c>
      <c r="H9" s="353" t="s">
        <v>228</v>
      </c>
      <c r="I9" s="353" t="s">
        <v>226</v>
      </c>
      <c r="J9" s="352" t="s">
        <v>47</v>
      </c>
      <c r="K9" s="357" t="s">
        <v>47</v>
      </c>
      <c r="L9" s="353" t="s">
        <v>230</v>
      </c>
      <c r="M9" s="353" t="s">
        <v>230</v>
      </c>
      <c r="N9" s="353" t="s">
        <v>229</v>
      </c>
      <c r="O9" s="353" t="s">
        <v>228</v>
      </c>
      <c r="P9" s="353" t="s">
        <v>227</v>
      </c>
      <c r="Q9" s="352" t="s">
        <v>47</v>
      </c>
      <c r="R9" s="357" t="s">
        <v>47</v>
      </c>
      <c r="S9" s="353" t="s">
        <v>230</v>
      </c>
      <c r="T9" s="353" t="s">
        <v>228</v>
      </c>
      <c r="U9" s="353" t="s">
        <v>228</v>
      </c>
      <c r="V9" s="353" t="s">
        <v>227</v>
      </c>
      <c r="W9" s="345" t="s">
        <v>231</v>
      </c>
      <c r="X9" s="352" t="s">
        <v>47</v>
      </c>
      <c r="Y9" s="357" t="s">
        <v>47</v>
      </c>
      <c r="Z9" s="359" t="s">
        <v>231</v>
      </c>
      <c r="AA9" s="351" t="s">
        <v>47</v>
      </c>
      <c r="AB9" s="239" t="s">
        <v>231</v>
      </c>
      <c r="AC9" s="239" t="s">
        <v>231</v>
      </c>
      <c r="AD9" s="353" t="s">
        <v>226</v>
      </c>
      <c r="AE9" s="353" t="s">
        <v>226</v>
      </c>
      <c r="AF9" s="357" t="s">
        <v>47</v>
      </c>
      <c r="AG9" s="354" t="s">
        <v>230</v>
      </c>
      <c r="AH9" s="25"/>
      <c r="AI9" s="225">
        <f t="shared" si="2"/>
        <v>5</v>
      </c>
      <c r="AJ9" s="226">
        <f t="shared" si="3"/>
        <v>3</v>
      </c>
      <c r="AK9" s="48">
        <f t="shared" si="4"/>
        <v>2</v>
      </c>
      <c r="AL9" s="227">
        <f t="shared" si="5"/>
        <v>4</v>
      </c>
      <c r="AM9" s="228">
        <f t="shared" si="6"/>
        <v>2</v>
      </c>
      <c r="AN9" s="51">
        <f t="shared" si="7"/>
        <v>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2.75" customHeight="1">
      <c r="A10" s="360" t="s">
        <v>282</v>
      </c>
      <c r="B10" s="348" t="s">
        <v>71</v>
      </c>
      <c r="C10" s="349" t="s">
        <v>47</v>
      </c>
      <c r="D10" s="218" t="s">
        <v>230</v>
      </c>
      <c r="E10" s="353" t="s">
        <v>230</v>
      </c>
      <c r="F10" s="353" t="s">
        <v>229</v>
      </c>
      <c r="G10" s="353" t="s">
        <v>227</v>
      </c>
      <c r="H10" s="353" t="s">
        <v>227</v>
      </c>
      <c r="I10" s="351" t="s">
        <v>47</v>
      </c>
      <c r="J10" s="352" t="s">
        <v>47</v>
      </c>
      <c r="K10" s="251" t="s">
        <v>231</v>
      </c>
      <c r="L10" s="353" t="s">
        <v>229</v>
      </c>
      <c r="M10" s="353" t="s">
        <v>229</v>
      </c>
      <c r="N10" s="353" t="s">
        <v>228</v>
      </c>
      <c r="O10" s="353" t="s">
        <v>227</v>
      </c>
      <c r="P10" s="351" t="s">
        <v>47</v>
      </c>
      <c r="Q10" s="352" t="s">
        <v>47</v>
      </c>
      <c r="R10" s="218" t="s">
        <v>230</v>
      </c>
      <c r="S10" s="353" t="s">
        <v>230</v>
      </c>
      <c r="T10" s="353" t="s">
        <v>229</v>
      </c>
      <c r="U10" s="353" t="s">
        <v>229</v>
      </c>
      <c r="V10" s="353" t="s">
        <v>226</v>
      </c>
      <c r="W10" s="351" t="s">
        <v>47</v>
      </c>
      <c r="X10" s="352" t="s">
        <v>47</v>
      </c>
      <c r="Y10" s="218" t="s">
        <v>230</v>
      </c>
      <c r="Z10" s="353" t="s">
        <v>230</v>
      </c>
      <c r="AA10" s="353" t="s">
        <v>228</v>
      </c>
      <c r="AB10" s="353" t="s">
        <v>226</v>
      </c>
      <c r="AC10" s="353" t="s">
        <v>226</v>
      </c>
      <c r="AD10" s="351" t="s">
        <v>47</v>
      </c>
      <c r="AE10" s="352" t="s">
        <v>47</v>
      </c>
      <c r="AF10" s="361" t="s">
        <v>231</v>
      </c>
      <c r="AG10" s="362" t="s">
        <v>231</v>
      </c>
      <c r="AH10" s="25"/>
      <c r="AI10" s="225">
        <f t="shared" si="2"/>
        <v>6</v>
      </c>
      <c r="AJ10" s="226">
        <f t="shared" si="3"/>
        <v>3</v>
      </c>
      <c r="AK10" s="48">
        <f t="shared" si="4"/>
        <v>3</v>
      </c>
      <c r="AL10" s="227">
        <f t="shared" si="5"/>
        <v>2</v>
      </c>
      <c r="AM10" s="228">
        <f t="shared" si="6"/>
        <v>5</v>
      </c>
      <c r="AN10" s="51">
        <f t="shared" si="7"/>
        <v>6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2.75" customHeight="1">
      <c r="A11" s="360" t="s">
        <v>283</v>
      </c>
      <c r="B11" s="348" t="s">
        <v>74</v>
      </c>
      <c r="C11" s="349" t="s">
        <v>47</v>
      </c>
      <c r="D11" s="357" t="s">
        <v>47</v>
      </c>
      <c r="E11" s="353" t="s">
        <v>230</v>
      </c>
      <c r="F11" s="353" t="s">
        <v>230</v>
      </c>
      <c r="G11" s="353" t="s">
        <v>226</v>
      </c>
      <c r="H11" s="353" t="s">
        <v>226</v>
      </c>
      <c r="I11" s="353" t="s">
        <v>226</v>
      </c>
      <c r="J11" s="352" t="s">
        <v>47</v>
      </c>
      <c r="K11" s="357" t="s">
        <v>47</v>
      </c>
      <c r="L11" s="353" t="s">
        <v>230</v>
      </c>
      <c r="M11" s="353" t="s">
        <v>230</v>
      </c>
      <c r="N11" s="353" t="s">
        <v>230</v>
      </c>
      <c r="O11" s="353" t="s">
        <v>226</v>
      </c>
      <c r="P11" s="353" t="s">
        <v>226</v>
      </c>
      <c r="Q11" s="352" t="s">
        <v>47</v>
      </c>
      <c r="R11" s="357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352" t="s">
        <v>47</v>
      </c>
      <c r="Y11" s="357" t="s">
        <v>47</v>
      </c>
      <c r="Z11" s="353" t="s">
        <v>230</v>
      </c>
      <c r="AA11" s="353" t="s">
        <v>230</v>
      </c>
      <c r="AB11" s="353" t="s">
        <v>230</v>
      </c>
      <c r="AC11" s="353" t="s">
        <v>230</v>
      </c>
      <c r="AD11" s="363" t="s">
        <v>230</v>
      </c>
      <c r="AE11" s="352" t="s">
        <v>47</v>
      </c>
      <c r="AF11" s="357" t="s">
        <v>47</v>
      </c>
      <c r="AG11" s="362" t="s">
        <v>231</v>
      </c>
      <c r="AH11" s="25"/>
      <c r="AI11" s="225">
        <f t="shared" si="2"/>
        <v>5</v>
      </c>
      <c r="AJ11" s="226">
        <f t="shared" si="3"/>
        <v>5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10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2.75" customHeight="1">
      <c r="A12" s="364" t="s">
        <v>284</v>
      </c>
      <c r="B12" s="348" t="s">
        <v>77</v>
      </c>
      <c r="C12" s="349" t="s">
        <v>47</v>
      </c>
      <c r="D12" s="218" t="s">
        <v>230</v>
      </c>
      <c r="E12" s="353" t="s">
        <v>228</v>
      </c>
      <c r="F12" s="353" t="s">
        <v>228</v>
      </c>
      <c r="G12" s="353" t="s">
        <v>228</v>
      </c>
      <c r="H12" s="239" t="s">
        <v>231</v>
      </c>
      <c r="I12" s="351" t="s">
        <v>47</v>
      </c>
      <c r="J12" s="352" t="s">
        <v>47</v>
      </c>
      <c r="K12" s="218" t="s">
        <v>230</v>
      </c>
      <c r="L12" s="353" t="s">
        <v>229</v>
      </c>
      <c r="M12" s="353" t="s">
        <v>229</v>
      </c>
      <c r="N12" s="353" t="s">
        <v>228</v>
      </c>
      <c r="O12" s="353" t="s">
        <v>226</v>
      </c>
      <c r="P12" s="351" t="s">
        <v>47</v>
      </c>
      <c r="Q12" s="352" t="s">
        <v>47</v>
      </c>
      <c r="R12" s="218" t="s">
        <v>230</v>
      </c>
      <c r="S12" s="353" t="s">
        <v>229</v>
      </c>
      <c r="T12" s="353" t="s">
        <v>226</v>
      </c>
      <c r="U12" s="353" t="s">
        <v>227</v>
      </c>
      <c r="V12" s="239" t="s">
        <v>231</v>
      </c>
      <c r="W12" s="351" t="s">
        <v>47</v>
      </c>
      <c r="X12" s="352" t="s">
        <v>47</v>
      </c>
      <c r="Y12" s="361" t="s">
        <v>231</v>
      </c>
      <c r="Z12" s="359" t="s">
        <v>231</v>
      </c>
      <c r="AA12" s="353" t="s">
        <v>227</v>
      </c>
      <c r="AB12" s="353" t="s">
        <v>226</v>
      </c>
      <c r="AC12" s="239" t="s">
        <v>231</v>
      </c>
      <c r="AD12" s="351" t="s">
        <v>47</v>
      </c>
      <c r="AE12" s="352" t="s">
        <v>47</v>
      </c>
      <c r="AF12" s="218" t="s">
        <v>230</v>
      </c>
      <c r="AG12" s="354" t="s">
        <v>229</v>
      </c>
      <c r="AH12" s="25"/>
      <c r="AI12" s="225">
        <f t="shared" si="2"/>
        <v>5</v>
      </c>
      <c r="AJ12" s="226">
        <f t="shared" si="3"/>
        <v>3</v>
      </c>
      <c r="AK12" s="48">
        <f t="shared" si="4"/>
        <v>2</v>
      </c>
      <c r="AL12" s="227">
        <f t="shared" si="5"/>
        <v>4</v>
      </c>
      <c r="AM12" s="228">
        <f t="shared" si="6"/>
        <v>4</v>
      </c>
      <c r="AN12" s="51">
        <f t="shared" si="7"/>
        <v>4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2.75" customHeight="1">
      <c r="A13" s="364" t="s">
        <v>285</v>
      </c>
      <c r="B13" s="348" t="s">
        <v>80</v>
      </c>
      <c r="C13" s="349" t="s">
        <v>47</v>
      </c>
      <c r="D13" s="357" t="s">
        <v>47</v>
      </c>
      <c r="E13" s="353" t="s">
        <v>230</v>
      </c>
      <c r="F13" s="353" t="s">
        <v>230</v>
      </c>
      <c r="G13" s="353" t="s">
        <v>228</v>
      </c>
      <c r="H13" s="353" t="s">
        <v>226</v>
      </c>
      <c r="I13" s="353" t="s">
        <v>226</v>
      </c>
      <c r="J13" s="352" t="s">
        <v>47</v>
      </c>
      <c r="K13" s="357" t="s">
        <v>47</v>
      </c>
      <c r="L13" s="353" t="s">
        <v>230</v>
      </c>
      <c r="M13" s="353" t="s">
        <v>230</v>
      </c>
      <c r="N13" s="353" t="s">
        <v>230</v>
      </c>
      <c r="O13" s="353" t="s">
        <v>227</v>
      </c>
      <c r="P13" s="353" t="s">
        <v>226</v>
      </c>
      <c r="Q13" s="352" t="s">
        <v>47</v>
      </c>
      <c r="R13" s="357" t="s">
        <v>47</v>
      </c>
      <c r="S13" s="353" t="s">
        <v>229</v>
      </c>
      <c r="T13" s="353" t="s">
        <v>229</v>
      </c>
      <c r="U13" s="353" t="s">
        <v>228</v>
      </c>
      <c r="V13" s="353" t="s">
        <v>228</v>
      </c>
      <c r="W13" s="363" t="s">
        <v>228</v>
      </c>
      <c r="X13" s="352" t="s">
        <v>47</v>
      </c>
      <c r="Y13" s="357" t="s">
        <v>47</v>
      </c>
      <c r="Z13" s="359" t="s">
        <v>231</v>
      </c>
      <c r="AA13" s="353" t="s">
        <v>230</v>
      </c>
      <c r="AB13" s="353" t="s">
        <v>228</v>
      </c>
      <c r="AC13" s="353" t="s">
        <v>227</v>
      </c>
      <c r="AD13" s="353" t="s">
        <v>226</v>
      </c>
      <c r="AE13" s="352" t="s">
        <v>47</v>
      </c>
      <c r="AF13" s="218" t="s">
        <v>230</v>
      </c>
      <c r="AG13" s="354" t="s">
        <v>230</v>
      </c>
      <c r="AH13" s="25"/>
      <c r="AI13" s="225">
        <f t="shared" si="2"/>
        <v>6</v>
      </c>
      <c r="AJ13" s="226">
        <f t="shared" si="3"/>
        <v>4</v>
      </c>
      <c r="AK13" s="48">
        <f t="shared" si="4"/>
        <v>2</v>
      </c>
      <c r="AL13" s="227">
        <f t="shared" si="5"/>
        <v>5</v>
      </c>
      <c r="AM13" s="228">
        <f t="shared" si="6"/>
        <v>2</v>
      </c>
      <c r="AN13" s="51">
        <f t="shared" si="7"/>
        <v>8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2.75" customHeight="1">
      <c r="A14" s="360" t="s">
        <v>286</v>
      </c>
      <c r="B14" s="348" t="s">
        <v>83</v>
      </c>
      <c r="C14" s="365" t="s">
        <v>227</v>
      </c>
      <c r="D14" s="357" t="s">
        <v>47</v>
      </c>
      <c r="E14" s="351" t="s">
        <v>47</v>
      </c>
      <c r="F14" s="353" t="s">
        <v>228</v>
      </c>
      <c r="G14" s="353" t="s">
        <v>228</v>
      </c>
      <c r="H14" s="353" t="s">
        <v>227</v>
      </c>
      <c r="I14" s="353" t="s">
        <v>226</v>
      </c>
      <c r="J14" s="354" t="s">
        <v>226</v>
      </c>
      <c r="K14" s="357" t="s">
        <v>47</v>
      </c>
      <c r="L14" s="351" t="s">
        <v>47</v>
      </c>
      <c r="M14" s="353" t="s">
        <v>228</v>
      </c>
      <c r="N14" s="353" t="s">
        <v>228</v>
      </c>
      <c r="O14" s="353" t="s">
        <v>228</v>
      </c>
      <c r="P14" s="366" t="s">
        <v>226</v>
      </c>
      <c r="Q14" s="245" t="s">
        <v>231</v>
      </c>
      <c r="R14" s="357" t="s">
        <v>47</v>
      </c>
      <c r="S14" s="351" t="s">
        <v>47</v>
      </c>
      <c r="T14" s="239" t="s">
        <v>231</v>
      </c>
      <c r="U14" s="353" t="s">
        <v>228</v>
      </c>
      <c r="V14" s="353" t="s">
        <v>228</v>
      </c>
      <c r="W14" s="363" t="s">
        <v>228</v>
      </c>
      <c r="X14" s="362" t="s">
        <v>231</v>
      </c>
      <c r="Y14" s="357" t="s">
        <v>47</v>
      </c>
      <c r="Z14" s="351" t="s">
        <v>47</v>
      </c>
      <c r="AA14" s="353" t="s">
        <v>228</v>
      </c>
      <c r="AB14" s="353" t="s">
        <v>228</v>
      </c>
      <c r="AC14" s="353" t="s">
        <v>227</v>
      </c>
      <c r="AD14" s="353" t="s">
        <v>226</v>
      </c>
      <c r="AE14" s="354" t="s">
        <v>226</v>
      </c>
      <c r="AF14" s="218" t="s">
        <v>226</v>
      </c>
      <c r="AG14" s="352" t="s">
        <v>47</v>
      </c>
      <c r="AH14" s="25"/>
      <c r="AI14" s="225">
        <f t="shared" si="2"/>
        <v>9</v>
      </c>
      <c r="AJ14" s="226">
        <f t="shared" si="3"/>
        <v>6</v>
      </c>
      <c r="AK14" s="48">
        <f t="shared" si="4"/>
        <v>3</v>
      </c>
      <c r="AL14" s="227">
        <f t="shared" si="5"/>
        <v>10</v>
      </c>
      <c r="AM14" s="228">
        <f t="shared" si="6"/>
        <v>0</v>
      </c>
      <c r="AN14" s="51">
        <f t="shared" si="7"/>
        <v>0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2.75" customHeight="1">
      <c r="A15" s="360" t="s">
        <v>287</v>
      </c>
      <c r="B15" s="348" t="s">
        <v>86</v>
      </c>
      <c r="C15" s="365" t="s">
        <v>230</v>
      </c>
      <c r="D15" s="218" t="s">
        <v>226</v>
      </c>
      <c r="E15" s="353" t="s">
        <v>226</v>
      </c>
      <c r="F15" s="351" t="s">
        <v>47</v>
      </c>
      <c r="G15" s="351" t="s">
        <v>47</v>
      </c>
      <c r="H15" s="353" t="s">
        <v>229</v>
      </c>
      <c r="I15" s="353" t="s">
        <v>229</v>
      </c>
      <c r="J15" s="354" t="s">
        <v>228</v>
      </c>
      <c r="K15" s="218" t="s">
        <v>226</v>
      </c>
      <c r="L15" s="353" t="s">
        <v>226</v>
      </c>
      <c r="M15" s="351" t="s">
        <v>47</v>
      </c>
      <c r="N15" s="351" t="s">
        <v>47</v>
      </c>
      <c r="O15" s="353" t="s">
        <v>230</v>
      </c>
      <c r="P15" s="353" t="s">
        <v>230</v>
      </c>
      <c r="Q15" s="367" t="s">
        <v>228</v>
      </c>
      <c r="R15" s="368" t="s">
        <v>228</v>
      </c>
      <c r="S15" s="366" t="s">
        <v>228</v>
      </c>
      <c r="T15" s="351" t="s">
        <v>47</v>
      </c>
      <c r="U15" s="351" t="s">
        <v>47</v>
      </c>
      <c r="V15" s="353" t="s">
        <v>230</v>
      </c>
      <c r="W15" s="353" t="s">
        <v>226</v>
      </c>
      <c r="X15" s="354" t="s">
        <v>227</v>
      </c>
      <c r="Y15" s="218" t="s">
        <v>227</v>
      </c>
      <c r="Z15" s="353" t="s">
        <v>227</v>
      </c>
      <c r="AA15" s="351" t="s">
        <v>47</v>
      </c>
      <c r="AB15" s="351" t="s">
        <v>47</v>
      </c>
      <c r="AC15" s="353" t="s">
        <v>229</v>
      </c>
      <c r="AD15" s="363" t="s">
        <v>228</v>
      </c>
      <c r="AE15" s="362" t="s">
        <v>231</v>
      </c>
      <c r="AF15" s="361" t="s">
        <v>231</v>
      </c>
      <c r="AG15" s="362" t="s">
        <v>231</v>
      </c>
      <c r="AH15" s="25"/>
      <c r="AI15" s="225">
        <f t="shared" si="2"/>
        <v>8</v>
      </c>
      <c r="AJ15" s="226">
        <f t="shared" si="3"/>
        <v>5</v>
      </c>
      <c r="AK15" s="48">
        <f t="shared" si="4"/>
        <v>3</v>
      </c>
      <c r="AL15" s="227">
        <f t="shared" si="5"/>
        <v>5</v>
      </c>
      <c r="AM15" s="228">
        <f t="shared" si="6"/>
        <v>3</v>
      </c>
      <c r="AN15" s="51">
        <f t="shared" si="7"/>
        <v>4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2.75" customHeight="1">
      <c r="A16" s="369" t="s">
        <v>288</v>
      </c>
      <c r="B16" s="348" t="s">
        <v>89</v>
      </c>
      <c r="C16" s="365" t="s">
        <v>230</v>
      </c>
      <c r="D16" s="218" t="s">
        <v>228</v>
      </c>
      <c r="E16" s="353" t="s">
        <v>227</v>
      </c>
      <c r="F16" s="353" t="s">
        <v>226</v>
      </c>
      <c r="G16" s="353" t="s">
        <v>226</v>
      </c>
      <c r="H16" s="351" t="s">
        <v>47</v>
      </c>
      <c r="I16" s="351" t="s">
        <v>47</v>
      </c>
      <c r="J16" s="245" t="s">
        <v>231</v>
      </c>
      <c r="K16" s="218" t="s">
        <v>230</v>
      </c>
      <c r="L16" s="353" t="s">
        <v>228</v>
      </c>
      <c r="M16" s="353" t="s">
        <v>228</v>
      </c>
      <c r="N16" s="353" t="s">
        <v>227</v>
      </c>
      <c r="O16" s="351" t="s">
        <v>47</v>
      </c>
      <c r="P16" s="351" t="s">
        <v>47</v>
      </c>
      <c r="Q16" s="354" t="s">
        <v>230</v>
      </c>
      <c r="R16" s="218" t="s">
        <v>227</v>
      </c>
      <c r="S16" s="353" t="s">
        <v>226</v>
      </c>
      <c r="T16" s="239" t="s">
        <v>231</v>
      </c>
      <c r="U16" s="351" t="s">
        <v>47</v>
      </c>
      <c r="V16" s="351" t="s">
        <v>47</v>
      </c>
      <c r="W16" s="354" t="s">
        <v>230</v>
      </c>
      <c r="X16" s="354" t="s">
        <v>230</v>
      </c>
      <c r="Y16" s="218" t="s">
        <v>228</v>
      </c>
      <c r="Z16" s="353" t="s">
        <v>228</v>
      </c>
      <c r="AA16" s="353" t="s">
        <v>227</v>
      </c>
      <c r="AB16" s="239" t="s">
        <v>231</v>
      </c>
      <c r="AC16" s="351" t="s">
        <v>47</v>
      </c>
      <c r="AD16" s="351" t="s">
        <v>47</v>
      </c>
      <c r="AE16" s="354" t="s">
        <v>230</v>
      </c>
      <c r="AF16" s="218" t="s">
        <v>228</v>
      </c>
      <c r="AG16" s="354" t="s">
        <v>227</v>
      </c>
      <c r="AH16" s="25"/>
      <c r="AI16" s="225">
        <f t="shared" si="2"/>
        <v>8</v>
      </c>
      <c r="AJ16" s="226">
        <f t="shared" si="3"/>
        <v>3</v>
      </c>
      <c r="AK16" s="48">
        <f t="shared" si="4"/>
        <v>5</v>
      </c>
      <c r="AL16" s="227">
        <f t="shared" si="5"/>
        <v>6</v>
      </c>
      <c r="AM16" s="228">
        <f t="shared" si="6"/>
        <v>0</v>
      </c>
      <c r="AN16" s="51">
        <f t="shared" si="7"/>
        <v>6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2.75" customHeight="1">
      <c r="A17" s="370" t="s">
        <v>289</v>
      </c>
      <c r="B17" s="348" t="s">
        <v>92</v>
      </c>
      <c r="C17" s="349" t="s">
        <v>47</v>
      </c>
      <c r="D17" s="357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352" t="s">
        <v>47</v>
      </c>
      <c r="K17" s="357" t="s">
        <v>47</v>
      </c>
      <c r="L17" s="353" t="s">
        <v>230</v>
      </c>
      <c r="M17" s="353" t="s">
        <v>230</v>
      </c>
      <c r="N17" s="353" t="s">
        <v>228</v>
      </c>
      <c r="O17" s="353" t="s">
        <v>228</v>
      </c>
      <c r="P17" s="353" t="s">
        <v>227</v>
      </c>
      <c r="Q17" s="352" t="s">
        <v>47</v>
      </c>
      <c r="R17" s="357" t="s">
        <v>47</v>
      </c>
      <c r="S17" s="239" t="s">
        <v>231</v>
      </c>
      <c r="T17" s="239" t="s">
        <v>231</v>
      </c>
      <c r="U17" s="351" t="s">
        <v>47</v>
      </c>
      <c r="V17" s="353" t="s">
        <v>229</v>
      </c>
      <c r="W17" s="353" t="s">
        <v>227</v>
      </c>
      <c r="X17" s="354" t="s">
        <v>226</v>
      </c>
      <c r="Y17" s="218" t="s">
        <v>226</v>
      </c>
      <c r="Z17" s="353" t="s">
        <v>226</v>
      </c>
      <c r="AA17" s="351" t="s">
        <v>47</v>
      </c>
      <c r="AB17" s="353" t="s">
        <v>228</v>
      </c>
      <c r="AC17" s="353" t="s">
        <v>228</v>
      </c>
      <c r="AD17" s="363" t="s">
        <v>228</v>
      </c>
      <c r="AE17" s="352" t="s">
        <v>47</v>
      </c>
      <c r="AF17" s="357" t="s">
        <v>47</v>
      </c>
      <c r="AG17" s="362" t="s">
        <v>231</v>
      </c>
      <c r="AH17" s="25"/>
      <c r="AI17" s="225">
        <f t="shared" si="2"/>
        <v>5</v>
      </c>
      <c r="AJ17" s="226">
        <f t="shared" si="3"/>
        <v>3</v>
      </c>
      <c r="AK17" s="48">
        <f t="shared" si="4"/>
        <v>2</v>
      </c>
      <c r="AL17" s="227">
        <f t="shared" si="5"/>
        <v>5</v>
      </c>
      <c r="AM17" s="228">
        <f t="shared" si="6"/>
        <v>1</v>
      </c>
      <c r="AN17" s="51">
        <f t="shared" si="7"/>
        <v>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2.75" customHeight="1">
      <c r="A18" s="364" t="s">
        <v>290</v>
      </c>
      <c r="B18" s="348" t="s">
        <v>95</v>
      </c>
      <c r="C18" s="371" t="s">
        <v>231</v>
      </c>
      <c r="D18" s="218" t="s">
        <v>229</v>
      </c>
      <c r="E18" s="353" t="s">
        <v>228</v>
      </c>
      <c r="F18" s="353" t="s">
        <v>228</v>
      </c>
      <c r="G18" s="353" t="s">
        <v>227</v>
      </c>
      <c r="H18" s="351" t="s">
        <v>47</v>
      </c>
      <c r="I18" s="351" t="s">
        <v>47</v>
      </c>
      <c r="J18" s="245" t="s">
        <v>231</v>
      </c>
      <c r="K18" s="218" t="s">
        <v>230</v>
      </c>
      <c r="L18" s="353" t="s">
        <v>228</v>
      </c>
      <c r="M18" s="353" t="s">
        <v>227</v>
      </c>
      <c r="N18" s="353" t="s">
        <v>226</v>
      </c>
      <c r="O18" s="351" t="s">
        <v>47</v>
      </c>
      <c r="P18" s="351" t="s">
        <v>47</v>
      </c>
      <c r="Q18" s="354" t="s">
        <v>230</v>
      </c>
      <c r="R18" s="218" t="s">
        <v>229</v>
      </c>
      <c r="S18" s="353" t="s">
        <v>228</v>
      </c>
      <c r="T18" s="353" t="s">
        <v>226</v>
      </c>
      <c r="U18" s="353" t="s">
        <v>226</v>
      </c>
      <c r="V18" s="351" t="s">
        <v>47</v>
      </c>
      <c r="W18" s="351" t="s">
        <v>47</v>
      </c>
      <c r="X18" s="362" t="s">
        <v>231</v>
      </c>
      <c r="Y18" s="361" t="s">
        <v>231</v>
      </c>
      <c r="Z18" s="359" t="s">
        <v>231</v>
      </c>
      <c r="AA18" s="353" t="s">
        <v>230</v>
      </c>
      <c r="AB18" s="353" t="s">
        <v>227</v>
      </c>
      <c r="AC18" s="351" t="s">
        <v>47</v>
      </c>
      <c r="AD18" s="351" t="s">
        <v>47</v>
      </c>
      <c r="AE18" s="354" t="s">
        <v>228</v>
      </c>
      <c r="AF18" s="218" t="s">
        <v>228</v>
      </c>
      <c r="AG18" s="354" t="s">
        <v>228</v>
      </c>
      <c r="AH18" s="25"/>
      <c r="AI18" s="225">
        <f t="shared" si="2"/>
        <v>6</v>
      </c>
      <c r="AJ18" s="226">
        <f t="shared" si="3"/>
        <v>3</v>
      </c>
      <c r="AK18" s="48">
        <f t="shared" si="4"/>
        <v>3</v>
      </c>
      <c r="AL18" s="227">
        <f t="shared" si="5"/>
        <v>7</v>
      </c>
      <c r="AM18" s="228">
        <f t="shared" si="6"/>
        <v>2</v>
      </c>
      <c r="AN18" s="51">
        <f t="shared" si="7"/>
        <v>3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2.75" customHeight="1">
      <c r="A19" s="369" t="s">
        <v>291</v>
      </c>
      <c r="B19" s="348" t="s">
        <v>98</v>
      </c>
      <c r="C19" s="365" t="s">
        <v>229</v>
      </c>
      <c r="D19" s="218" t="s">
        <v>229</v>
      </c>
      <c r="E19" s="353" t="s">
        <v>227</v>
      </c>
      <c r="F19" s="353" t="s">
        <v>226</v>
      </c>
      <c r="G19" s="351" t="s">
        <v>47</v>
      </c>
      <c r="H19" s="351" t="s">
        <v>47</v>
      </c>
      <c r="I19" s="353" t="s">
        <v>230</v>
      </c>
      <c r="J19" s="354" t="s">
        <v>229</v>
      </c>
      <c r="K19" s="218" t="s">
        <v>228</v>
      </c>
      <c r="L19" s="218" t="s">
        <v>228</v>
      </c>
      <c r="M19" s="218" t="s">
        <v>228</v>
      </c>
      <c r="N19" s="351" t="s">
        <v>47</v>
      </c>
      <c r="O19" s="351" t="s">
        <v>47</v>
      </c>
      <c r="P19" s="353" t="s">
        <v>230</v>
      </c>
      <c r="Q19" s="354" t="s">
        <v>230</v>
      </c>
      <c r="R19" s="218" t="s">
        <v>229</v>
      </c>
      <c r="S19" s="353" t="s">
        <v>227</v>
      </c>
      <c r="T19" s="353" t="s">
        <v>226</v>
      </c>
      <c r="U19" s="351" t="s">
        <v>47</v>
      </c>
      <c r="V19" s="351" t="s">
        <v>47</v>
      </c>
      <c r="W19" s="353" t="s">
        <v>230</v>
      </c>
      <c r="X19" s="354" t="s">
        <v>230</v>
      </c>
      <c r="Y19" s="218" t="s">
        <v>230</v>
      </c>
      <c r="Z19" s="353" t="s">
        <v>226</v>
      </c>
      <c r="AA19" s="353" t="s">
        <v>226</v>
      </c>
      <c r="AB19" s="351" t="s">
        <v>47</v>
      </c>
      <c r="AC19" s="351" t="s">
        <v>47</v>
      </c>
      <c r="AD19" s="353" t="s">
        <v>230</v>
      </c>
      <c r="AE19" s="354" t="s">
        <v>229</v>
      </c>
      <c r="AF19" s="372" t="s">
        <v>229</v>
      </c>
      <c r="AG19" s="354" t="s">
        <v>227</v>
      </c>
      <c r="AH19" s="25"/>
      <c r="AI19" s="225">
        <f t="shared" si="2"/>
        <v>7</v>
      </c>
      <c r="AJ19" s="226">
        <f t="shared" si="3"/>
        <v>4</v>
      </c>
      <c r="AK19" s="48">
        <f t="shared" si="4"/>
        <v>3</v>
      </c>
      <c r="AL19" s="227">
        <f t="shared" si="5"/>
        <v>3</v>
      </c>
      <c r="AM19" s="228">
        <f t="shared" si="6"/>
        <v>6</v>
      </c>
      <c r="AN19" s="51">
        <f t="shared" si="7"/>
        <v>7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2.75" customHeight="1">
      <c r="A20" s="360" t="s">
        <v>292</v>
      </c>
      <c r="B20" s="348" t="s">
        <v>101</v>
      </c>
      <c r="C20" s="365" t="s">
        <v>226</v>
      </c>
      <c r="D20" s="218" t="s">
        <v>226</v>
      </c>
      <c r="E20" s="351" t="s">
        <v>47</v>
      </c>
      <c r="F20" s="353" t="s">
        <v>226</v>
      </c>
      <c r="G20" s="353" t="s">
        <v>226</v>
      </c>
      <c r="H20" s="353" t="s">
        <v>226</v>
      </c>
      <c r="I20" s="351" t="s">
        <v>47</v>
      </c>
      <c r="J20" s="355" t="s">
        <v>230</v>
      </c>
      <c r="K20" s="233" t="s">
        <v>43</v>
      </c>
      <c r="L20" s="351" t="s">
        <v>47</v>
      </c>
      <c r="M20" s="238" t="s">
        <v>43</v>
      </c>
      <c r="N20" s="238" t="s">
        <v>43</v>
      </c>
      <c r="O20" s="238" t="s">
        <v>43</v>
      </c>
      <c r="P20" s="351" t="s">
        <v>47</v>
      </c>
      <c r="Q20" s="247" t="s">
        <v>43</v>
      </c>
      <c r="R20" s="233" t="s">
        <v>43</v>
      </c>
      <c r="S20" s="351" t="s">
        <v>47</v>
      </c>
      <c r="T20" s="239" t="s">
        <v>231</v>
      </c>
      <c r="U20" s="239" t="s">
        <v>231</v>
      </c>
      <c r="V20" s="239" t="s">
        <v>231</v>
      </c>
      <c r="W20" s="351" t="s">
        <v>47</v>
      </c>
      <c r="X20" s="245" t="s">
        <v>231</v>
      </c>
      <c r="Y20" s="251" t="s">
        <v>231</v>
      </c>
      <c r="Z20" s="351" t="s">
        <v>47</v>
      </c>
      <c r="AA20" s="239" t="s">
        <v>231</v>
      </c>
      <c r="AB20" s="239" t="s">
        <v>231</v>
      </c>
      <c r="AC20" s="239" t="s">
        <v>231</v>
      </c>
      <c r="AD20" s="351" t="s">
        <v>47</v>
      </c>
      <c r="AE20" s="362" t="s">
        <v>231</v>
      </c>
      <c r="AF20" s="361" t="s">
        <v>231</v>
      </c>
      <c r="AG20" s="352" t="s">
        <v>47</v>
      </c>
      <c r="AH20" s="25"/>
      <c r="AI20" s="225">
        <f t="shared" si="2"/>
        <v>5</v>
      </c>
      <c r="AJ20" s="226">
        <f t="shared" si="3"/>
        <v>5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1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2.75" customHeight="1">
      <c r="A21" s="369" t="s">
        <v>293</v>
      </c>
      <c r="B21" s="348" t="s">
        <v>104</v>
      </c>
      <c r="C21" s="365" t="s">
        <v>229</v>
      </c>
      <c r="D21" s="218" t="s">
        <v>228</v>
      </c>
      <c r="E21" s="353" t="s">
        <v>228</v>
      </c>
      <c r="F21" s="353" t="s">
        <v>227</v>
      </c>
      <c r="G21" s="351" t="s">
        <v>47</v>
      </c>
      <c r="H21" s="351" t="s">
        <v>47</v>
      </c>
      <c r="I21" s="353" t="s">
        <v>230</v>
      </c>
      <c r="J21" s="354" t="s">
        <v>230</v>
      </c>
      <c r="K21" s="218" t="s">
        <v>227</v>
      </c>
      <c r="L21" s="353" t="s">
        <v>227</v>
      </c>
      <c r="M21" s="353" t="s">
        <v>226</v>
      </c>
      <c r="N21" s="351" t="s">
        <v>47</v>
      </c>
      <c r="O21" s="351" t="s">
        <v>47</v>
      </c>
      <c r="P21" s="353" t="s">
        <v>230</v>
      </c>
      <c r="Q21" s="354" t="s">
        <v>230</v>
      </c>
      <c r="R21" s="218" t="s">
        <v>229</v>
      </c>
      <c r="S21" s="353" t="s">
        <v>228</v>
      </c>
      <c r="T21" s="353" t="s">
        <v>226</v>
      </c>
      <c r="U21" s="351" t="s">
        <v>47</v>
      </c>
      <c r="V21" s="351" t="s">
        <v>47</v>
      </c>
      <c r="W21" s="353" t="s">
        <v>230</v>
      </c>
      <c r="X21" s="354" t="s">
        <v>230</v>
      </c>
      <c r="Y21" s="218" t="s">
        <v>230</v>
      </c>
      <c r="Z21" s="353" t="s">
        <v>227</v>
      </c>
      <c r="AA21" s="353" t="s">
        <v>226</v>
      </c>
      <c r="AB21" s="351" t="s">
        <v>47</v>
      </c>
      <c r="AC21" s="351" t="s">
        <v>47</v>
      </c>
      <c r="AD21" s="353" t="s">
        <v>230</v>
      </c>
      <c r="AE21" s="354" t="s">
        <v>229</v>
      </c>
      <c r="AF21" s="372" t="s">
        <v>228</v>
      </c>
      <c r="AG21" s="354" t="s">
        <v>228</v>
      </c>
      <c r="AH21" s="25"/>
      <c r="AI21" s="225">
        <f t="shared" si="2"/>
        <v>7</v>
      </c>
      <c r="AJ21" s="226">
        <f t="shared" si="3"/>
        <v>3</v>
      </c>
      <c r="AK21" s="48">
        <f t="shared" si="4"/>
        <v>4</v>
      </c>
      <c r="AL21" s="227">
        <f t="shared" si="5"/>
        <v>5</v>
      </c>
      <c r="AM21" s="228">
        <f t="shared" si="6"/>
        <v>3</v>
      </c>
      <c r="AN21" s="51">
        <f t="shared" si="7"/>
        <v>8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2.75" customHeight="1">
      <c r="A22" s="364" t="s">
        <v>294</v>
      </c>
      <c r="B22" s="348" t="s">
        <v>107</v>
      </c>
      <c r="C22" s="365" t="s">
        <v>230</v>
      </c>
      <c r="D22" s="218" t="s">
        <v>228</v>
      </c>
      <c r="E22" s="353" t="s">
        <v>228</v>
      </c>
      <c r="F22" s="353" t="s">
        <v>226</v>
      </c>
      <c r="G22" s="353" t="s">
        <v>226</v>
      </c>
      <c r="H22" s="351" t="s">
        <v>47</v>
      </c>
      <c r="I22" s="351" t="s">
        <v>47</v>
      </c>
      <c r="J22" s="245" t="s">
        <v>231</v>
      </c>
      <c r="K22" s="218" t="s">
        <v>228</v>
      </c>
      <c r="L22" s="353" t="s">
        <v>228</v>
      </c>
      <c r="M22" s="353" t="s">
        <v>226</v>
      </c>
      <c r="N22" s="373" t="s">
        <v>226</v>
      </c>
      <c r="O22" s="351" t="s">
        <v>47</v>
      </c>
      <c r="P22" s="351" t="s">
        <v>47</v>
      </c>
      <c r="Q22" s="354" t="s">
        <v>230</v>
      </c>
      <c r="R22" s="218" t="s">
        <v>228</v>
      </c>
      <c r="S22" s="373" t="s">
        <v>228</v>
      </c>
      <c r="T22" s="373" t="s">
        <v>228</v>
      </c>
      <c r="U22" s="373" t="s">
        <v>226</v>
      </c>
      <c r="V22" s="351" t="s">
        <v>47</v>
      </c>
      <c r="W22" s="351" t="s">
        <v>47</v>
      </c>
      <c r="X22" s="362" t="s">
        <v>231</v>
      </c>
      <c r="Y22" s="361" t="s">
        <v>231</v>
      </c>
      <c r="Z22" s="359" t="s">
        <v>231</v>
      </c>
      <c r="AA22" s="353" t="s">
        <v>229</v>
      </c>
      <c r="AB22" s="353" t="s">
        <v>226</v>
      </c>
      <c r="AC22" s="351" t="s">
        <v>47</v>
      </c>
      <c r="AD22" s="351" t="s">
        <v>47</v>
      </c>
      <c r="AE22" s="354" t="s">
        <v>228</v>
      </c>
      <c r="AF22" s="218" t="s">
        <v>228</v>
      </c>
      <c r="AG22" s="354" t="s">
        <v>228</v>
      </c>
      <c r="AH22" s="25"/>
      <c r="AI22" s="225">
        <f t="shared" si="2"/>
        <v>6</v>
      </c>
      <c r="AJ22" s="226">
        <f t="shared" si="3"/>
        <v>6</v>
      </c>
      <c r="AK22" s="48">
        <f t="shared" si="4"/>
        <v>0</v>
      </c>
      <c r="AL22" s="227">
        <f t="shared" si="5"/>
        <v>10</v>
      </c>
      <c r="AM22" s="228">
        <f t="shared" si="6"/>
        <v>1</v>
      </c>
      <c r="AN22" s="51">
        <f t="shared" si="7"/>
        <v>2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2.75" customHeight="1">
      <c r="A23" s="360" t="s">
        <v>295</v>
      </c>
      <c r="B23" s="348" t="s">
        <v>110</v>
      </c>
      <c r="C23" s="374" t="s">
        <v>228</v>
      </c>
      <c r="D23" s="372" t="s">
        <v>228</v>
      </c>
      <c r="E23" s="351" t="s">
        <v>47</v>
      </c>
      <c r="F23" s="351" t="s">
        <v>47</v>
      </c>
      <c r="G23" s="353" t="s">
        <v>229</v>
      </c>
      <c r="H23" s="353" t="s">
        <v>229</v>
      </c>
      <c r="I23" s="353" t="s">
        <v>228</v>
      </c>
      <c r="J23" s="354" t="s">
        <v>227</v>
      </c>
      <c r="K23" s="218" t="s">
        <v>226</v>
      </c>
      <c r="L23" s="351" t="s">
        <v>47</v>
      </c>
      <c r="M23" s="351" t="s">
        <v>47</v>
      </c>
      <c r="N23" s="353" t="s">
        <v>230</v>
      </c>
      <c r="O23" s="353" t="s">
        <v>229</v>
      </c>
      <c r="P23" s="353" t="s">
        <v>228</v>
      </c>
      <c r="Q23" s="354" t="s">
        <v>227</v>
      </c>
      <c r="R23" s="218" t="s">
        <v>226</v>
      </c>
      <c r="S23" s="351" t="s">
        <v>47</v>
      </c>
      <c r="T23" s="351" t="s">
        <v>47</v>
      </c>
      <c r="U23" s="353" t="s">
        <v>228</v>
      </c>
      <c r="V23" s="353" t="s">
        <v>228</v>
      </c>
      <c r="W23" s="353" t="s">
        <v>227</v>
      </c>
      <c r="X23" s="354" t="s">
        <v>227</v>
      </c>
      <c r="Y23" s="218" t="s">
        <v>226</v>
      </c>
      <c r="Z23" s="218" t="s">
        <v>226</v>
      </c>
      <c r="AA23" s="351" t="s">
        <v>47</v>
      </c>
      <c r="AB23" s="353" t="s">
        <v>230</v>
      </c>
      <c r="AC23" s="351" t="s">
        <v>47</v>
      </c>
      <c r="AD23" s="363" t="s">
        <v>230</v>
      </c>
      <c r="AE23" s="362" t="s">
        <v>231</v>
      </c>
      <c r="AF23" s="361" t="s">
        <v>231</v>
      </c>
      <c r="AG23" s="352" t="s">
        <v>47</v>
      </c>
      <c r="AH23" s="25"/>
      <c r="AI23" s="225">
        <f t="shared" si="2"/>
        <v>8</v>
      </c>
      <c r="AJ23" s="226">
        <f t="shared" si="3"/>
        <v>4</v>
      </c>
      <c r="AK23" s="48">
        <f t="shared" si="4"/>
        <v>4</v>
      </c>
      <c r="AL23" s="227">
        <f t="shared" si="5"/>
        <v>6</v>
      </c>
      <c r="AM23" s="228">
        <f t="shared" si="6"/>
        <v>3</v>
      </c>
      <c r="AN23" s="51">
        <f t="shared" si="7"/>
        <v>3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2.75" customHeight="1">
      <c r="A24" s="364" t="s">
        <v>296</v>
      </c>
      <c r="B24" s="348" t="s">
        <v>113</v>
      </c>
      <c r="C24" s="371" t="s">
        <v>231</v>
      </c>
      <c r="D24" s="218" t="s">
        <v>230</v>
      </c>
      <c r="E24" s="353" t="s">
        <v>230</v>
      </c>
      <c r="F24" s="353" t="s">
        <v>226</v>
      </c>
      <c r="G24" s="353" t="s">
        <v>226</v>
      </c>
      <c r="H24" s="351" t="s">
        <v>47</v>
      </c>
      <c r="I24" s="351" t="s">
        <v>47</v>
      </c>
      <c r="J24" s="245" t="s">
        <v>231</v>
      </c>
      <c r="K24" s="218" t="s">
        <v>230</v>
      </c>
      <c r="L24" s="353" t="s">
        <v>226</v>
      </c>
      <c r="M24" s="353" t="s">
        <v>226</v>
      </c>
      <c r="N24" s="353" t="s">
        <v>226</v>
      </c>
      <c r="O24" s="351" t="s">
        <v>47</v>
      </c>
      <c r="P24" s="351" t="s">
        <v>47</v>
      </c>
      <c r="Q24" s="245" t="s">
        <v>231</v>
      </c>
      <c r="R24" s="218" t="s">
        <v>230</v>
      </c>
      <c r="S24" s="353" t="s">
        <v>230</v>
      </c>
      <c r="T24" s="353" t="s">
        <v>230</v>
      </c>
      <c r="U24" s="353" t="s">
        <v>226</v>
      </c>
      <c r="V24" s="351" t="s">
        <v>47</v>
      </c>
      <c r="W24" s="351" t="s">
        <v>47</v>
      </c>
      <c r="X24" s="362" t="s">
        <v>231</v>
      </c>
      <c r="Y24" s="361" t="s">
        <v>231</v>
      </c>
      <c r="Z24" s="359" t="s">
        <v>231</v>
      </c>
      <c r="AA24" s="353" t="s">
        <v>230</v>
      </c>
      <c r="AB24" s="353" t="s">
        <v>226</v>
      </c>
      <c r="AC24" s="351" t="s">
        <v>47</v>
      </c>
      <c r="AD24" s="351" t="s">
        <v>47</v>
      </c>
      <c r="AE24" s="354" t="s">
        <v>230</v>
      </c>
      <c r="AF24" s="218" t="s">
        <v>230</v>
      </c>
      <c r="AG24" s="354" t="s">
        <v>226</v>
      </c>
      <c r="AH24" s="25"/>
      <c r="AI24" s="225">
        <f t="shared" si="2"/>
        <v>8</v>
      </c>
      <c r="AJ24" s="226">
        <f t="shared" si="3"/>
        <v>8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9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2.75" customHeight="1">
      <c r="A25" s="364" t="s">
        <v>297</v>
      </c>
      <c r="B25" s="348" t="s">
        <v>116</v>
      </c>
      <c r="C25" s="371" t="s">
        <v>231</v>
      </c>
      <c r="D25" s="251" t="s">
        <v>231</v>
      </c>
      <c r="E25" s="351" t="s">
        <v>47</v>
      </c>
      <c r="F25" s="351" t="s">
        <v>47</v>
      </c>
      <c r="G25" s="353" t="s">
        <v>230</v>
      </c>
      <c r="H25" s="353" t="s">
        <v>230</v>
      </c>
      <c r="I25" s="353" t="s">
        <v>228</v>
      </c>
      <c r="J25" s="375" t="s">
        <v>227</v>
      </c>
      <c r="K25" s="218" t="s">
        <v>226</v>
      </c>
      <c r="L25" s="351" t="s">
        <v>47</v>
      </c>
      <c r="M25" s="351" t="s">
        <v>47</v>
      </c>
      <c r="N25" s="353" t="s">
        <v>230</v>
      </c>
      <c r="O25" s="353" t="s">
        <v>230</v>
      </c>
      <c r="P25" s="353" t="s">
        <v>228</v>
      </c>
      <c r="Q25" s="354" t="s">
        <v>226</v>
      </c>
      <c r="R25" s="218" t="s">
        <v>226</v>
      </c>
      <c r="S25" s="351" t="s">
        <v>47</v>
      </c>
      <c r="T25" s="351" t="s">
        <v>47</v>
      </c>
      <c r="U25" s="353" t="s">
        <v>230</v>
      </c>
      <c r="V25" s="353" t="s">
        <v>230</v>
      </c>
      <c r="W25" s="363" t="s">
        <v>229</v>
      </c>
      <c r="X25" s="362" t="s">
        <v>231</v>
      </c>
      <c r="Y25" s="361" t="s">
        <v>231</v>
      </c>
      <c r="Z25" s="351" t="s">
        <v>47</v>
      </c>
      <c r="AA25" s="351" t="s">
        <v>47</v>
      </c>
      <c r="AB25" s="239" t="s">
        <v>231</v>
      </c>
      <c r="AC25" s="353" t="s">
        <v>230</v>
      </c>
      <c r="AD25" s="353" t="s">
        <v>227</v>
      </c>
      <c r="AE25" s="354" t="s">
        <v>227</v>
      </c>
      <c r="AF25" s="218" t="s">
        <v>226</v>
      </c>
      <c r="AG25" s="354" t="s">
        <v>226</v>
      </c>
      <c r="AH25" s="25"/>
      <c r="AI25" s="225">
        <f t="shared" si="2"/>
        <v>8</v>
      </c>
      <c r="AJ25" s="226">
        <f t="shared" si="3"/>
        <v>5</v>
      </c>
      <c r="AK25" s="48">
        <f t="shared" si="4"/>
        <v>3</v>
      </c>
      <c r="AL25" s="227">
        <f t="shared" si="5"/>
        <v>2</v>
      </c>
      <c r="AM25" s="228">
        <f t="shared" si="6"/>
        <v>1</v>
      </c>
      <c r="AN25" s="51">
        <f t="shared" si="7"/>
        <v>7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2.75" customHeight="1">
      <c r="A26" s="364" t="s">
        <v>298</v>
      </c>
      <c r="B26" s="348" t="s">
        <v>119</v>
      </c>
      <c r="C26" s="371" t="s">
        <v>231</v>
      </c>
      <c r="D26" s="372" t="s">
        <v>228</v>
      </c>
      <c r="E26" s="351" t="s">
        <v>47</v>
      </c>
      <c r="F26" s="351" t="s">
        <v>47</v>
      </c>
      <c r="G26" s="353" t="s">
        <v>230</v>
      </c>
      <c r="H26" s="353" t="s">
        <v>229</v>
      </c>
      <c r="I26" s="353" t="s">
        <v>228</v>
      </c>
      <c r="J26" s="375" t="s">
        <v>227</v>
      </c>
      <c r="K26" s="372" t="s">
        <v>226</v>
      </c>
      <c r="L26" s="351" t="s">
        <v>47</v>
      </c>
      <c r="M26" s="351" t="s">
        <v>47</v>
      </c>
      <c r="N26" s="353" t="s">
        <v>230</v>
      </c>
      <c r="O26" s="353" t="s">
        <v>229</v>
      </c>
      <c r="P26" s="353" t="s">
        <v>228</v>
      </c>
      <c r="Q26" s="375" t="s">
        <v>228</v>
      </c>
      <c r="R26" s="218" t="s">
        <v>227</v>
      </c>
      <c r="S26" s="351" t="s">
        <v>47</v>
      </c>
      <c r="T26" s="351" t="s">
        <v>47</v>
      </c>
      <c r="U26" s="353" t="s">
        <v>230</v>
      </c>
      <c r="V26" s="353" t="s">
        <v>229</v>
      </c>
      <c r="W26" s="353" t="s">
        <v>227</v>
      </c>
      <c r="X26" s="354" t="s">
        <v>226</v>
      </c>
      <c r="Y26" s="218" t="s">
        <v>226</v>
      </c>
      <c r="Z26" s="353" t="s">
        <v>226</v>
      </c>
      <c r="AA26" s="351" t="s">
        <v>47</v>
      </c>
      <c r="AB26" s="353" t="s">
        <v>230</v>
      </c>
      <c r="AC26" s="353" t="s">
        <v>226</v>
      </c>
      <c r="AD26" s="351" t="s">
        <v>47</v>
      </c>
      <c r="AE26" s="362" t="s">
        <v>231</v>
      </c>
      <c r="AF26" s="361" t="s">
        <v>231</v>
      </c>
      <c r="AG26" s="352" t="s">
        <v>47</v>
      </c>
      <c r="AH26" s="25"/>
      <c r="AI26" s="225">
        <f t="shared" si="2"/>
        <v>8</v>
      </c>
      <c r="AJ26" s="226">
        <f t="shared" si="3"/>
        <v>5</v>
      </c>
      <c r="AK26" s="48">
        <f t="shared" si="4"/>
        <v>3</v>
      </c>
      <c r="AL26" s="227">
        <f t="shared" si="5"/>
        <v>4</v>
      </c>
      <c r="AM26" s="228">
        <f t="shared" si="6"/>
        <v>3</v>
      </c>
      <c r="AN26" s="51">
        <f t="shared" si="7"/>
        <v>4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2.75" customHeight="1">
      <c r="A27" s="376" t="s">
        <v>299</v>
      </c>
      <c r="B27" s="348" t="s">
        <v>122</v>
      </c>
      <c r="C27" s="365" t="s">
        <v>230</v>
      </c>
      <c r="D27" s="377" t="s">
        <v>228</v>
      </c>
      <c r="E27" s="239" t="s">
        <v>231</v>
      </c>
      <c r="F27" s="239" t="s">
        <v>231</v>
      </c>
      <c r="G27" s="239" t="s">
        <v>231</v>
      </c>
      <c r="H27" s="351" t="s">
        <v>47</v>
      </c>
      <c r="I27" s="351" t="s">
        <v>47</v>
      </c>
      <c r="J27" s="355" t="s">
        <v>230</v>
      </c>
      <c r="K27" s="251" t="s">
        <v>231</v>
      </c>
      <c r="L27" s="239" t="s">
        <v>231</v>
      </c>
      <c r="M27" s="239" t="s">
        <v>231</v>
      </c>
      <c r="N27" s="363" t="s">
        <v>226</v>
      </c>
      <c r="O27" s="351" t="s">
        <v>47</v>
      </c>
      <c r="P27" s="351" t="s">
        <v>47</v>
      </c>
      <c r="Q27" s="354" t="s">
        <v>229</v>
      </c>
      <c r="R27" s="218" t="s">
        <v>228</v>
      </c>
      <c r="S27" s="353" t="s">
        <v>227</v>
      </c>
      <c r="T27" s="353" t="s">
        <v>227</v>
      </c>
      <c r="U27" s="353" t="s">
        <v>226</v>
      </c>
      <c r="V27" s="351" t="s">
        <v>47</v>
      </c>
      <c r="W27" s="351" t="s">
        <v>47</v>
      </c>
      <c r="X27" s="354" t="s">
        <v>228</v>
      </c>
      <c r="Y27" s="218" t="s">
        <v>228</v>
      </c>
      <c r="Z27" s="353" t="s">
        <v>228</v>
      </c>
      <c r="AA27" s="373" t="s">
        <v>226</v>
      </c>
      <c r="AB27" s="239" t="s">
        <v>231</v>
      </c>
      <c r="AC27" s="351" t="s">
        <v>47</v>
      </c>
      <c r="AD27" s="351" t="s">
        <v>47</v>
      </c>
      <c r="AE27" s="354" t="s">
        <v>228</v>
      </c>
      <c r="AF27" s="218" t="s">
        <v>227</v>
      </c>
      <c r="AG27" s="354" t="s">
        <v>226</v>
      </c>
      <c r="AH27" s="25"/>
      <c r="AI27" s="225">
        <f t="shared" si="2"/>
        <v>7</v>
      </c>
      <c r="AJ27" s="226">
        <f t="shared" si="3"/>
        <v>4</v>
      </c>
      <c r="AK27" s="48">
        <f t="shared" si="4"/>
        <v>3</v>
      </c>
      <c r="AL27" s="227">
        <f t="shared" si="5"/>
        <v>6</v>
      </c>
      <c r="AM27" s="228">
        <f t="shared" si="6"/>
        <v>1</v>
      </c>
      <c r="AN27" s="51">
        <f t="shared" si="7"/>
        <v>2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3.5" customHeight="1">
      <c r="A28" s="364" t="s">
        <v>300</v>
      </c>
      <c r="B28" s="348" t="s">
        <v>125</v>
      </c>
      <c r="C28" s="365" t="s">
        <v>226</v>
      </c>
      <c r="D28" s="357" t="s">
        <v>47</v>
      </c>
      <c r="E28" s="351" t="s">
        <v>47</v>
      </c>
      <c r="F28" s="353" t="s">
        <v>228</v>
      </c>
      <c r="G28" s="353" t="s">
        <v>228</v>
      </c>
      <c r="H28" s="353" t="s">
        <v>228</v>
      </c>
      <c r="I28" s="353" t="s">
        <v>227</v>
      </c>
      <c r="J28" s="354" t="s">
        <v>226</v>
      </c>
      <c r="K28" s="357" t="s">
        <v>47</v>
      </c>
      <c r="L28" s="351" t="s">
        <v>47</v>
      </c>
      <c r="M28" s="353" t="s">
        <v>228</v>
      </c>
      <c r="N28" s="353" t="s">
        <v>228</v>
      </c>
      <c r="O28" s="353" t="s">
        <v>228</v>
      </c>
      <c r="P28" s="353" t="s">
        <v>226</v>
      </c>
      <c r="Q28" s="354" t="s">
        <v>226</v>
      </c>
      <c r="R28" s="357" t="s">
        <v>47</v>
      </c>
      <c r="S28" s="351" t="s">
        <v>47</v>
      </c>
      <c r="T28" s="353" t="s">
        <v>228</v>
      </c>
      <c r="U28" s="353" t="s">
        <v>228</v>
      </c>
      <c r="V28" s="353" t="s">
        <v>227</v>
      </c>
      <c r="W28" s="363" t="s">
        <v>228</v>
      </c>
      <c r="X28" s="362" t="s">
        <v>231</v>
      </c>
      <c r="Y28" s="357" t="s">
        <v>47</v>
      </c>
      <c r="Z28" s="351" t="s">
        <v>47</v>
      </c>
      <c r="AA28" s="353" t="s">
        <v>228</v>
      </c>
      <c r="AB28" s="353" t="s">
        <v>228</v>
      </c>
      <c r="AC28" s="353" t="s">
        <v>228</v>
      </c>
      <c r="AD28" s="353" t="s">
        <v>226</v>
      </c>
      <c r="AE28" s="354" t="s">
        <v>226</v>
      </c>
      <c r="AF28" s="218" t="s">
        <v>226</v>
      </c>
      <c r="AG28" s="352" t="s">
        <v>47</v>
      </c>
      <c r="AH28" s="25"/>
      <c r="AI28" s="225">
        <f t="shared" si="2"/>
        <v>9</v>
      </c>
      <c r="AJ28" s="226">
        <f t="shared" si="3"/>
        <v>7</v>
      </c>
      <c r="AK28" s="48">
        <f t="shared" si="4"/>
        <v>2</v>
      </c>
      <c r="AL28" s="227">
        <f t="shared" si="5"/>
        <v>12</v>
      </c>
      <c r="AM28" s="228">
        <f t="shared" si="6"/>
        <v>0</v>
      </c>
      <c r="AN28" s="51">
        <f t="shared" si="7"/>
        <v>0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2.75" customHeight="1">
      <c r="A29" s="369" t="s">
        <v>301</v>
      </c>
      <c r="B29" s="348" t="s">
        <v>128</v>
      </c>
      <c r="C29" s="349" t="s">
        <v>47</v>
      </c>
      <c r="D29" s="218" t="s">
        <v>229</v>
      </c>
      <c r="E29" s="353" t="s">
        <v>229</v>
      </c>
      <c r="F29" s="353" t="s">
        <v>230</v>
      </c>
      <c r="G29" s="353" t="s">
        <v>227</v>
      </c>
      <c r="H29" s="353" t="s">
        <v>226</v>
      </c>
      <c r="I29" s="351" t="s">
        <v>47</v>
      </c>
      <c r="J29" s="352" t="s">
        <v>47</v>
      </c>
      <c r="K29" s="218" t="s">
        <v>229</v>
      </c>
      <c r="L29" s="353" t="s">
        <v>228</v>
      </c>
      <c r="M29" s="353" t="s">
        <v>227</v>
      </c>
      <c r="N29" s="353" t="s">
        <v>227</v>
      </c>
      <c r="O29" s="353" t="s">
        <v>226</v>
      </c>
      <c r="P29" s="351" t="s">
        <v>47</v>
      </c>
      <c r="Q29" s="352" t="s">
        <v>47</v>
      </c>
      <c r="R29" s="357" t="s">
        <v>47</v>
      </c>
      <c r="S29" s="353" t="s">
        <v>229</v>
      </c>
      <c r="T29" s="353" t="s">
        <v>229</v>
      </c>
      <c r="U29" s="353" t="s">
        <v>227</v>
      </c>
      <c r="V29" s="353" t="s">
        <v>226</v>
      </c>
      <c r="W29" s="351" t="s">
        <v>47</v>
      </c>
      <c r="X29" s="354" t="s">
        <v>230</v>
      </c>
      <c r="Y29" s="218" t="s">
        <v>230</v>
      </c>
      <c r="Z29" s="353" t="s">
        <v>230</v>
      </c>
      <c r="AA29" s="239" t="s">
        <v>231</v>
      </c>
      <c r="AB29" s="239" t="s">
        <v>231</v>
      </c>
      <c r="AC29" s="239" t="s">
        <v>231</v>
      </c>
      <c r="AD29" s="351" t="s">
        <v>47</v>
      </c>
      <c r="AE29" s="352" t="s">
        <v>47</v>
      </c>
      <c r="AF29" s="251" t="s">
        <v>231</v>
      </c>
      <c r="AG29" s="245" t="s">
        <v>231</v>
      </c>
      <c r="AH29" s="25"/>
      <c r="AI29" s="225">
        <f t="shared" si="2"/>
        <v>7</v>
      </c>
      <c r="AJ29" s="226">
        <f t="shared" si="3"/>
        <v>3</v>
      </c>
      <c r="AK29" s="48">
        <f t="shared" si="4"/>
        <v>4</v>
      </c>
      <c r="AL29" s="227">
        <f t="shared" si="5"/>
        <v>1</v>
      </c>
      <c r="AM29" s="228">
        <f t="shared" si="6"/>
        <v>5</v>
      </c>
      <c r="AN29" s="51">
        <f t="shared" si="7"/>
        <v>4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2.75" customHeight="1">
      <c r="A30" s="364" t="s">
        <v>302</v>
      </c>
      <c r="B30" s="348" t="s">
        <v>131</v>
      </c>
      <c r="C30" s="365" t="s">
        <v>226</v>
      </c>
      <c r="D30" s="357" t="s">
        <v>47</v>
      </c>
      <c r="E30" s="351" t="s">
        <v>47</v>
      </c>
      <c r="F30" s="353" t="s">
        <v>228</v>
      </c>
      <c r="G30" s="353" t="s">
        <v>228</v>
      </c>
      <c r="H30" s="353" t="s">
        <v>227</v>
      </c>
      <c r="I30" s="353" t="s">
        <v>227</v>
      </c>
      <c r="J30" s="354" t="s">
        <v>226</v>
      </c>
      <c r="K30" s="357" t="s">
        <v>47</v>
      </c>
      <c r="L30" s="351" t="s">
        <v>47</v>
      </c>
      <c r="M30" s="353" t="s">
        <v>228</v>
      </c>
      <c r="N30" s="353" t="s">
        <v>228</v>
      </c>
      <c r="O30" s="353" t="s">
        <v>228</v>
      </c>
      <c r="P30" s="239" t="s">
        <v>231</v>
      </c>
      <c r="Q30" s="245" t="s">
        <v>231</v>
      </c>
      <c r="R30" s="357" t="s">
        <v>47</v>
      </c>
      <c r="S30" s="351" t="s">
        <v>47</v>
      </c>
      <c r="T30" s="353" t="s">
        <v>228</v>
      </c>
      <c r="U30" s="353" t="s">
        <v>228</v>
      </c>
      <c r="V30" s="353" t="s">
        <v>227</v>
      </c>
      <c r="W30" s="363" t="s">
        <v>228</v>
      </c>
      <c r="X30" s="362" t="s">
        <v>231</v>
      </c>
      <c r="Y30" s="357" t="s">
        <v>47</v>
      </c>
      <c r="Z30" s="351" t="s">
        <v>47</v>
      </c>
      <c r="AA30" s="353" t="s">
        <v>228</v>
      </c>
      <c r="AB30" s="353" t="s">
        <v>228</v>
      </c>
      <c r="AC30" s="353" t="s">
        <v>228</v>
      </c>
      <c r="AD30" s="353" t="s">
        <v>226</v>
      </c>
      <c r="AE30" s="354" t="s">
        <v>226</v>
      </c>
      <c r="AF30" s="218" t="s">
        <v>226</v>
      </c>
      <c r="AG30" s="352" t="s">
        <v>47</v>
      </c>
      <c r="AH30" s="25"/>
      <c r="AI30" s="225">
        <f t="shared" si="2"/>
        <v>8</v>
      </c>
      <c r="AJ30" s="226">
        <f t="shared" si="3"/>
        <v>5</v>
      </c>
      <c r="AK30" s="48">
        <f t="shared" si="4"/>
        <v>3</v>
      </c>
      <c r="AL30" s="227">
        <f t="shared" si="5"/>
        <v>11</v>
      </c>
      <c r="AM30" s="228">
        <f t="shared" si="6"/>
        <v>0</v>
      </c>
      <c r="AN30" s="51">
        <f t="shared" si="7"/>
        <v>0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2.75" customHeight="1">
      <c r="A31" s="360" t="s">
        <v>303</v>
      </c>
      <c r="B31" s="348" t="s">
        <v>134</v>
      </c>
      <c r="C31" s="365" t="s">
        <v>226</v>
      </c>
      <c r="D31" s="357" t="s">
        <v>47</v>
      </c>
      <c r="E31" s="351" t="s">
        <v>47</v>
      </c>
      <c r="F31" s="353" t="s">
        <v>229</v>
      </c>
      <c r="G31" s="353" t="s">
        <v>229</v>
      </c>
      <c r="H31" s="353" t="s">
        <v>228</v>
      </c>
      <c r="I31" s="353" t="s">
        <v>228</v>
      </c>
      <c r="J31" s="354" t="s">
        <v>226</v>
      </c>
      <c r="K31" s="357" t="s">
        <v>47</v>
      </c>
      <c r="L31" s="351" t="s">
        <v>47</v>
      </c>
      <c r="M31" s="353" t="s">
        <v>229</v>
      </c>
      <c r="N31" s="353" t="s">
        <v>229</v>
      </c>
      <c r="O31" s="353" t="s">
        <v>228</v>
      </c>
      <c r="P31" s="353" t="s">
        <v>227</v>
      </c>
      <c r="Q31" s="354" t="s">
        <v>226</v>
      </c>
      <c r="R31" s="357" t="s">
        <v>47</v>
      </c>
      <c r="S31" s="351" t="s">
        <v>47</v>
      </c>
      <c r="T31" s="353" t="s">
        <v>230</v>
      </c>
      <c r="U31" s="353" t="s">
        <v>229</v>
      </c>
      <c r="V31" s="353" t="s">
        <v>228</v>
      </c>
      <c r="W31" s="353" t="s">
        <v>226</v>
      </c>
      <c r="X31" s="354" t="s">
        <v>226</v>
      </c>
      <c r="Y31" s="218" t="s">
        <v>226</v>
      </c>
      <c r="Z31" s="351" t="s">
        <v>47</v>
      </c>
      <c r="AA31" s="351" t="s">
        <v>47</v>
      </c>
      <c r="AB31" s="353" t="s">
        <v>228</v>
      </c>
      <c r="AC31" s="353" t="s">
        <v>228</v>
      </c>
      <c r="AD31" s="239" t="s">
        <v>231</v>
      </c>
      <c r="AE31" s="362" t="s">
        <v>231</v>
      </c>
      <c r="AF31" s="357" t="s">
        <v>47</v>
      </c>
      <c r="AG31" s="352" t="s">
        <v>47</v>
      </c>
      <c r="AH31" s="25"/>
      <c r="AI31" s="225">
        <f t="shared" si="2"/>
        <v>7</v>
      </c>
      <c r="AJ31" s="226">
        <f t="shared" si="3"/>
        <v>6</v>
      </c>
      <c r="AK31" s="48">
        <f t="shared" si="4"/>
        <v>1</v>
      </c>
      <c r="AL31" s="227">
        <f t="shared" si="5"/>
        <v>6</v>
      </c>
      <c r="AM31" s="228">
        <f t="shared" si="6"/>
        <v>5</v>
      </c>
      <c r="AN31" s="51">
        <f t="shared" si="7"/>
        <v>1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2.75" customHeight="1">
      <c r="A32" s="378" t="s">
        <v>304</v>
      </c>
      <c r="B32" s="379" t="s">
        <v>137</v>
      </c>
      <c r="C32" s="365" t="s">
        <v>230</v>
      </c>
      <c r="D32" s="218" t="s">
        <v>230</v>
      </c>
      <c r="E32" s="351" t="s">
        <v>47</v>
      </c>
      <c r="F32" s="351" t="s">
        <v>47</v>
      </c>
      <c r="G32" s="353" t="s">
        <v>230</v>
      </c>
      <c r="H32" s="353" t="s">
        <v>230</v>
      </c>
      <c r="I32" s="353" t="s">
        <v>230</v>
      </c>
      <c r="J32" s="354" t="s">
        <v>230</v>
      </c>
      <c r="K32" s="218" t="s">
        <v>230</v>
      </c>
      <c r="L32" s="351" t="s">
        <v>47</v>
      </c>
      <c r="M32" s="351" t="s">
        <v>47</v>
      </c>
      <c r="N32" s="353" t="s">
        <v>230</v>
      </c>
      <c r="O32" s="353" t="s">
        <v>230</v>
      </c>
      <c r="P32" s="353" t="s">
        <v>230</v>
      </c>
      <c r="Q32" s="354" t="s">
        <v>230</v>
      </c>
      <c r="R32" s="218" t="s">
        <v>230</v>
      </c>
      <c r="S32" s="351" t="s">
        <v>47</v>
      </c>
      <c r="T32" s="351" t="s">
        <v>47</v>
      </c>
      <c r="U32" s="353" t="s">
        <v>230</v>
      </c>
      <c r="V32" s="353" t="s">
        <v>230</v>
      </c>
      <c r="W32" s="353" t="s">
        <v>230</v>
      </c>
      <c r="X32" s="354" t="s">
        <v>230</v>
      </c>
      <c r="Y32" s="218" t="s">
        <v>230</v>
      </c>
      <c r="Z32" s="351" t="s">
        <v>47</v>
      </c>
      <c r="AA32" s="351" t="s">
        <v>47</v>
      </c>
      <c r="AB32" s="353" t="s">
        <v>230</v>
      </c>
      <c r="AC32" s="353" t="s">
        <v>230</v>
      </c>
      <c r="AD32" s="353" t="s">
        <v>230</v>
      </c>
      <c r="AE32" s="354" t="s">
        <v>230</v>
      </c>
      <c r="AF32" s="218" t="s">
        <v>230</v>
      </c>
      <c r="AG32" s="352" t="s">
        <v>47</v>
      </c>
      <c r="AH32" s="25"/>
      <c r="AI32" s="225"/>
      <c r="AJ32" s="226">
        <f t="shared" si="3"/>
        <v>0</v>
      </c>
      <c r="AK32" s="48">
        <f t="shared" si="4"/>
        <v>0</v>
      </c>
      <c r="AL32" s="227">
        <f t="shared" si="5"/>
        <v>0</v>
      </c>
      <c r="AM32" s="228">
        <f t="shared" si="6"/>
        <v>0</v>
      </c>
      <c r="AN32" s="51">
        <f t="shared" si="7"/>
        <v>22</v>
      </c>
      <c r="AO32" s="229"/>
      <c r="AP32" s="230"/>
      <c r="AQ32" s="67"/>
      <c r="AR32" s="67"/>
      <c r="AS32" s="67"/>
      <c r="AT32" s="67"/>
      <c r="AU32" s="67"/>
    </row>
    <row r="33" ht="12.75" customHeight="1">
      <c r="A33" s="369" t="s">
        <v>305</v>
      </c>
      <c r="B33" s="348" t="s">
        <v>140</v>
      </c>
      <c r="C33" s="365" t="s">
        <v>228</v>
      </c>
      <c r="D33" s="218" t="s">
        <v>228</v>
      </c>
      <c r="E33" s="353" t="s">
        <v>226</v>
      </c>
      <c r="F33" s="353" t="s">
        <v>227</v>
      </c>
      <c r="G33" s="351" t="s">
        <v>47</v>
      </c>
      <c r="H33" s="351" t="s">
        <v>47</v>
      </c>
      <c r="I33" s="353" t="s">
        <v>230</v>
      </c>
      <c r="J33" s="354" t="s">
        <v>229</v>
      </c>
      <c r="K33" s="218" t="s">
        <v>228</v>
      </c>
      <c r="L33" s="353" t="s">
        <v>226</v>
      </c>
      <c r="M33" s="353" t="s">
        <v>227</v>
      </c>
      <c r="N33" s="351" t="s">
        <v>47</v>
      </c>
      <c r="O33" s="351" t="s">
        <v>47</v>
      </c>
      <c r="P33" s="353" t="s">
        <v>229</v>
      </c>
      <c r="Q33" s="354" t="s">
        <v>228</v>
      </c>
      <c r="R33" s="218" t="s">
        <v>226</v>
      </c>
      <c r="S33" s="353" t="s">
        <v>226</v>
      </c>
      <c r="T33" s="353" t="s">
        <v>227</v>
      </c>
      <c r="U33" s="351" t="s">
        <v>47</v>
      </c>
      <c r="V33" s="351" t="s">
        <v>47</v>
      </c>
      <c r="W33" s="239" t="s">
        <v>231</v>
      </c>
      <c r="X33" s="354" t="s">
        <v>230</v>
      </c>
      <c r="Y33" s="218" t="s">
        <v>230</v>
      </c>
      <c r="Z33" s="353" t="s">
        <v>230</v>
      </c>
      <c r="AA33" s="353" t="s">
        <v>226</v>
      </c>
      <c r="AB33" s="351" t="s">
        <v>47</v>
      </c>
      <c r="AC33" s="351" t="s">
        <v>47</v>
      </c>
      <c r="AD33" s="353" t="s">
        <v>229</v>
      </c>
      <c r="AE33" s="354" t="s">
        <v>228</v>
      </c>
      <c r="AF33" s="218" t="s">
        <v>228</v>
      </c>
      <c r="AG33" s="354" t="s">
        <v>228</v>
      </c>
      <c r="AH33" s="25"/>
      <c r="AI33" s="225">
        <f t="shared" ref="AI33:AI45" si="35">SUM(AJ33:AK33)</f>
        <v>8</v>
      </c>
      <c r="AJ33" s="226">
        <f t="shared" si="3"/>
        <v>5</v>
      </c>
      <c r="AK33" s="48">
        <f t="shared" si="4"/>
        <v>3</v>
      </c>
      <c r="AL33" s="227">
        <f t="shared" si="5"/>
        <v>7</v>
      </c>
      <c r="AM33" s="228">
        <f t="shared" si="6"/>
        <v>3</v>
      </c>
      <c r="AN33" s="51">
        <f t="shared" si="7"/>
        <v>4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2.75" customHeight="1">
      <c r="A34" s="369" t="s">
        <v>306</v>
      </c>
      <c r="B34" s="348" t="s">
        <v>144</v>
      </c>
      <c r="C34" s="365" t="s">
        <v>228</v>
      </c>
      <c r="D34" s="218" t="s">
        <v>227</v>
      </c>
      <c r="E34" s="351" t="s">
        <v>47</v>
      </c>
      <c r="F34" s="351" t="s">
        <v>47</v>
      </c>
      <c r="G34" s="353" t="s">
        <v>230</v>
      </c>
      <c r="H34" s="353" t="s">
        <v>228</v>
      </c>
      <c r="I34" s="353" t="s">
        <v>228</v>
      </c>
      <c r="J34" s="354" t="s">
        <v>228</v>
      </c>
      <c r="K34" s="218" t="s">
        <v>228</v>
      </c>
      <c r="L34" s="351" t="s">
        <v>47</v>
      </c>
      <c r="M34" s="351" t="s">
        <v>47</v>
      </c>
      <c r="N34" s="239" t="s">
        <v>231</v>
      </c>
      <c r="O34" s="353" t="s">
        <v>230</v>
      </c>
      <c r="P34" s="353" t="s">
        <v>228</v>
      </c>
      <c r="Q34" s="354" t="s">
        <v>228</v>
      </c>
      <c r="R34" s="218" t="s">
        <v>228</v>
      </c>
      <c r="S34" s="351" t="s">
        <v>47</v>
      </c>
      <c r="T34" s="351" t="s">
        <v>47</v>
      </c>
      <c r="U34" s="239" t="s">
        <v>231</v>
      </c>
      <c r="V34" s="353" t="s">
        <v>228</v>
      </c>
      <c r="W34" s="353" t="s">
        <v>226</v>
      </c>
      <c r="X34" s="354" t="s">
        <v>226</v>
      </c>
      <c r="Y34" s="218" t="s">
        <v>227</v>
      </c>
      <c r="Z34" s="218" t="s">
        <v>227</v>
      </c>
      <c r="AA34" s="351" t="s">
        <v>47</v>
      </c>
      <c r="AB34" s="353" t="s">
        <v>229</v>
      </c>
      <c r="AC34" s="353" t="s">
        <v>228</v>
      </c>
      <c r="AD34" s="351" t="s">
        <v>47</v>
      </c>
      <c r="AE34" s="354" t="s">
        <v>227</v>
      </c>
      <c r="AF34" s="218" t="s">
        <v>226</v>
      </c>
      <c r="AG34" s="354" t="s">
        <v>226</v>
      </c>
      <c r="AH34" s="25"/>
      <c r="AI34" s="225">
        <f t="shared" si="35"/>
        <v>8</v>
      </c>
      <c r="AJ34" s="226">
        <f t="shared" si="3"/>
        <v>4</v>
      </c>
      <c r="AK34" s="48">
        <f t="shared" si="4"/>
        <v>4</v>
      </c>
      <c r="AL34" s="227">
        <f t="shared" si="5"/>
        <v>10</v>
      </c>
      <c r="AM34" s="228">
        <f t="shared" si="6"/>
        <v>1</v>
      </c>
      <c r="AN34" s="51">
        <f t="shared" si="7"/>
        <v>2</v>
      </c>
      <c r="AO34" s="229">
        <f t="shared" ref="AO34:AP34" si="36">COUNTIF($C34:$AF34,"PH")</f>
        <v>0</v>
      </c>
      <c r="AP34" s="230">
        <f t="shared" si="36"/>
        <v>0</v>
      </c>
      <c r="AQ34" s="67"/>
      <c r="AR34" s="67"/>
      <c r="AS34" s="67"/>
      <c r="AT34" s="67"/>
      <c r="AU34" s="67"/>
    </row>
    <row r="35" ht="12.75" customHeight="1">
      <c r="A35" s="369" t="s">
        <v>307</v>
      </c>
      <c r="B35" s="348" t="s">
        <v>147</v>
      </c>
      <c r="C35" s="365" t="s">
        <v>227</v>
      </c>
      <c r="D35" s="218" t="s">
        <v>226</v>
      </c>
      <c r="E35" s="351" t="s">
        <v>47</v>
      </c>
      <c r="F35" s="351" t="s">
        <v>47</v>
      </c>
      <c r="G35" s="353" t="s">
        <v>230</v>
      </c>
      <c r="H35" s="353" t="s">
        <v>228</v>
      </c>
      <c r="I35" s="353" t="s">
        <v>228</v>
      </c>
      <c r="J35" s="354" t="s">
        <v>228</v>
      </c>
      <c r="K35" s="218" t="s">
        <v>227</v>
      </c>
      <c r="L35" s="351" t="s">
        <v>47</v>
      </c>
      <c r="M35" s="351" t="s">
        <v>47</v>
      </c>
      <c r="N35" s="239" t="s">
        <v>231</v>
      </c>
      <c r="O35" s="239" t="s">
        <v>231</v>
      </c>
      <c r="P35" s="239" t="s">
        <v>231</v>
      </c>
      <c r="Q35" s="245" t="s">
        <v>231</v>
      </c>
      <c r="R35" s="251" t="s">
        <v>231</v>
      </c>
      <c r="S35" s="351" t="s">
        <v>47</v>
      </c>
      <c r="T35" s="351" t="s">
        <v>47</v>
      </c>
      <c r="U35" s="353" t="s">
        <v>230</v>
      </c>
      <c r="V35" s="353" t="s">
        <v>228</v>
      </c>
      <c r="W35" s="353" t="s">
        <v>226</v>
      </c>
      <c r="X35" s="354" t="s">
        <v>227</v>
      </c>
      <c r="Y35" s="218" t="s">
        <v>227</v>
      </c>
      <c r="Z35" s="353" t="s">
        <v>228</v>
      </c>
      <c r="AA35" s="351" t="s">
        <v>47</v>
      </c>
      <c r="AB35" s="353" t="s">
        <v>230</v>
      </c>
      <c r="AC35" s="353" t="s">
        <v>226</v>
      </c>
      <c r="AD35" s="351" t="s">
        <v>47</v>
      </c>
      <c r="AE35" s="218" t="s">
        <v>227</v>
      </c>
      <c r="AF35" s="357" t="s">
        <v>47</v>
      </c>
      <c r="AG35" s="218" t="s">
        <v>228</v>
      </c>
      <c r="AH35" s="25"/>
      <c r="AI35" s="225">
        <f t="shared" si="35"/>
        <v>8</v>
      </c>
      <c r="AJ35" s="226">
        <f t="shared" si="3"/>
        <v>3</v>
      </c>
      <c r="AK35" s="48">
        <f t="shared" si="4"/>
        <v>5</v>
      </c>
      <c r="AL35" s="227">
        <f t="shared" si="5"/>
        <v>6</v>
      </c>
      <c r="AM35" s="228">
        <f t="shared" si="6"/>
        <v>0</v>
      </c>
      <c r="AN35" s="51">
        <f t="shared" si="7"/>
        <v>3</v>
      </c>
      <c r="AO35" s="229">
        <f t="shared" ref="AO35:AP35" si="37">COUNTIF($C35:$AF35,"PH")</f>
        <v>0</v>
      </c>
      <c r="AP35" s="230">
        <f t="shared" si="37"/>
        <v>0</v>
      </c>
      <c r="AQ35" s="67"/>
      <c r="AR35" s="67"/>
      <c r="AS35" s="67"/>
      <c r="AT35" s="67"/>
      <c r="AU35" s="67"/>
    </row>
    <row r="36" ht="12.75" customHeight="1">
      <c r="A36" s="370" t="s">
        <v>308</v>
      </c>
      <c r="B36" s="348" t="s">
        <v>150</v>
      </c>
      <c r="C36" s="365" t="s">
        <v>226</v>
      </c>
      <c r="D36" s="357" t="s">
        <v>47</v>
      </c>
      <c r="E36" s="351" t="s">
        <v>47</v>
      </c>
      <c r="F36" s="239" t="s">
        <v>231</v>
      </c>
      <c r="G36" s="239" t="s">
        <v>231</v>
      </c>
      <c r="H36" s="353" t="s">
        <v>230</v>
      </c>
      <c r="I36" s="373" t="s">
        <v>226</v>
      </c>
      <c r="J36" s="375" t="s">
        <v>226</v>
      </c>
      <c r="K36" s="357" t="s">
        <v>47</v>
      </c>
      <c r="L36" s="351" t="s">
        <v>47</v>
      </c>
      <c r="M36" s="353" t="s">
        <v>230</v>
      </c>
      <c r="N36" s="353" t="s">
        <v>230</v>
      </c>
      <c r="O36" s="353" t="s">
        <v>226</v>
      </c>
      <c r="P36" s="353" t="s">
        <v>226</v>
      </c>
      <c r="Q36" s="354" t="s">
        <v>226</v>
      </c>
      <c r="R36" s="357" t="s">
        <v>47</v>
      </c>
      <c r="S36" s="351" t="s">
        <v>47</v>
      </c>
      <c r="T36" s="353" t="s">
        <v>230</v>
      </c>
      <c r="U36" s="353" t="s">
        <v>230</v>
      </c>
      <c r="V36" s="353" t="s">
        <v>226</v>
      </c>
      <c r="W36" s="353" t="s">
        <v>226</v>
      </c>
      <c r="X36" s="354" t="s">
        <v>226</v>
      </c>
      <c r="Y36" s="357" t="s">
        <v>47</v>
      </c>
      <c r="Z36" s="353" t="s">
        <v>230</v>
      </c>
      <c r="AA36" s="351" t="s">
        <v>47</v>
      </c>
      <c r="AB36" s="353" t="s">
        <v>230</v>
      </c>
      <c r="AC36" s="353" t="s">
        <v>230</v>
      </c>
      <c r="AD36" s="363" t="s">
        <v>229</v>
      </c>
      <c r="AE36" s="362" t="s">
        <v>231</v>
      </c>
      <c r="AF36" s="357" t="s">
        <v>47</v>
      </c>
      <c r="AG36" s="352" t="s">
        <v>47</v>
      </c>
      <c r="AH36" s="25"/>
      <c r="AI36" s="225">
        <f t="shared" si="35"/>
        <v>9</v>
      </c>
      <c r="AJ36" s="226">
        <f t="shared" si="3"/>
        <v>9</v>
      </c>
      <c r="AK36" s="48">
        <f t="shared" si="4"/>
        <v>0</v>
      </c>
      <c r="AL36" s="227">
        <f t="shared" si="5"/>
        <v>0</v>
      </c>
      <c r="AM36" s="228">
        <f t="shared" si="6"/>
        <v>1</v>
      </c>
      <c r="AN36" s="51">
        <f t="shared" si="7"/>
        <v>8</v>
      </c>
      <c r="AO36" s="229">
        <f t="shared" ref="AO36:AP36" si="38">COUNTIF($C36:$AF36,"PH")</f>
        <v>0</v>
      </c>
      <c r="AP36" s="230">
        <f t="shared" si="38"/>
        <v>0</v>
      </c>
      <c r="AQ36" s="67"/>
      <c r="AR36" s="67"/>
      <c r="AS36" s="67"/>
      <c r="AT36" s="67"/>
      <c r="AU36" s="67"/>
    </row>
    <row r="37" ht="12.75" customHeight="1">
      <c r="A37" s="360" t="s">
        <v>309</v>
      </c>
      <c r="B37" s="348" t="s">
        <v>153</v>
      </c>
      <c r="C37" s="380" t="s">
        <v>227</v>
      </c>
      <c r="D37" s="218" t="s">
        <v>226</v>
      </c>
      <c r="E37" s="353" t="s">
        <v>226</v>
      </c>
      <c r="F37" s="351" t="s">
        <v>47</v>
      </c>
      <c r="G37" s="351" t="s">
        <v>47</v>
      </c>
      <c r="H37" s="353" t="s">
        <v>230</v>
      </c>
      <c r="I37" s="353" t="s">
        <v>229</v>
      </c>
      <c r="J37" s="354" t="s">
        <v>228</v>
      </c>
      <c r="K37" s="218" t="s">
        <v>227</v>
      </c>
      <c r="L37" s="239" t="s">
        <v>231</v>
      </c>
      <c r="M37" s="351" t="s">
        <v>47</v>
      </c>
      <c r="N37" s="351" t="s">
        <v>47</v>
      </c>
      <c r="O37" s="239" t="s">
        <v>231</v>
      </c>
      <c r="P37" s="239" t="s">
        <v>231</v>
      </c>
      <c r="Q37" s="245" t="s">
        <v>231</v>
      </c>
      <c r="R37" s="251" t="s">
        <v>231</v>
      </c>
      <c r="S37" s="353" t="s">
        <v>230</v>
      </c>
      <c r="T37" s="351" t="s">
        <v>47</v>
      </c>
      <c r="U37" s="351" t="s">
        <v>47</v>
      </c>
      <c r="V37" s="353" t="s">
        <v>230</v>
      </c>
      <c r="W37" s="353" t="s">
        <v>228</v>
      </c>
      <c r="X37" s="354" t="s">
        <v>228</v>
      </c>
      <c r="Y37" s="218" t="s">
        <v>228</v>
      </c>
      <c r="Z37" s="353" t="s">
        <v>226</v>
      </c>
      <c r="AA37" s="353" t="s">
        <v>226</v>
      </c>
      <c r="AB37" s="351" t="s">
        <v>47</v>
      </c>
      <c r="AC37" s="351" t="s">
        <v>47</v>
      </c>
      <c r="AD37" s="363" t="s">
        <v>228</v>
      </c>
      <c r="AE37" s="362" t="s">
        <v>231</v>
      </c>
      <c r="AF37" s="361" t="s">
        <v>231</v>
      </c>
      <c r="AG37" s="362" t="s">
        <v>231</v>
      </c>
      <c r="AH37" s="25"/>
      <c r="AI37" s="225">
        <f t="shared" si="35"/>
        <v>6</v>
      </c>
      <c r="AJ37" s="226">
        <f t="shared" si="3"/>
        <v>4</v>
      </c>
      <c r="AK37" s="48">
        <f t="shared" si="4"/>
        <v>2</v>
      </c>
      <c r="AL37" s="227">
        <f t="shared" si="5"/>
        <v>5</v>
      </c>
      <c r="AM37" s="228">
        <f t="shared" si="6"/>
        <v>1</v>
      </c>
      <c r="AN37" s="51">
        <f t="shared" si="7"/>
        <v>3</v>
      </c>
      <c r="AO37" s="229">
        <f t="shared" ref="AO37:AP37" si="39">COUNTIF($C37:$AF37,"PH")</f>
        <v>0</v>
      </c>
      <c r="AP37" s="230">
        <f t="shared" si="39"/>
        <v>0</v>
      </c>
      <c r="AQ37" s="67"/>
      <c r="AR37" s="67"/>
      <c r="AS37" s="67"/>
      <c r="AT37" s="67"/>
      <c r="AU37" s="67"/>
    </row>
    <row r="38" ht="12.75" customHeight="1">
      <c r="A38" s="360" t="s">
        <v>310</v>
      </c>
      <c r="B38" s="348" t="s">
        <v>156</v>
      </c>
      <c r="C38" s="365" t="s">
        <v>226</v>
      </c>
      <c r="D38" s="357" t="s">
        <v>47</v>
      </c>
      <c r="E38" s="351" t="s">
        <v>47</v>
      </c>
      <c r="F38" s="353" t="s">
        <v>230</v>
      </c>
      <c r="G38" s="353" t="s">
        <v>229</v>
      </c>
      <c r="H38" s="353" t="s">
        <v>228</v>
      </c>
      <c r="I38" s="353" t="s">
        <v>228</v>
      </c>
      <c r="J38" s="354" t="s">
        <v>226</v>
      </c>
      <c r="K38" s="357" t="s">
        <v>47</v>
      </c>
      <c r="L38" s="351" t="s">
        <v>47</v>
      </c>
      <c r="M38" s="239" t="s">
        <v>231</v>
      </c>
      <c r="N38" s="353" t="s">
        <v>229</v>
      </c>
      <c r="O38" s="353" t="s">
        <v>228</v>
      </c>
      <c r="P38" s="353" t="s">
        <v>228</v>
      </c>
      <c r="Q38" s="354" t="s">
        <v>227</v>
      </c>
      <c r="R38" s="357" t="s">
        <v>47</v>
      </c>
      <c r="S38" s="351" t="s">
        <v>47</v>
      </c>
      <c r="T38" s="353" t="s">
        <v>230</v>
      </c>
      <c r="U38" s="353" t="s">
        <v>229</v>
      </c>
      <c r="V38" s="353" t="s">
        <v>228</v>
      </c>
      <c r="W38" s="353" t="s">
        <v>226</v>
      </c>
      <c r="X38" s="354" t="s">
        <v>226</v>
      </c>
      <c r="Y38" s="218" t="s">
        <v>226</v>
      </c>
      <c r="Z38" s="351" t="s">
        <v>47</v>
      </c>
      <c r="AA38" s="351" t="s">
        <v>47</v>
      </c>
      <c r="AB38" s="353" t="s">
        <v>229</v>
      </c>
      <c r="AC38" s="353" t="s">
        <v>228</v>
      </c>
      <c r="AD38" s="363" t="s">
        <v>228</v>
      </c>
      <c r="AE38" s="362" t="s">
        <v>231</v>
      </c>
      <c r="AF38" s="357" t="s">
        <v>47</v>
      </c>
      <c r="AG38" s="352" t="s">
        <v>47</v>
      </c>
      <c r="AH38" s="25"/>
      <c r="AI38" s="225">
        <f t="shared" si="35"/>
        <v>6</v>
      </c>
      <c r="AJ38" s="226">
        <f t="shared" si="3"/>
        <v>5</v>
      </c>
      <c r="AK38" s="48">
        <f t="shared" si="4"/>
        <v>1</v>
      </c>
      <c r="AL38" s="227">
        <f t="shared" si="5"/>
        <v>7</v>
      </c>
      <c r="AM38" s="228">
        <f t="shared" si="6"/>
        <v>4</v>
      </c>
      <c r="AN38" s="51">
        <f t="shared" si="7"/>
        <v>2</v>
      </c>
      <c r="AO38" s="229">
        <f t="shared" ref="AO38:AP38" si="40">COUNTIF($C38:$AF38,"PH")</f>
        <v>0</v>
      </c>
      <c r="AP38" s="230">
        <f t="shared" si="40"/>
        <v>0</v>
      </c>
      <c r="AQ38" s="67"/>
      <c r="AR38" s="67"/>
      <c r="AS38" s="67"/>
      <c r="AT38" s="67"/>
      <c r="AU38" s="67"/>
    </row>
    <row r="39" ht="12.75" customHeight="1">
      <c r="A39" s="360" t="s">
        <v>311</v>
      </c>
      <c r="B39" s="348" t="s">
        <v>159</v>
      </c>
      <c r="C39" s="365" t="s">
        <v>228</v>
      </c>
      <c r="D39" s="218" t="s">
        <v>226</v>
      </c>
      <c r="E39" s="353" t="s">
        <v>226</v>
      </c>
      <c r="F39" s="351" t="s">
        <v>47</v>
      </c>
      <c r="G39" s="351" t="s">
        <v>47</v>
      </c>
      <c r="H39" s="353" t="s">
        <v>230</v>
      </c>
      <c r="I39" s="353" t="s">
        <v>227</v>
      </c>
      <c r="J39" s="247" t="s">
        <v>43</v>
      </c>
      <c r="K39" s="251" t="s">
        <v>231</v>
      </c>
      <c r="L39" s="353" t="s">
        <v>227</v>
      </c>
      <c r="M39" s="351" t="s">
        <v>47</v>
      </c>
      <c r="N39" s="351" t="s">
        <v>47</v>
      </c>
      <c r="O39" s="353" t="s">
        <v>229</v>
      </c>
      <c r="P39" s="353" t="s">
        <v>228</v>
      </c>
      <c r="Q39" s="354" t="s">
        <v>226</v>
      </c>
      <c r="R39" s="218" t="s">
        <v>226</v>
      </c>
      <c r="S39" s="353" t="s">
        <v>226</v>
      </c>
      <c r="T39" s="351" t="s">
        <v>47</v>
      </c>
      <c r="U39" s="351" t="s">
        <v>47</v>
      </c>
      <c r="V39" s="353" t="s">
        <v>230</v>
      </c>
      <c r="W39" s="353" t="s">
        <v>230</v>
      </c>
      <c r="X39" s="354" t="s">
        <v>228</v>
      </c>
      <c r="Y39" s="218" t="s">
        <v>228</v>
      </c>
      <c r="Z39" s="353" t="s">
        <v>228</v>
      </c>
      <c r="AA39" s="351" t="s">
        <v>47</v>
      </c>
      <c r="AB39" s="351" t="s">
        <v>47</v>
      </c>
      <c r="AC39" s="353" t="s">
        <v>230</v>
      </c>
      <c r="AD39" s="363" t="s">
        <v>228</v>
      </c>
      <c r="AE39" s="362" t="s">
        <v>231</v>
      </c>
      <c r="AF39" s="361" t="s">
        <v>231</v>
      </c>
      <c r="AG39" s="247" t="s">
        <v>43</v>
      </c>
      <c r="AH39" s="25"/>
      <c r="AI39" s="225">
        <f t="shared" si="35"/>
        <v>7</v>
      </c>
      <c r="AJ39" s="226">
        <f t="shared" si="3"/>
        <v>5</v>
      </c>
      <c r="AK39" s="48">
        <f t="shared" si="4"/>
        <v>2</v>
      </c>
      <c r="AL39" s="227">
        <f t="shared" si="5"/>
        <v>6</v>
      </c>
      <c r="AM39" s="228">
        <f t="shared" si="6"/>
        <v>1</v>
      </c>
      <c r="AN39" s="51">
        <f t="shared" si="7"/>
        <v>4</v>
      </c>
      <c r="AO39" s="229">
        <f t="shared" ref="AO39:AP39" si="41">COUNTIF($C39:$AF39,"PH")</f>
        <v>1</v>
      </c>
      <c r="AP39" s="230">
        <f t="shared" si="41"/>
        <v>1</v>
      </c>
      <c r="AQ39" s="67"/>
      <c r="AR39" s="67"/>
      <c r="AS39" s="67"/>
      <c r="AT39" s="67"/>
      <c r="AU39" s="67"/>
    </row>
    <row r="40" ht="12.75" customHeight="1">
      <c r="A40" s="376" t="s">
        <v>312</v>
      </c>
      <c r="B40" s="348" t="s">
        <v>162</v>
      </c>
      <c r="C40" s="365" t="s">
        <v>230</v>
      </c>
      <c r="D40" s="377" t="s">
        <v>228</v>
      </c>
      <c r="E40" s="238" t="s">
        <v>43</v>
      </c>
      <c r="F40" s="238" t="s">
        <v>43</v>
      </c>
      <c r="G40" s="238" t="s">
        <v>43</v>
      </c>
      <c r="H40" s="351" t="s">
        <v>47</v>
      </c>
      <c r="I40" s="351" t="s">
        <v>47</v>
      </c>
      <c r="J40" s="354" t="s">
        <v>230</v>
      </c>
      <c r="K40" s="218" t="s">
        <v>228</v>
      </c>
      <c r="L40" s="353" t="s">
        <v>228</v>
      </c>
      <c r="M40" s="353" t="s">
        <v>226</v>
      </c>
      <c r="N40" s="353" t="s">
        <v>226</v>
      </c>
      <c r="O40" s="351" t="s">
        <v>47</v>
      </c>
      <c r="P40" s="351" t="s">
        <v>47</v>
      </c>
      <c r="Q40" s="354" t="s">
        <v>229</v>
      </c>
      <c r="R40" s="218" t="s">
        <v>228</v>
      </c>
      <c r="S40" s="353" t="s">
        <v>227</v>
      </c>
      <c r="T40" s="353" t="s">
        <v>227</v>
      </c>
      <c r="U40" s="353" t="s">
        <v>226</v>
      </c>
      <c r="V40" s="351" t="s">
        <v>47</v>
      </c>
      <c r="W40" s="351" t="s">
        <v>47</v>
      </c>
      <c r="X40" s="354" t="s">
        <v>228</v>
      </c>
      <c r="Y40" s="218" t="s">
        <v>228</v>
      </c>
      <c r="Z40" s="353" t="s">
        <v>228</v>
      </c>
      <c r="AA40" s="353" t="s">
        <v>227</v>
      </c>
      <c r="AB40" s="353" t="s">
        <v>227</v>
      </c>
      <c r="AC40" s="351" t="s">
        <v>47</v>
      </c>
      <c r="AD40" s="351" t="s">
        <v>47</v>
      </c>
      <c r="AE40" s="354" t="s">
        <v>230</v>
      </c>
      <c r="AF40" s="218" t="s">
        <v>230</v>
      </c>
      <c r="AG40" s="354" t="s">
        <v>230</v>
      </c>
      <c r="AH40" s="25"/>
      <c r="AI40" s="225">
        <f t="shared" si="35"/>
        <v>7</v>
      </c>
      <c r="AJ40" s="226">
        <f t="shared" si="3"/>
        <v>3</v>
      </c>
      <c r="AK40" s="48">
        <f t="shared" si="4"/>
        <v>4</v>
      </c>
      <c r="AL40" s="227">
        <f t="shared" si="5"/>
        <v>7</v>
      </c>
      <c r="AM40" s="228">
        <f t="shared" si="6"/>
        <v>1</v>
      </c>
      <c r="AN40" s="51">
        <f t="shared" si="7"/>
        <v>5</v>
      </c>
      <c r="AO40" s="229">
        <f t="shared" ref="AO40:AP40" si="42">COUNTIF($C40:$AF40,"PH")</f>
        <v>3</v>
      </c>
      <c r="AP40" s="230">
        <f t="shared" si="42"/>
        <v>3</v>
      </c>
      <c r="AQ40" s="67"/>
      <c r="AR40" s="67"/>
      <c r="AS40" s="67"/>
      <c r="AT40" s="67"/>
      <c r="AU40" s="67"/>
    </row>
    <row r="41" ht="12.75" customHeight="1">
      <c r="A41" s="369" t="s">
        <v>313</v>
      </c>
      <c r="B41" s="348" t="s">
        <v>165</v>
      </c>
      <c r="C41" s="365" t="s">
        <v>229</v>
      </c>
      <c r="D41" s="218" t="s">
        <v>227</v>
      </c>
      <c r="E41" s="381" t="s">
        <v>227</v>
      </c>
      <c r="F41" s="381" t="s">
        <v>227</v>
      </c>
      <c r="G41" s="351" t="s">
        <v>47</v>
      </c>
      <c r="H41" s="351" t="s">
        <v>47</v>
      </c>
      <c r="I41" s="353" t="s">
        <v>230</v>
      </c>
      <c r="J41" s="354" t="s">
        <v>230</v>
      </c>
      <c r="K41" s="218" t="s">
        <v>230</v>
      </c>
      <c r="L41" s="381" t="s">
        <v>228</v>
      </c>
      <c r="M41" s="381" t="s">
        <v>226</v>
      </c>
      <c r="N41" s="351" t="s">
        <v>47</v>
      </c>
      <c r="O41" s="351" t="s">
        <v>47</v>
      </c>
      <c r="P41" s="353" t="s">
        <v>230</v>
      </c>
      <c r="Q41" s="354" t="s">
        <v>229</v>
      </c>
      <c r="R41" s="218" t="s">
        <v>228</v>
      </c>
      <c r="S41" s="373" t="s">
        <v>228</v>
      </c>
      <c r="T41" s="381" t="s">
        <v>226</v>
      </c>
      <c r="U41" s="351" t="s">
        <v>47</v>
      </c>
      <c r="V41" s="351" t="s">
        <v>47</v>
      </c>
      <c r="W41" s="353" t="s">
        <v>230</v>
      </c>
      <c r="X41" s="354" t="s">
        <v>229</v>
      </c>
      <c r="Y41" s="382" t="s">
        <v>229</v>
      </c>
      <c r="Z41" s="383" t="s">
        <v>229</v>
      </c>
      <c r="AA41" s="383" t="s">
        <v>228</v>
      </c>
      <c r="AB41" s="384" t="s">
        <v>47</v>
      </c>
      <c r="AC41" s="384" t="s">
        <v>47</v>
      </c>
      <c r="AD41" s="385" t="s">
        <v>227</v>
      </c>
      <c r="AE41" s="386" t="s">
        <v>228</v>
      </c>
      <c r="AF41" s="382" t="s">
        <v>227</v>
      </c>
      <c r="AG41" s="386" t="s">
        <v>226</v>
      </c>
      <c r="AH41" s="25"/>
      <c r="AI41" s="225">
        <f t="shared" si="35"/>
        <v>8</v>
      </c>
      <c r="AJ41" s="226">
        <f t="shared" si="3"/>
        <v>3</v>
      </c>
      <c r="AK41" s="48">
        <f t="shared" si="4"/>
        <v>5</v>
      </c>
      <c r="AL41" s="227">
        <f t="shared" si="5"/>
        <v>5</v>
      </c>
      <c r="AM41" s="228">
        <f t="shared" si="6"/>
        <v>5</v>
      </c>
      <c r="AN41" s="51">
        <f t="shared" si="7"/>
        <v>5</v>
      </c>
      <c r="AO41" s="229">
        <f t="shared" ref="AO41:AP41" si="43">COUNTIF($C41:$AF41,"PH")</f>
        <v>0</v>
      </c>
      <c r="AP41" s="230">
        <f t="shared" si="43"/>
        <v>0</v>
      </c>
      <c r="AQ41" s="67"/>
      <c r="AR41" s="67"/>
      <c r="AS41" s="67"/>
      <c r="AT41" s="67"/>
      <c r="AU41" s="67"/>
    </row>
    <row r="42" ht="12.75" customHeight="1">
      <c r="A42" s="369" t="s">
        <v>314</v>
      </c>
      <c r="B42" s="348" t="s">
        <v>168</v>
      </c>
      <c r="C42" s="365" t="s">
        <v>228</v>
      </c>
      <c r="D42" s="218" t="s">
        <v>226</v>
      </c>
      <c r="E42" s="353" t="s">
        <v>226</v>
      </c>
      <c r="F42" s="353" t="s">
        <v>226</v>
      </c>
      <c r="G42" s="351" t="s">
        <v>47</v>
      </c>
      <c r="H42" s="351" t="s">
        <v>47</v>
      </c>
      <c r="I42" s="239" t="s">
        <v>231</v>
      </c>
      <c r="J42" s="354" t="s">
        <v>229</v>
      </c>
      <c r="K42" s="218" t="s">
        <v>228</v>
      </c>
      <c r="L42" s="353" t="s">
        <v>227</v>
      </c>
      <c r="M42" s="239" t="s">
        <v>231</v>
      </c>
      <c r="N42" s="351" t="s">
        <v>47</v>
      </c>
      <c r="O42" s="351" t="s">
        <v>47</v>
      </c>
      <c r="P42" s="353" t="s">
        <v>229</v>
      </c>
      <c r="Q42" s="354" t="s">
        <v>226</v>
      </c>
      <c r="R42" s="218" t="s">
        <v>226</v>
      </c>
      <c r="S42" s="239" t="s">
        <v>231</v>
      </c>
      <c r="T42" s="239" t="s">
        <v>231</v>
      </c>
      <c r="U42" s="351" t="s">
        <v>47</v>
      </c>
      <c r="V42" s="351" t="s">
        <v>47</v>
      </c>
      <c r="W42" s="239" t="s">
        <v>231</v>
      </c>
      <c r="X42" s="354"/>
      <c r="Y42" s="387"/>
      <c r="Z42" s="388"/>
      <c r="AA42" s="388"/>
      <c r="AB42" s="388"/>
      <c r="AC42" s="388"/>
      <c r="AD42" s="388"/>
      <c r="AE42" s="388"/>
      <c r="AF42" s="388"/>
      <c r="AG42" s="388"/>
      <c r="AH42" s="25"/>
      <c r="AI42" s="225">
        <f t="shared" si="35"/>
        <v>6</v>
      </c>
      <c r="AJ42" s="226">
        <f t="shared" si="3"/>
        <v>5</v>
      </c>
      <c r="AK42" s="48">
        <f t="shared" si="4"/>
        <v>1</v>
      </c>
      <c r="AL42" s="227">
        <f t="shared" si="5"/>
        <v>2</v>
      </c>
      <c r="AM42" s="228">
        <f t="shared" si="6"/>
        <v>2</v>
      </c>
      <c r="AN42" s="51">
        <f t="shared" si="7"/>
        <v>0</v>
      </c>
      <c r="AO42" s="229">
        <f t="shared" ref="AO42:AP42" si="44">COUNTIF($C42:$AF42,"PH")</f>
        <v>0</v>
      </c>
      <c r="AP42" s="230">
        <f t="shared" si="44"/>
        <v>0</v>
      </c>
      <c r="AQ42" s="67"/>
      <c r="AR42" s="67"/>
      <c r="AS42" s="67"/>
      <c r="AT42" s="67"/>
      <c r="AU42" s="67"/>
    </row>
    <row r="43" ht="12.75" customHeight="1">
      <c r="A43" s="364" t="s">
        <v>315</v>
      </c>
      <c r="B43" s="348" t="s">
        <v>171</v>
      </c>
      <c r="C43" s="371" t="s">
        <v>231</v>
      </c>
      <c r="D43" s="251" t="s">
        <v>231</v>
      </c>
      <c r="E43" s="353" t="s">
        <v>228</v>
      </c>
      <c r="F43" s="351" t="s">
        <v>47</v>
      </c>
      <c r="G43" s="351" t="s">
        <v>47</v>
      </c>
      <c r="H43" s="353" t="s">
        <v>230</v>
      </c>
      <c r="I43" s="353" t="s">
        <v>230</v>
      </c>
      <c r="J43" s="354" t="s">
        <v>228</v>
      </c>
      <c r="K43" s="218" t="s">
        <v>226</v>
      </c>
      <c r="L43" s="353" t="s">
        <v>226</v>
      </c>
      <c r="M43" s="351" t="s">
        <v>47</v>
      </c>
      <c r="N43" s="351" t="s">
        <v>47</v>
      </c>
      <c r="O43" s="353" t="s">
        <v>230</v>
      </c>
      <c r="P43" s="353" t="s">
        <v>228</v>
      </c>
      <c r="Q43" s="354" t="s">
        <v>227</v>
      </c>
      <c r="R43" s="218" t="s">
        <v>226</v>
      </c>
      <c r="S43" s="353" t="s">
        <v>226</v>
      </c>
      <c r="T43" s="351" t="s">
        <v>47</v>
      </c>
      <c r="U43" s="351" t="s">
        <v>47</v>
      </c>
      <c r="V43" s="353" t="s">
        <v>230</v>
      </c>
      <c r="W43" s="363" t="s">
        <v>228</v>
      </c>
      <c r="X43" s="362" t="s">
        <v>231</v>
      </c>
      <c r="Y43" s="389" t="s">
        <v>231</v>
      </c>
      <c r="Z43" s="390" t="s">
        <v>231</v>
      </c>
      <c r="AA43" s="391" t="s">
        <v>47</v>
      </c>
      <c r="AB43" s="391" t="s">
        <v>47</v>
      </c>
      <c r="AC43" s="392" t="s">
        <v>229</v>
      </c>
      <c r="AD43" s="392" t="s">
        <v>227</v>
      </c>
      <c r="AE43" s="393" t="s">
        <v>226</v>
      </c>
      <c r="AF43" s="394" t="s">
        <v>226</v>
      </c>
      <c r="AG43" s="393" t="s">
        <v>226</v>
      </c>
      <c r="AH43" s="25"/>
      <c r="AI43" s="225">
        <f t="shared" si="35"/>
        <v>9</v>
      </c>
      <c r="AJ43" s="226">
        <f t="shared" si="3"/>
        <v>7</v>
      </c>
      <c r="AK43" s="48">
        <f t="shared" si="4"/>
        <v>2</v>
      </c>
      <c r="AL43" s="227">
        <f t="shared" si="5"/>
        <v>4</v>
      </c>
      <c r="AM43" s="228">
        <f t="shared" si="6"/>
        <v>1</v>
      </c>
      <c r="AN43" s="51">
        <f t="shared" si="7"/>
        <v>4</v>
      </c>
      <c r="AO43" s="229">
        <f t="shared" ref="AO43:AP43" si="45">COUNTIF($C43:$AF43,"PH")</f>
        <v>0</v>
      </c>
      <c r="AP43" s="230">
        <f t="shared" si="45"/>
        <v>0</v>
      </c>
      <c r="AQ43" s="67"/>
      <c r="AR43" s="67"/>
      <c r="AS43" s="67"/>
      <c r="AT43" s="67"/>
      <c r="AU43" s="67"/>
    </row>
    <row r="44" ht="12.75" customHeight="1">
      <c r="A44" s="395" t="s">
        <v>316</v>
      </c>
      <c r="B44" s="396" t="s">
        <v>174</v>
      </c>
      <c r="C44" s="371" t="s">
        <v>231</v>
      </c>
      <c r="D44" s="218" t="s">
        <v>230</v>
      </c>
      <c r="E44" s="353" t="s">
        <v>228</v>
      </c>
      <c r="F44" s="353" t="s">
        <v>228</v>
      </c>
      <c r="G44" s="351" t="s">
        <v>47</v>
      </c>
      <c r="H44" s="351" t="s">
        <v>47</v>
      </c>
      <c r="I44" s="353" t="s">
        <v>230</v>
      </c>
      <c r="J44" s="245" t="s">
        <v>231</v>
      </c>
      <c r="K44" s="218" t="s">
        <v>229</v>
      </c>
      <c r="L44" s="381" t="s">
        <v>226</v>
      </c>
      <c r="M44" s="353" t="s">
        <v>226</v>
      </c>
      <c r="N44" s="351" t="s">
        <v>47</v>
      </c>
      <c r="O44" s="351" t="s">
        <v>47</v>
      </c>
      <c r="P44" s="353" t="s">
        <v>230</v>
      </c>
      <c r="Q44" s="354" t="s">
        <v>228</v>
      </c>
      <c r="R44" s="218" t="s">
        <v>228</v>
      </c>
      <c r="S44" s="381" t="s">
        <v>226</v>
      </c>
      <c r="T44" s="381" t="s">
        <v>226</v>
      </c>
      <c r="U44" s="351" t="s">
        <v>47</v>
      </c>
      <c r="V44" s="351" t="s">
        <v>47</v>
      </c>
      <c r="W44" s="353" t="s">
        <v>229</v>
      </c>
      <c r="X44" s="354" t="s">
        <v>229</v>
      </c>
      <c r="Y44" s="372" t="s">
        <v>229</v>
      </c>
      <c r="Z44" s="353" t="s">
        <v>229</v>
      </c>
      <c r="AA44" s="353" t="s">
        <v>228</v>
      </c>
      <c r="AB44" s="351" t="s">
        <v>47</v>
      </c>
      <c r="AC44" s="351" t="s">
        <v>47</v>
      </c>
      <c r="AD44" s="353" t="s">
        <v>230</v>
      </c>
      <c r="AE44" s="354" t="s">
        <v>226</v>
      </c>
      <c r="AF44" s="218" t="s">
        <v>227</v>
      </c>
      <c r="AG44" s="354" t="s">
        <v>227</v>
      </c>
      <c r="AH44" s="112"/>
      <c r="AI44" s="225">
        <f t="shared" si="35"/>
        <v>7</v>
      </c>
      <c r="AJ44" s="226">
        <f t="shared" si="3"/>
        <v>5</v>
      </c>
      <c r="AK44" s="48">
        <f t="shared" si="4"/>
        <v>2</v>
      </c>
      <c r="AL44" s="227">
        <f t="shared" si="5"/>
        <v>5</v>
      </c>
      <c r="AM44" s="228">
        <f t="shared" si="6"/>
        <v>5</v>
      </c>
      <c r="AN44" s="51">
        <f t="shared" si="7"/>
        <v>4</v>
      </c>
      <c r="AO44" s="229">
        <f t="shared" ref="AO44:AP44" si="46">COUNTIF($C44:$AF44,"PH")</f>
        <v>0</v>
      </c>
      <c r="AP44" s="230">
        <f t="shared" si="46"/>
        <v>0</v>
      </c>
      <c r="AQ44" s="114"/>
      <c r="AR44" s="114"/>
      <c r="AS44" s="114"/>
      <c r="AT44" s="114"/>
      <c r="AU44" s="114"/>
    </row>
    <row r="45" ht="12.75" customHeight="1">
      <c r="A45" s="397" t="s">
        <v>317</v>
      </c>
      <c r="B45" s="398" t="s">
        <v>275</v>
      </c>
      <c r="C45" s="399" t="s">
        <v>228</v>
      </c>
      <c r="D45" s="382" t="s">
        <v>227</v>
      </c>
      <c r="E45" s="383" t="s">
        <v>226</v>
      </c>
      <c r="F45" s="384" t="s">
        <v>47</v>
      </c>
      <c r="G45" s="384" t="s">
        <v>47</v>
      </c>
      <c r="H45" s="385" t="s">
        <v>230</v>
      </c>
      <c r="I45" s="385" t="s">
        <v>229</v>
      </c>
      <c r="J45" s="386" t="s">
        <v>228</v>
      </c>
      <c r="K45" s="382" t="s">
        <v>226</v>
      </c>
      <c r="L45" s="383" t="s">
        <v>226</v>
      </c>
      <c r="M45" s="384" t="s">
        <v>47</v>
      </c>
      <c r="N45" s="384" t="s">
        <v>47</v>
      </c>
      <c r="O45" s="385" t="s">
        <v>230</v>
      </c>
      <c r="P45" s="385" t="s">
        <v>229</v>
      </c>
      <c r="Q45" s="386" t="s">
        <v>228</v>
      </c>
      <c r="R45" s="382" t="s">
        <v>227</v>
      </c>
      <c r="S45" s="383" t="s">
        <v>226</v>
      </c>
      <c r="T45" s="384" t="s">
        <v>47</v>
      </c>
      <c r="U45" s="384" t="s">
        <v>47</v>
      </c>
      <c r="V45" s="385" t="s">
        <v>229</v>
      </c>
      <c r="W45" s="385" t="s">
        <v>229</v>
      </c>
      <c r="X45" s="400" t="s">
        <v>228</v>
      </c>
      <c r="Y45" s="401" t="s">
        <v>226</v>
      </c>
      <c r="Z45" s="385" t="s">
        <v>226</v>
      </c>
      <c r="AA45" s="384" t="s">
        <v>47</v>
      </c>
      <c r="AB45" s="384" t="s">
        <v>47</v>
      </c>
      <c r="AC45" s="385" t="s">
        <v>230</v>
      </c>
      <c r="AD45" s="402" t="s">
        <v>228</v>
      </c>
      <c r="AE45" s="403" t="s">
        <v>231</v>
      </c>
      <c r="AF45" s="404" t="s">
        <v>231</v>
      </c>
      <c r="AG45" s="403" t="s">
        <v>231</v>
      </c>
      <c r="AH45" s="112"/>
      <c r="AI45" s="225">
        <f t="shared" si="35"/>
        <v>8</v>
      </c>
      <c r="AJ45" s="226">
        <f t="shared" si="3"/>
        <v>6</v>
      </c>
      <c r="AK45" s="48">
        <f t="shared" si="4"/>
        <v>2</v>
      </c>
      <c r="AL45" s="227">
        <f t="shared" si="5"/>
        <v>5</v>
      </c>
      <c r="AM45" s="228">
        <f t="shared" si="6"/>
        <v>4</v>
      </c>
      <c r="AN45" s="51">
        <f t="shared" si="7"/>
        <v>3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405" t="s">
        <v>276</v>
      </c>
      <c r="C47" s="406" t="s">
        <v>10</v>
      </c>
      <c r="D47" s="407" t="s">
        <v>11</v>
      </c>
      <c r="E47" s="408" t="s">
        <v>12</v>
      </c>
      <c r="F47" s="408" t="s">
        <v>13</v>
      </c>
      <c r="G47" s="408" t="s">
        <v>7</v>
      </c>
      <c r="H47" s="408" t="s">
        <v>8</v>
      </c>
      <c r="I47" s="408" t="s">
        <v>9</v>
      </c>
      <c r="J47" s="409" t="s">
        <v>10</v>
      </c>
      <c r="K47" s="407" t="s">
        <v>11</v>
      </c>
      <c r="L47" s="408" t="s">
        <v>12</v>
      </c>
      <c r="M47" s="408" t="s">
        <v>13</v>
      </c>
      <c r="N47" s="408" t="s">
        <v>7</v>
      </c>
      <c r="O47" s="408" t="s">
        <v>8</v>
      </c>
      <c r="P47" s="408" t="s">
        <v>9</v>
      </c>
      <c r="Q47" s="409" t="s">
        <v>10</v>
      </c>
      <c r="R47" s="407" t="s">
        <v>11</v>
      </c>
      <c r="S47" s="408" t="s">
        <v>12</v>
      </c>
      <c r="T47" s="408" t="s">
        <v>13</v>
      </c>
      <c r="U47" s="408" t="s">
        <v>7</v>
      </c>
      <c r="V47" s="408" t="s">
        <v>8</v>
      </c>
      <c r="W47" s="408" t="s">
        <v>9</v>
      </c>
      <c r="X47" s="410" t="s">
        <v>10</v>
      </c>
      <c r="Y47" s="411" t="s">
        <v>11</v>
      </c>
      <c r="Z47" s="412" t="s">
        <v>12</v>
      </c>
      <c r="AA47" s="408" t="s">
        <v>13</v>
      </c>
      <c r="AB47" s="408" t="s">
        <v>7</v>
      </c>
      <c r="AC47" s="408" t="s">
        <v>8</v>
      </c>
      <c r="AD47" s="408" t="s">
        <v>9</v>
      </c>
      <c r="AE47" s="410" t="s">
        <v>10</v>
      </c>
      <c r="AF47" s="411" t="s">
        <v>11</v>
      </c>
      <c r="AG47" s="410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413" t="s">
        <v>277</v>
      </c>
      <c r="C48" s="41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415" t="s">
        <v>279</v>
      </c>
      <c r="I48" s="415" t="s">
        <v>17</v>
      </c>
      <c r="J48" s="416" t="s">
        <v>18</v>
      </c>
      <c r="K48" s="417" t="s">
        <v>19</v>
      </c>
      <c r="L48" s="415" t="s">
        <v>20</v>
      </c>
      <c r="M48" s="415" t="s">
        <v>21</v>
      </c>
      <c r="N48" s="415" t="s">
        <v>22</v>
      </c>
      <c r="O48" s="415" t="s">
        <v>23</v>
      </c>
      <c r="P48" s="415" t="s">
        <v>24</v>
      </c>
      <c r="Q48" s="416" t="s">
        <v>25</v>
      </c>
      <c r="R48" s="417" t="s">
        <v>26</v>
      </c>
      <c r="S48" s="415" t="s">
        <v>27</v>
      </c>
      <c r="T48" s="415" t="s">
        <v>28</v>
      </c>
      <c r="U48" s="415" t="s">
        <v>29</v>
      </c>
      <c r="V48" s="415" t="s">
        <v>30</v>
      </c>
      <c r="W48" s="415" t="s">
        <v>31</v>
      </c>
      <c r="X48" s="416" t="s">
        <v>32</v>
      </c>
      <c r="Y48" s="417" t="s">
        <v>33</v>
      </c>
      <c r="Z48" s="415" t="s">
        <v>34</v>
      </c>
      <c r="AA48" s="415" t="s">
        <v>35</v>
      </c>
      <c r="AB48" s="415" t="s">
        <v>36</v>
      </c>
      <c r="AC48" s="415" t="s">
        <v>37</v>
      </c>
      <c r="AD48" s="415" t="s">
        <v>38</v>
      </c>
      <c r="AE48" s="416" t="s">
        <v>39</v>
      </c>
      <c r="AF48" s="417" t="s">
        <v>40</v>
      </c>
      <c r="AG48" s="41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418" t="s">
        <v>230</v>
      </c>
      <c r="C49" s="419">
        <f t="shared" ref="C49:D49" si="47">COUNTIF(C5:C45,"A2")-1</f>
        <v>5</v>
      </c>
      <c r="D49" s="420">
        <f t="shared" si="47"/>
        <v>6</v>
      </c>
      <c r="E49" s="303">
        <f t="shared" ref="E49:F49" si="48">COUNTIF(E5:E45,"A2")</f>
        <v>5</v>
      </c>
      <c r="F49" s="303">
        <f t="shared" si="48"/>
        <v>5</v>
      </c>
      <c r="G49" s="303">
        <f t="shared" ref="G49:K49" si="49">COUNTIF(G5:G45,"A2")-1</f>
        <v>5</v>
      </c>
      <c r="H49" s="303">
        <f t="shared" si="49"/>
        <v>6</v>
      </c>
      <c r="I49" s="303">
        <f t="shared" si="49"/>
        <v>6</v>
      </c>
      <c r="J49" s="421">
        <f t="shared" si="49"/>
        <v>5</v>
      </c>
      <c r="K49" s="420">
        <f t="shared" si="49"/>
        <v>5</v>
      </c>
      <c r="L49" s="303">
        <f t="shared" ref="L49:M49" si="50">COUNTIF(L5:L45,"A2")</f>
        <v>5</v>
      </c>
      <c r="M49" s="303">
        <f t="shared" si="50"/>
        <v>6</v>
      </c>
      <c r="N49" s="303">
        <f t="shared" ref="N49:R49" si="51">COUNTIF(N5:N45,"A2")-1</f>
        <v>6</v>
      </c>
      <c r="O49" s="303">
        <f t="shared" si="51"/>
        <v>5</v>
      </c>
      <c r="P49" s="303">
        <f t="shared" si="51"/>
        <v>5</v>
      </c>
      <c r="Q49" s="421">
        <f t="shared" si="51"/>
        <v>5</v>
      </c>
      <c r="R49" s="420">
        <f t="shared" si="51"/>
        <v>5</v>
      </c>
      <c r="S49" s="303">
        <f t="shared" ref="S49:T49" si="52">COUNTIF(S5:S45,"A2")</f>
        <v>5</v>
      </c>
      <c r="T49" s="303">
        <f t="shared" si="52"/>
        <v>5</v>
      </c>
      <c r="U49" s="303">
        <f t="shared" ref="U49:Y49" si="53">COUNTIF(U5:U45,"A2")-1</f>
        <v>5</v>
      </c>
      <c r="V49" s="303">
        <f t="shared" si="53"/>
        <v>5</v>
      </c>
      <c r="W49" s="303">
        <f t="shared" si="53"/>
        <v>5</v>
      </c>
      <c r="X49" s="421">
        <f t="shared" si="53"/>
        <v>5</v>
      </c>
      <c r="Y49" s="420">
        <f t="shared" si="53"/>
        <v>5</v>
      </c>
      <c r="Z49" s="303">
        <f t="shared" ref="Z49:AA49" si="54">COUNTIF(Z5:Z45,"A2")</f>
        <v>5</v>
      </c>
      <c r="AA49" s="303">
        <f t="shared" si="54"/>
        <v>5</v>
      </c>
      <c r="AB49" s="303">
        <f t="shared" ref="AB49:AF49" si="55">COUNTIF(AB5:AB45,"A2")-1</f>
        <v>5</v>
      </c>
      <c r="AC49" s="303">
        <f t="shared" si="55"/>
        <v>5</v>
      </c>
      <c r="AD49" s="303">
        <f t="shared" si="55"/>
        <v>5</v>
      </c>
      <c r="AE49" s="421">
        <f t="shared" si="55"/>
        <v>5</v>
      </c>
      <c r="AF49" s="420">
        <f t="shared" si="55"/>
        <v>5</v>
      </c>
      <c r="AG49" s="421">
        <f>COUNTIF(AG5:AG45,"A2")</f>
        <v>5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422" t="s">
        <v>229</v>
      </c>
      <c r="C50" s="423">
        <f t="shared" ref="C50:AG50" si="56">COUNTIF(C5:C45,"A8")</f>
        <v>3</v>
      </c>
      <c r="D50" s="139">
        <f t="shared" si="56"/>
        <v>3</v>
      </c>
      <c r="E50" s="140">
        <f t="shared" si="56"/>
        <v>3</v>
      </c>
      <c r="F50" s="140">
        <f t="shared" si="56"/>
        <v>3</v>
      </c>
      <c r="G50" s="140">
        <f t="shared" si="56"/>
        <v>3</v>
      </c>
      <c r="H50" s="140">
        <f t="shared" si="56"/>
        <v>3</v>
      </c>
      <c r="I50" s="140">
        <f t="shared" si="56"/>
        <v>3</v>
      </c>
      <c r="J50" s="141">
        <f t="shared" si="56"/>
        <v>3</v>
      </c>
      <c r="K50" s="139">
        <f t="shared" si="56"/>
        <v>3</v>
      </c>
      <c r="L50" s="140">
        <f t="shared" si="56"/>
        <v>3</v>
      </c>
      <c r="M50" s="140">
        <f t="shared" si="56"/>
        <v>3</v>
      </c>
      <c r="N50" s="140">
        <f t="shared" si="56"/>
        <v>3</v>
      </c>
      <c r="O50" s="140">
        <f t="shared" si="56"/>
        <v>3</v>
      </c>
      <c r="P50" s="140">
        <f t="shared" si="56"/>
        <v>3</v>
      </c>
      <c r="Q50" s="141">
        <f t="shared" si="56"/>
        <v>3</v>
      </c>
      <c r="R50" s="139">
        <f t="shared" si="56"/>
        <v>3</v>
      </c>
      <c r="S50" s="140">
        <f t="shared" si="56"/>
        <v>3</v>
      </c>
      <c r="T50" s="140">
        <f t="shared" si="56"/>
        <v>3</v>
      </c>
      <c r="U50" s="140">
        <f t="shared" si="56"/>
        <v>3</v>
      </c>
      <c r="V50" s="140">
        <f t="shared" si="56"/>
        <v>3</v>
      </c>
      <c r="W50" s="140">
        <f t="shared" si="56"/>
        <v>3</v>
      </c>
      <c r="X50" s="141">
        <f t="shared" si="56"/>
        <v>2</v>
      </c>
      <c r="Y50" s="139">
        <f t="shared" si="56"/>
        <v>2</v>
      </c>
      <c r="Z50" s="140">
        <f t="shared" si="56"/>
        <v>2</v>
      </c>
      <c r="AA50" s="140">
        <f t="shared" si="56"/>
        <v>2</v>
      </c>
      <c r="AB50" s="140">
        <f t="shared" si="56"/>
        <v>2</v>
      </c>
      <c r="AC50" s="140">
        <f t="shared" si="56"/>
        <v>2</v>
      </c>
      <c r="AD50" s="140">
        <f t="shared" si="56"/>
        <v>2</v>
      </c>
      <c r="AE50" s="141">
        <f t="shared" si="56"/>
        <v>2</v>
      </c>
      <c r="AF50" s="139">
        <f t="shared" si="56"/>
        <v>2</v>
      </c>
      <c r="AG50" s="141">
        <f t="shared" si="56"/>
        <v>2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422" t="s">
        <v>228</v>
      </c>
      <c r="C51" s="424">
        <f t="shared" ref="C51:AG51" si="57">COUNTIF(C5:C45,"B5")</f>
        <v>6</v>
      </c>
      <c r="D51" s="142">
        <f t="shared" si="57"/>
        <v>8</v>
      </c>
      <c r="E51" s="143">
        <f t="shared" si="57"/>
        <v>6</v>
      </c>
      <c r="F51" s="143">
        <f t="shared" si="57"/>
        <v>6</v>
      </c>
      <c r="G51" s="143">
        <f t="shared" si="57"/>
        <v>6</v>
      </c>
      <c r="H51" s="143">
        <f t="shared" si="57"/>
        <v>7</v>
      </c>
      <c r="I51" s="143">
        <f t="shared" si="57"/>
        <v>7</v>
      </c>
      <c r="J51" s="144">
        <f t="shared" si="57"/>
        <v>6</v>
      </c>
      <c r="K51" s="142">
        <f t="shared" si="57"/>
        <v>6</v>
      </c>
      <c r="L51" s="143">
        <f t="shared" si="57"/>
        <v>7</v>
      </c>
      <c r="M51" s="143">
        <f t="shared" si="57"/>
        <v>7</v>
      </c>
      <c r="N51" s="143">
        <f t="shared" si="57"/>
        <v>7</v>
      </c>
      <c r="O51" s="143">
        <f t="shared" si="57"/>
        <v>7</v>
      </c>
      <c r="P51" s="143">
        <f t="shared" si="57"/>
        <v>7</v>
      </c>
      <c r="Q51" s="144">
        <f t="shared" si="57"/>
        <v>6</v>
      </c>
      <c r="R51" s="142">
        <f t="shared" si="57"/>
        <v>7</v>
      </c>
      <c r="S51" s="143">
        <f t="shared" si="57"/>
        <v>7</v>
      </c>
      <c r="T51" s="143">
        <f t="shared" si="57"/>
        <v>6</v>
      </c>
      <c r="U51" s="143">
        <f t="shared" si="57"/>
        <v>7</v>
      </c>
      <c r="V51" s="143">
        <f t="shared" si="57"/>
        <v>7</v>
      </c>
      <c r="W51" s="143">
        <f t="shared" si="57"/>
        <v>6</v>
      </c>
      <c r="X51" s="144">
        <f t="shared" si="57"/>
        <v>6</v>
      </c>
      <c r="Y51" s="142">
        <f t="shared" si="57"/>
        <v>6</v>
      </c>
      <c r="Z51" s="143">
        <f t="shared" si="57"/>
        <v>6</v>
      </c>
      <c r="AA51" s="143">
        <f t="shared" si="57"/>
        <v>6</v>
      </c>
      <c r="AB51" s="143">
        <f t="shared" si="57"/>
        <v>6</v>
      </c>
      <c r="AC51" s="143">
        <f t="shared" si="57"/>
        <v>6</v>
      </c>
      <c r="AD51" s="143">
        <f t="shared" si="57"/>
        <v>6</v>
      </c>
      <c r="AE51" s="144">
        <f t="shared" si="57"/>
        <v>6</v>
      </c>
      <c r="AF51" s="142">
        <f t="shared" si="57"/>
        <v>6</v>
      </c>
      <c r="AG51" s="144">
        <f t="shared" si="57"/>
        <v>6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422" t="s">
        <v>227</v>
      </c>
      <c r="C52" s="423">
        <f t="shared" ref="C52:AG52" si="58">COUNTIF(C5:C45,"C6")</f>
        <v>3</v>
      </c>
      <c r="D52" s="139">
        <f t="shared" si="58"/>
        <v>3</v>
      </c>
      <c r="E52" s="140">
        <f t="shared" si="58"/>
        <v>3</v>
      </c>
      <c r="F52" s="140">
        <f t="shared" si="58"/>
        <v>3</v>
      </c>
      <c r="G52" s="140">
        <f t="shared" si="58"/>
        <v>3</v>
      </c>
      <c r="H52" s="140">
        <f t="shared" si="58"/>
        <v>3</v>
      </c>
      <c r="I52" s="140">
        <f t="shared" si="58"/>
        <v>3</v>
      </c>
      <c r="J52" s="141">
        <f t="shared" si="58"/>
        <v>3</v>
      </c>
      <c r="K52" s="139">
        <f t="shared" si="58"/>
        <v>3</v>
      </c>
      <c r="L52" s="140">
        <f t="shared" si="58"/>
        <v>3</v>
      </c>
      <c r="M52" s="140">
        <f t="shared" si="58"/>
        <v>3</v>
      </c>
      <c r="N52" s="140">
        <f t="shared" si="58"/>
        <v>3</v>
      </c>
      <c r="O52" s="140">
        <f t="shared" si="58"/>
        <v>3</v>
      </c>
      <c r="P52" s="140">
        <f t="shared" si="58"/>
        <v>3</v>
      </c>
      <c r="Q52" s="141">
        <f t="shared" si="58"/>
        <v>3</v>
      </c>
      <c r="R52" s="139">
        <f t="shared" si="58"/>
        <v>3</v>
      </c>
      <c r="S52" s="140">
        <f t="shared" si="58"/>
        <v>3</v>
      </c>
      <c r="T52" s="140">
        <f t="shared" si="58"/>
        <v>3</v>
      </c>
      <c r="U52" s="140">
        <f t="shared" si="58"/>
        <v>3</v>
      </c>
      <c r="V52" s="140">
        <f t="shared" si="58"/>
        <v>3</v>
      </c>
      <c r="W52" s="140">
        <f t="shared" si="58"/>
        <v>3</v>
      </c>
      <c r="X52" s="141">
        <f t="shared" si="58"/>
        <v>3</v>
      </c>
      <c r="Y52" s="139">
        <f t="shared" si="58"/>
        <v>3</v>
      </c>
      <c r="Z52" s="140">
        <f t="shared" si="58"/>
        <v>3</v>
      </c>
      <c r="AA52" s="140">
        <f t="shared" si="58"/>
        <v>3</v>
      </c>
      <c r="AB52" s="140">
        <f t="shared" si="58"/>
        <v>3</v>
      </c>
      <c r="AC52" s="140">
        <f t="shared" si="58"/>
        <v>3</v>
      </c>
      <c r="AD52" s="140">
        <f t="shared" si="58"/>
        <v>3</v>
      </c>
      <c r="AE52" s="141">
        <f t="shared" si="58"/>
        <v>3</v>
      </c>
      <c r="AF52" s="139">
        <f t="shared" si="58"/>
        <v>3</v>
      </c>
      <c r="AG52" s="141">
        <f t="shared" si="58"/>
        <v>3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422" t="s">
        <v>226</v>
      </c>
      <c r="C53" s="423">
        <f t="shared" ref="C53:AG53" si="59">COUNTIF(C5:C45,"D5")</f>
        <v>6</v>
      </c>
      <c r="D53" s="139">
        <f t="shared" si="59"/>
        <v>6</v>
      </c>
      <c r="E53" s="140">
        <f t="shared" si="59"/>
        <v>6</v>
      </c>
      <c r="F53" s="140">
        <f t="shared" si="59"/>
        <v>6</v>
      </c>
      <c r="G53" s="140">
        <f t="shared" si="59"/>
        <v>6</v>
      </c>
      <c r="H53" s="140">
        <f t="shared" si="59"/>
        <v>6</v>
      </c>
      <c r="I53" s="140">
        <f t="shared" si="59"/>
        <v>6</v>
      </c>
      <c r="J53" s="141">
        <f t="shared" si="59"/>
        <v>6</v>
      </c>
      <c r="K53" s="139">
        <f t="shared" si="59"/>
        <v>6</v>
      </c>
      <c r="L53" s="140">
        <f t="shared" si="59"/>
        <v>6</v>
      </c>
      <c r="M53" s="140">
        <f t="shared" si="59"/>
        <v>6</v>
      </c>
      <c r="N53" s="140">
        <f t="shared" si="59"/>
        <v>6</v>
      </c>
      <c r="O53" s="140">
        <f t="shared" si="59"/>
        <v>6</v>
      </c>
      <c r="P53" s="140">
        <f t="shared" si="59"/>
        <v>6</v>
      </c>
      <c r="Q53" s="141">
        <f t="shared" si="59"/>
        <v>6</v>
      </c>
      <c r="R53" s="139">
        <f t="shared" si="59"/>
        <v>6</v>
      </c>
      <c r="S53" s="140">
        <f t="shared" si="59"/>
        <v>6</v>
      </c>
      <c r="T53" s="140">
        <f t="shared" si="59"/>
        <v>6</v>
      </c>
      <c r="U53" s="140">
        <f t="shared" si="59"/>
        <v>6</v>
      </c>
      <c r="V53" s="140">
        <f t="shared" si="59"/>
        <v>6</v>
      </c>
      <c r="W53" s="140">
        <f t="shared" si="59"/>
        <v>6</v>
      </c>
      <c r="X53" s="141">
        <f t="shared" si="59"/>
        <v>6</v>
      </c>
      <c r="Y53" s="139">
        <f t="shared" si="59"/>
        <v>6</v>
      </c>
      <c r="Z53" s="140">
        <f t="shared" si="59"/>
        <v>6</v>
      </c>
      <c r="AA53" s="140">
        <f t="shared" si="59"/>
        <v>6</v>
      </c>
      <c r="AB53" s="140">
        <f t="shared" si="59"/>
        <v>6</v>
      </c>
      <c r="AC53" s="140">
        <f t="shared" si="59"/>
        <v>6</v>
      </c>
      <c r="AD53" s="140">
        <f t="shared" si="59"/>
        <v>6</v>
      </c>
      <c r="AE53" s="141">
        <f t="shared" si="59"/>
        <v>6</v>
      </c>
      <c r="AF53" s="139">
        <f t="shared" si="59"/>
        <v>6</v>
      </c>
      <c r="AG53" s="141">
        <f t="shared" si="59"/>
        <v>6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425" t="s">
        <v>47</v>
      </c>
      <c r="C54" s="423">
        <f t="shared" ref="C54:AG54" si="60">COUNTIF(C5:C45,"O")</f>
        <v>11</v>
      </c>
      <c r="D54" s="139">
        <f t="shared" si="60"/>
        <v>11</v>
      </c>
      <c r="E54" s="140">
        <f t="shared" si="60"/>
        <v>13</v>
      </c>
      <c r="F54" s="140">
        <f t="shared" si="60"/>
        <v>11</v>
      </c>
      <c r="G54" s="140">
        <f t="shared" si="60"/>
        <v>11</v>
      </c>
      <c r="H54" s="140">
        <f t="shared" si="60"/>
        <v>12</v>
      </c>
      <c r="I54" s="140">
        <f t="shared" si="60"/>
        <v>13</v>
      </c>
      <c r="J54" s="141">
        <f t="shared" si="60"/>
        <v>11</v>
      </c>
      <c r="K54" s="139">
        <f t="shared" si="60"/>
        <v>11</v>
      </c>
      <c r="L54" s="140">
        <f t="shared" si="60"/>
        <v>13</v>
      </c>
      <c r="M54" s="140">
        <f t="shared" si="60"/>
        <v>11</v>
      </c>
      <c r="N54" s="140">
        <f t="shared" si="60"/>
        <v>11</v>
      </c>
      <c r="O54" s="140">
        <f t="shared" si="60"/>
        <v>12</v>
      </c>
      <c r="P54" s="140">
        <f t="shared" si="60"/>
        <v>13</v>
      </c>
      <c r="Q54" s="141">
        <f t="shared" si="60"/>
        <v>11</v>
      </c>
      <c r="R54" s="139">
        <f t="shared" si="60"/>
        <v>12</v>
      </c>
      <c r="S54" s="140">
        <f t="shared" si="60"/>
        <v>13</v>
      </c>
      <c r="T54" s="140">
        <f t="shared" si="60"/>
        <v>12</v>
      </c>
      <c r="U54" s="140">
        <f t="shared" si="60"/>
        <v>13</v>
      </c>
      <c r="V54" s="140">
        <f t="shared" si="60"/>
        <v>12</v>
      </c>
      <c r="W54" s="140">
        <f t="shared" si="60"/>
        <v>12</v>
      </c>
      <c r="X54" s="141">
        <f t="shared" si="60"/>
        <v>8</v>
      </c>
      <c r="Y54" s="139">
        <f t="shared" si="60"/>
        <v>9</v>
      </c>
      <c r="Z54" s="140">
        <f t="shared" si="60"/>
        <v>8</v>
      </c>
      <c r="AA54" s="140">
        <f t="shared" si="60"/>
        <v>16</v>
      </c>
      <c r="AB54" s="140">
        <f t="shared" si="60"/>
        <v>11</v>
      </c>
      <c r="AC54" s="140">
        <f t="shared" si="60"/>
        <v>13</v>
      </c>
      <c r="AD54" s="140">
        <f t="shared" si="60"/>
        <v>16</v>
      </c>
      <c r="AE54" s="141">
        <f t="shared" si="60"/>
        <v>7</v>
      </c>
      <c r="AF54" s="139">
        <f t="shared" si="60"/>
        <v>8</v>
      </c>
      <c r="AG54" s="141">
        <f t="shared" si="60"/>
        <v>10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422" t="s">
        <v>231</v>
      </c>
      <c r="C55" s="423">
        <f t="shared" ref="C55:AG55" si="61">COUNTIF(C5:C45,"AL")</f>
        <v>6</v>
      </c>
      <c r="D55" s="139">
        <f t="shared" si="61"/>
        <v>3</v>
      </c>
      <c r="E55" s="140">
        <f t="shared" si="61"/>
        <v>4</v>
      </c>
      <c r="F55" s="140">
        <f t="shared" si="61"/>
        <v>6</v>
      </c>
      <c r="G55" s="140">
        <f t="shared" si="61"/>
        <v>5</v>
      </c>
      <c r="H55" s="140">
        <f t="shared" si="61"/>
        <v>3</v>
      </c>
      <c r="I55" s="140">
        <f t="shared" si="61"/>
        <v>2</v>
      </c>
      <c r="J55" s="141">
        <f t="shared" si="61"/>
        <v>5</v>
      </c>
      <c r="K55" s="139">
        <f t="shared" si="61"/>
        <v>5</v>
      </c>
      <c r="L55" s="140">
        <f t="shared" si="61"/>
        <v>4</v>
      </c>
      <c r="M55" s="140">
        <f t="shared" si="61"/>
        <v>4</v>
      </c>
      <c r="N55" s="140">
        <f t="shared" si="61"/>
        <v>3</v>
      </c>
      <c r="O55" s="140">
        <f t="shared" si="61"/>
        <v>3</v>
      </c>
      <c r="P55" s="140">
        <f t="shared" si="61"/>
        <v>3</v>
      </c>
      <c r="Q55" s="141">
        <f t="shared" si="61"/>
        <v>5</v>
      </c>
      <c r="R55" s="139">
        <f t="shared" si="61"/>
        <v>3</v>
      </c>
      <c r="S55" s="140">
        <f t="shared" si="61"/>
        <v>4</v>
      </c>
      <c r="T55" s="140">
        <f t="shared" si="61"/>
        <v>6</v>
      </c>
      <c r="U55" s="140">
        <f t="shared" si="61"/>
        <v>3</v>
      </c>
      <c r="V55" s="140">
        <f t="shared" si="61"/>
        <v>4</v>
      </c>
      <c r="W55" s="140">
        <f t="shared" si="61"/>
        <v>5</v>
      </c>
      <c r="X55" s="141">
        <f t="shared" si="61"/>
        <v>9</v>
      </c>
      <c r="Y55" s="139">
        <f t="shared" si="61"/>
        <v>8</v>
      </c>
      <c r="Z55" s="140">
        <f t="shared" si="61"/>
        <v>10</v>
      </c>
      <c r="AA55" s="140">
        <f t="shared" si="61"/>
        <v>2</v>
      </c>
      <c r="AB55" s="140">
        <f t="shared" si="61"/>
        <v>6</v>
      </c>
      <c r="AC55" s="140">
        <f t="shared" si="61"/>
        <v>4</v>
      </c>
      <c r="AD55" s="140">
        <f t="shared" si="61"/>
        <v>1</v>
      </c>
      <c r="AE55" s="141">
        <f t="shared" si="61"/>
        <v>10</v>
      </c>
      <c r="AF55" s="139">
        <f t="shared" si="61"/>
        <v>9</v>
      </c>
      <c r="AG55" s="141">
        <f t="shared" si="61"/>
        <v>7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425" t="s">
        <v>43</v>
      </c>
      <c r="C56" s="426">
        <f t="shared" ref="C56:AG56" si="62">COUNTIF(C5:C45,"PH")</f>
        <v>0</v>
      </c>
      <c r="D56" s="427">
        <f t="shared" si="62"/>
        <v>0</v>
      </c>
      <c r="E56" s="428">
        <f t="shared" si="62"/>
        <v>1</v>
      </c>
      <c r="F56" s="428">
        <f t="shared" si="62"/>
        <v>1</v>
      </c>
      <c r="G56" s="428">
        <f t="shared" si="62"/>
        <v>1</v>
      </c>
      <c r="H56" s="428">
        <f t="shared" si="62"/>
        <v>0</v>
      </c>
      <c r="I56" s="428">
        <f t="shared" si="62"/>
        <v>0</v>
      </c>
      <c r="J56" s="429">
        <f t="shared" si="62"/>
        <v>1</v>
      </c>
      <c r="K56" s="427">
        <f t="shared" si="62"/>
        <v>1</v>
      </c>
      <c r="L56" s="428">
        <f t="shared" si="62"/>
        <v>0</v>
      </c>
      <c r="M56" s="428">
        <f t="shared" si="62"/>
        <v>1</v>
      </c>
      <c r="N56" s="428">
        <f t="shared" si="62"/>
        <v>1</v>
      </c>
      <c r="O56" s="428">
        <f t="shared" si="62"/>
        <v>1</v>
      </c>
      <c r="P56" s="428">
        <f t="shared" si="62"/>
        <v>0</v>
      </c>
      <c r="Q56" s="429">
        <f t="shared" si="62"/>
        <v>1</v>
      </c>
      <c r="R56" s="427">
        <f t="shared" si="62"/>
        <v>1</v>
      </c>
      <c r="S56" s="428">
        <f t="shared" si="62"/>
        <v>0</v>
      </c>
      <c r="T56" s="428">
        <f t="shared" si="62"/>
        <v>0</v>
      </c>
      <c r="U56" s="428">
        <f t="shared" si="62"/>
        <v>0</v>
      </c>
      <c r="V56" s="428">
        <f t="shared" si="62"/>
        <v>0</v>
      </c>
      <c r="W56" s="428">
        <f t="shared" si="62"/>
        <v>0</v>
      </c>
      <c r="X56" s="429">
        <f t="shared" si="62"/>
        <v>0</v>
      </c>
      <c r="Y56" s="427">
        <f t="shared" si="62"/>
        <v>0</v>
      </c>
      <c r="Z56" s="428">
        <f t="shared" si="62"/>
        <v>0</v>
      </c>
      <c r="AA56" s="428">
        <f t="shared" si="62"/>
        <v>0</v>
      </c>
      <c r="AB56" s="428">
        <f t="shared" si="62"/>
        <v>0</v>
      </c>
      <c r="AC56" s="428">
        <f t="shared" si="62"/>
        <v>0</v>
      </c>
      <c r="AD56" s="428">
        <f t="shared" si="62"/>
        <v>0</v>
      </c>
      <c r="AE56" s="429">
        <f t="shared" si="62"/>
        <v>0</v>
      </c>
      <c r="AF56" s="427">
        <f t="shared" si="62"/>
        <v>0</v>
      </c>
      <c r="AG56" s="429">
        <f t="shared" si="62"/>
        <v>1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430" t="s">
        <v>177</v>
      </c>
      <c r="C57" s="431">
        <f t="shared" ref="C57:AG57" si="63">SUM(C49:C53)</f>
        <v>23</v>
      </c>
      <c r="D57" s="432">
        <f t="shared" si="63"/>
        <v>26</v>
      </c>
      <c r="E57" s="433">
        <f t="shared" si="63"/>
        <v>23</v>
      </c>
      <c r="F57" s="433">
        <f t="shared" si="63"/>
        <v>23</v>
      </c>
      <c r="G57" s="433">
        <f t="shared" si="63"/>
        <v>23</v>
      </c>
      <c r="H57" s="434">
        <f t="shared" si="63"/>
        <v>25</v>
      </c>
      <c r="I57" s="434">
        <f t="shared" si="63"/>
        <v>25</v>
      </c>
      <c r="J57" s="435">
        <f t="shared" si="63"/>
        <v>23</v>
      </c>
      <c r="K57" s="432">
        <f t="shared" si="63"/>
        <v>23</v>
      </c>
      <c r="L57" s="433">
        <f t="shared" si="63"/>
        <v>24</v>
      </c>
      <c r="M57" s="433">
        <f t="shared" si="63"/>
        <v>25</v>
      </c>
      <c r="N57" s="433">
        <f t="shared" si="63"/>
        <v>25</v>
      </c>
      <c r="O57" s="434">
        <f t="shared" si="63"/>
        <v>24</v>
      </c>
      <c r="P57" s="434">
        <f t="shared" si="63"/>
        <v>24</v>
      </c>
      <c r="Q57" s="435">
        <f t="shared" si="63"/>
        <v>23</v>
      </c>
      <c r="R57" s="432">
        <f t="shared" si="63"/>
        <v>24</v>
      </c>
      <c r="S57" s="433">
        <f t="shared" si="63"/>
        <v>24</v>
      </c>
      <c r="T57" s="433">
        <f t="shared" si="63"/>
        <v>23</v>
      </c>
      <c r="U57" s="433">
        <f t="shared" si="63"/>
        <v>24</v>
      </c>
      <c r="V57" s="434">
        <f t="shared" si="63"/>
        <v>24</v>
      </c>
      <c r="W57" s="434">
        <f t="shared" si="63"/>
        <v>23</v>
      </c>
      <c r="X57" s="435">
        <f t="shared" si="63"/>
        <v>22</v>
      </c>
      <c r="Y57" s="432">
        <f t="shared" si="63"/>
        <v>22</v>
      </c>
      <c r="Z57" s="433">
        <f t="shared" si="63"/>
        <v>22</v>
      </c>
      <c r="AA57" s="433">
        <f t="shared" si="63"/>
        <v>22</v>
      </c>
      <c r="AB57" s="433">
        <f t="shared" si="63"/>
        <v>22</v>
      </c>
      <c r="AC57" s="434">
        <f t="shared" si="63"/>
        <v>22</v>
      </c>
      <c r="AD57" s="434">
        <f t="shared" si="63"/>
        <v>22</v>
      </c>
      <c r="AE57" s="435">
        <f t="shared" si="63"/>
        <v>22</v>
      </c>
      <c r="AF57" s="432">
        <f t="shared" si="63"/>
        <v>22</v>
      </c>
      <c r="AG57" s="435">
        <f t="shared" si="63"/>
        <v>22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440" t="str">
        <f t="array" ref="A1:AG43">'ORIGIN MONTH 8'!A3:AG45</f>
        <v>E .NAME</v>
      </c>
      <c r="B1" s="441" t="s">
        <v>5</v>
      </c>
      <c r="C1" s="441" t="s">
        <v>10</v>
      </c>
      <c r="D1" s="441" t="s">
        <v>11</v>
      </c>
      <c r="E1" s="441" t="s">
        <v>12</v>
      </c>
      <c r="F1" s="441" t="s">
        <v>13</v>
      </c>
      <c r="G1" s="441" t="s">
        <v>7</v>
      </c>
      <c r="H1" s="441" t="s">
        <v>8</v>
      </c>
      <c r="I1" s="441" t="s">
        <v>9</v>
      </c>
      <c r="J1" s="441" t="s">
        <v>10</v>
      </c>
      <c r="K1" s="441" t="s">
        <v>11</v>
      </c>
      <c r="L1" s="441" t="s">
        <v>12</v>
      </c>
      <c r="M1" s="441" t="s">
        <v>13</v>
      </c>
      <c r="N1" s="441" t="s">
        <v>7</v>
      </c>
      <c r="O1" s="441" t="s">
        <v>8</v>
      </c>
      <c r="P1" s="441" t="s">
        <v>9</v>
      </c>
      <c r="Q1" s="441" t="s">
        <v>10</v>
      </c>
      <c r="R1" s="441" t="s">
        <v>11</v>
      </c>
      <c r="S1" s="441" t="s">
        <v>12</v>
      </c>
      <c r="T1" s="441" t="s">
        <v>13</v>
      </c>
      <c r="U1" s="441" t="s">
        <v>7</v>
      </c>
      <c r="V1" s="441" t="s">
        <v>8</v>
      </c>
      <c r="W1" s="441" t="s">
        <v>9</v>
      </c>
      <c r="X1" s="441" t="s">
        <v>10</v>
      </c>
      <c r="Y1" s="441" t="s">
        <v>11</v>
      </c>
      <c r="Z1" s="441" t="s">
        <v>12</v>
      </c>
      <c r="AA1" s="441" t="s">
        <v>13</v>
      </c>
      <c r="AB1" s="441" t="s">
        <v>7</v>
      </c>
      <c r="AC1" s="441" t="s">
        <v>8</v>
      </c>
      <c r="AD1" s="441" t="s">
        <v>9</v>
      </c>
      <c r="AE1" s="441" t="s">
        <v>10</v>
      </c>
      <c r="AF1" s="441" t="s">
        <v>11</v>
      </c>
      <c r="AG1" s="441" t="s">
        <v>12</v>
      </c>
    </row>
    <row r="2">
      <c r="A2" s="440"/>
      <c r="B2" s="441"/>
      <c r="C2" s="441" t="s">
        <v>14</v>
      </c>
      <c r="D2" s="441" t="s">
        <v>15</v>
      </c>
      <c r="E2" s="441" t="s">
        <v>16</v>
      </c>
      <c r="F2" s="441" t="s">
        <v>224</v>
      </c>
      <c r="G2" s="441" t="s">
        <v>225</v>
      </c>
      <c r="H2" s="441" t="s">
        <v>279</v>
      </c>
      <c r="I2" s="441" t="s">
        <v>17</v>
      </c>
      <c r="J2" s="441" t="s">
        <v>18</v>
      </c>
      <c r="K2" s="441" t="s">
        <v>19</v>
      </c>
      <c r="L2" s="441" t="s">
        <v>20</v>
      </c>
      <c r="M2" s="441" t="s">
        <v>21</v>
      </c>
      <c r="N2" s="441" t="s">
        <v>22</v>
      </c>
      <c r="O2" s="441" t="s">
        <v>23</v>
      </c>
      <c r="P2" s="441" t="s">
        <v>24</v>
      </c>
      <c r="Q2" s="441" t="s">
        <v>25</v>
      </c>
      <c r="R2" s="441" t="s">
        <v>26</v>
      </c>
      <c r="S2" s="441" t="s">
        <v>27</v>
      </c>
      <c r="T2" s="441" t="s">
        <v>28</v>
      </c>
      <c r="U2" s="441" t="s">
        <v>29</v>
      </c>
      <c r="V2" s="441" t="s">
        <v>30</v>
      </c>
      <c r="W2" s="441" t="s">
        <v>31</v>
      </c>
      <c r="X2" s="441" t="s">
        <v>32</v>
      </c>
      <c r="Y2" s="441" t="s">
        <v>33</v>
      </c>
      <c r="Z2" s="441" t="s">
        <v>34</v>
      </c>
      <c r="AA2" s="441" t="s">
        <v>35</v>
      </c>
      <c r="AB2" s="441" t="s">
        <v>36</v>
      </c>
      <c r="AC2" s="441" t="s">
        <v>37</v>
      </c>
      <c r="AD2" s="441" t="s">
        <v>38</v>
      </c>
      <c r="AE2" s="441" t="s">
        <v>39</v>
      </c>
      <c r="AF2" s="441" t="s">
        <v>40</v>
      </c>
      <c r="AG2" s="441" t="s">
        <v>41</v>
      </c>
    </row>
    <row r="3">
      <c r="A3" s="441" t="s">
        <v>232</v>
      </c>
      <c r="B3" s="441" t="s">
        <v>53</v>
      </c>
      <c r="C3" s="441" t="s">
        <v>47</v>
      </c>
      <c r="D3" s="441" t="s">
        <v>230</v>
      </c>
      <c r="E3" s="441" t="s">
        <v>229</v>
      </c>
      <c r="F3" s="441" t="s">
        <v>229</v>
      </c>
      <c r="G3" s="441" t="s">
        <v>228</v>
      </c>
      <c r="H3" s="441" t="s">
        <v>226</v>
      </c>
      <c r="I3" s="441" t="s">
        <v>47</v>
      </c>
      <c r="J3" s="441" t="s">
        <v>47</v>
      </c>
      <c r="K3" s="441" t="s">
        <v>229</v>
      </c>
      <c r="L3" s="441" t="s">
        <v>229</v>
      </c>
      <c r="M3" s="441" t="s">
        <v>228</v>
      </c>
      <c r="N3" s="441" t="s">
        <v>228</v>
      </c>
      <c r="O3" s="441" t="s">
        <v>226</v>
      </c>
      <c r="P3" s="441" t="s">
        <v>47</v>
      </c>
      <c r="Q3" s="441" t="s">
        <v>47</v>
      </c>
      <c r="R3" s="441" t="s">
        <v>230</v>
      </c>
      <c r="S3" s="441" t="s">
        <v>228</v>
      </c>
      <c r="T3" s="441" t="s">
        <v>228</v>
      </c>
      <c r="U3" s="441" t="s">
        <v>226</v>
      </c>
      <c r="V3" s="441" t="s">
        <v>231</v>
      </c>
      <c r="W3" s="441" t="s">
        <v>47</v>
      </c>
      <c r="X3" s="441" t="s">
        <v>47</v>
      </c>
      <c r="Y3" s="441" t="s">
        <v>231</v>
      </c>
      <c r="Z3" s="441" t="s">
        <v>231</v>
      </c>
      <c r="AA3" s="441" t="s">
        <v>47</v>
      </c>
      <c r="AB3" s="441" t="s">
        <v>227</v>
      </c>
      <c r="AC3" s="441" t="s">
        <v>227</v>
      </c>
      <c r="AD3" s="441" t="s">
        <v>47</v>
      </c>
      <c r="AE3" s="441" t="s">
        <v>230</v>
      </c>
      <c r="AF3" s="441" t="s">
        <v>229</v>
      </c>
      <c r="AG3" s="441" t="s">
        <v>229</v>
      </c>
    </row>
    <row r="4">
      <c r="A4" s="441" t="s">
        <v>233</v>
      </c>
      <c r="B4" s="441" t="s">
        <v>56</v>
      </c>
      <c r="C4" s="441" t="s">
        <v>47</v>
      </c>
      <c r="D4" s="441" t="s">
        <v>230</v>
      </c>
      <c r="E4" s="441" t="s">
        <v>231</v>
      </c>
      <c r="F4" s="441" t="s">
        <v>231</v>
      </c>
      <c r="G4" s="441" t="s">
        <v>231</v>
      </c>
      <c r="H4" s="441" t="s">
        <v>231</v>
      </c>
      <c r="I4" s="441" t="s">
        <v>47</v>
      </c>
      <c r="J4" s="441" t="s">
        <v>47</v>
      </c>
      <c r="K4" s="441" t="s">
        <v>231</v>
      </c>
      <c r="L4" s="441" t="s">
        <v>231</v>
      </c>
      <c r="M4" s="441" t="s">
        <v>231</v>
      </c>
      <c r="N4" s="441" t="s">
        <v>231</v>
      </c>
      <c r="O4" s="441" t="s">
        <v>231</v>
      </c>
      <c r="P4" s="441" t="s">
        <v>47</v>
      </c>
      <c r="Q4" s="441" t="s">
        <v>47</v>
      </c>
      <c r="R4" s="441" t="s">
        <v>231</v>
      </c>
      <c r="S4" s="441" t="s">
        <v>231</v>
      </c>
      <c r="T4" s="441" t="s">
        <v>47</v>
      </c>
      <c r="U4" s="441" t="s">
        <v>227</v>
      </c>
      <c r="V4" s="441" t="s">
        <v>226</v>
      </c>
      <c r="W4" s="441" t="s">
        <v>47</v>
      </c>
      <c r="X4" s="441" t="s">
        <v>228</v>
      </c>
      <c r="Y4" s="441" t="s">
        <v>228</v>
      </c>
      <c r="Z4" s="441" t="s">
        <v>228</v>
      </c>
      <c r="AA4" s="441" t="s">
        <v>226</v>
      </c>
      <c r="AB4" s="441" t="s">
        <v>47</v>
      </c>
      <c r="AC4" s="441" t="s">
        <v>226</v>
      </c>
      <c r="AD4" s="441" t="s">
        <v>47</v>
      </c>
      <c r="AE4" s="441" t="s">
        <v>230</v>
      </c>
      <c r="AF4" s="441" t="s">
        <v>230</v>
      </c>
      <c r="AG4" s="441" t="s">
        <v>230</v>
      </c>
    </row>
    <row r="5">
      <c r="A5" s="441" t="s">
        <v>234</v>
      </c>
      <c r="B5" s="441" t="s">
        <v>59</v>
      </c>
      <c r="C5" s="441" t="s">
        <v>47</v>
      </c>
      <c r="D5" s="441" t="s">
        <v>47</v>
      </c>
      <c r="E5" s="441" t="s">
        <v>230</v>
      </c>
      <c r="F5" s="441" t="s">
        <v>230</v>
      </c>
      <c r="G5" s="441" t="s">
        <v>226</v>
      </c>
      <c r="H5" s="441" t="s">
        <v>226</v>
      </c>
      <c r="I5" s="441" t="s">
        <v>226</v>
      </c>
      <c r="J5" s="441" t="s">
        <v>47</v>
      </c>
      <c r="K5" s="441" t="s">
        <v>47</v>
      </c>
      <c r="L5" s="441" t="s">
        <v>230</v>
      </c>
      <c r="M5" s="441" t="s">
        <v>230</v>
      </c>
      <c r="N5" s="441" t="s">
        <v>226</v>
      </c>
      <c r="O5" s="441" t="s">
        <v>226</v>
      </c>
      <c r="P5" s="441" t="s">
        <v>226</v>
      </c>
      <c r="Q5" s="441" t="s">
        <v>47</v>
      </c>
      <c r="R5" s="441" t="s">
        <v>47</v>
      </c>
      <c r="S5" s="441" t="s">
        <v>230</v>
      </c>
      <c r="T5" s="441" t="s">
        <v>230</v>
      </c>
      <c r="U5" s="441" t="s">
        <v>230</v>
      </c>
      <c r="V5" s="441" t="s">
        <v>226</v>
      </c>
      <c r="W5" s="441" t="s">
        <v>231</v>
      </c>
      <c r="X5" s="441" t="s">
        <v>47</v>
      </c>
      <c r="Y5" s="441" t="s">
        <v>47</v>
      </c>
      <c r="Z5" s="441" t="s">
        <v>231</v>
      </c>
      <c r="AA5" s="441" t="s">
        <v>230</v>
      </c>
      <c r="AB5" s="441" t="s">
        <v>226</v>
      </c>
      <c r="AC5" s="441" t="s">
        <v>226</v>
      </c>
      <c r="AD5" s="441" t="s">
        <v>226</v>
      </c>
      <c r="AE5" s="441" t="s">
        <v>47</v>
      </c>
      <c r="AF5" s="441" t="s">
        <v>47</v>
      </c>
      <c r="AG5" s="441" t="s">
        <v>230</v>
      </c>
    </row>
    <row r="6">
      <c r="A6" s="441" t="s">
        <v>280</v>
      </c>
      <c r="B6" s="441" t="s">
        <v>65</v>
      </c>
      <c r="C6" s="441" t="s">
        <v>47</v>
      </c>
      <c r="D6" s="441" t="s">
        <v>231</v>
      </c>
      <c r="E6" s="441" t="s">
        <v>231</v>
      </c>
      <c r="F6" s="441" t="s">
        <v>231</v>
      </c>
      <c r="G6" s="441" t="s">
        <v>231</v>
      </c>
      <c r="H6" s="441" t="s">
        <v>228</v>
      </c>
      <c r="I6" s="441" t="s">
        <v>47</v>
      </c>
      <c r="J6" s="441" t="s">
        <v>47</v>
      </c>
      <c r="K6" s="441" t="s">
        <v>231</v>
      </c>
      <c r="L6" s="441" t="s">
        <v>231</v>
      </c>
      <c r="M6" s="441" t="s">
        <v>228</v>
      </c>
      <c r="N6" s="441" t="s">
        <v>227</v>
      </c>
      <c r="O6" s="441" t="s">
        <v>227</v>
      </c>
      <c r="P6" s="441" t="s">
        <v>47</v>
      </c>
      <c r="Q6" s="441" t="s">
        <v>47</v>
      </c>
      <c r="R6" s="441" t="s">
        <v>230</v>
      </c>
      <c r="S6" s="441" t="s">
        <v>228</v>
      </c>
      <c r="T6" s="441" t="s">
        <v>228</v>
      </c>
      <c r="U6" s="441" t="s">
        <v>228</v>
      </c>
      <c r="V6" s="441" t="s">
        <v>226</v>
      </c>
      <c r="W6" s="441" t="s">
        <v>47</v>
      </c>
      <c r="X6" s="441" t="s">
        <v>47</v>
      </c>
      <c r="Y6" s="441" t="s">
        <v>47</v>
      </c>
      <c r="Z6" s="441" t="s">
        <v>231</v>
      </c>
      <c r="AA6" s="441" t="s">
        <v>229</v>
      </c>
      <c r="AB6" s="441" t="s">
        <v>226</v>
      </c>
      <c r="AC6" s="441" t="s">
        <v>226</v>
      </c>
      <c r="AD6" s="441" t="s">
        <v>47</v>
      </c>
      <c r="AE6" s="441" t="s">
        <v>228</v>
      </c>
      <c r="AF6" s="441" t="s">
        <v>228</v>
      </c>
      <c r="AG6" s="441" t="s">
        <v>228</v>
      </c>
    </row>
    <row r="7">
      <c r="A7" s="441" t="s">
        <v>281</v>
      </c>
      <c r="B7" s="441" t="s">
        <v>68</v>
      </c>
      <c r="C7" s="441" t="s">
        <v>47</v>
      </c>
      <c r="D7" s="441" t="s">
        <v>47</v>
      </c>
      <c r="E7" s="441" t="s">
        <v>229</v>
      </c>
      <c r="F7" s="441" t="s">
        <v>231</v>
      </c>
      <c r="G7" s="441" t="s">
        <v>230</v>
      </c>
      <c r="H7" s="441" t="s">
        <v>228</v>
      </c>
      <c r="I7" s="441" t="s">
        <v>226</v>
      </c>
      <c r="J7" s="441" t="s">
        <v>47</v>
      </c>
      <c r="K7" s="441" t="s">
        <v>47</v>
      </c>
      <c r="L7" s="441" t="s">
        <v>230</v>
      </c>
      <c r="M7" s="441" t="s">
        <v>230</v>
      </c>
      <c r="N7" s="441" t="s">
        <v>229</v>
      </c>
      <c r="O7" s="441" t="s">
        <v>228</v>
      </c>
      <c r="P7" s="441" t="s">
        <v>227</v>
      </c>
      <c r="Q7" s="441" t="s">
        <v>47</v>
      </c>
      <c r="R7" s="441" t="s">
        <v>47</v>
      </c>
      <c r="S7" s="441" t="s">
        <v>230</v>
      </c>
      <c r="T7" s="441" t="s">
        <v>228</v>
      </c>
      <c r="U7" s="441" t="s">
        <v>228</v>
      </c>
      <c r="V7" s="441" t="s">
        <v>227</v>
      </c>
      <c r="W7" s="441" t="s">
        <v>231</v>
      </c>
      <c r="X7" s="441" t="s">
        <v>47</v>
      </c>
      <c r="Y7" s="441" t="s">
        <v>47</v>
      </c>
      <c r="Z7" s="441" t="s">
        <v>231</v>
      </c>
      <c r="AA7" s="441" t="s">
        <v>47</v>
      </c>
      <c r="AB7" s="441" t="s">
        <v>231</v>
      </c>
      <c r="AC7" s="441" t="s">
        <v>231</v>
      </c>
      <c r="AD7" s="441" t="s">
        <v>226</v>
      </c>
      <c r="AE7" s="441" t="s">
        <v>226</v>
      </c>
      <c r="AF7" s="441" t="s">
        <v>47</v>
      </c>
      <c r="AG7" s="441" t="s">
        <v>230</v>
      </c>
    </row>
    <row r="8">
      <c r="A8" s="441" t="s">
        <v>282</v>
      </c>
      <c r="B8" s="441" t="s">
        <v>71</v>
      </c>
      <c r="C8" s="441" t="s">
        <v>47</v>
      </c>
      <c r="D8" s="441" t="s">
        <v>230</v>
      </c>
      <c r="E8" s="441" t="s">
        <v>230</v>
      </c>
      <c r="F8" s="441" t="s">
        <v>229</v>
      </c>
      <c r="G8" s="441" t="s">
        <v>227</v>
      </c>
      <c r="H8" s="441" t="s">
        <v>227</v>
      </c>
      <c r="I8" s="441" t="s">
        <v>47</v>
      </c>
      <c r="J8" s="441" t="s">
        <v>47</v>
      </c>
      <c r="K8" s="441" t="s">
        <v>231</v>
      </c>
      <c r="L8" s="441" t="s">
        <v>229</v>
      </c>
      <c r="M8" s="441" t="s">
        <v>229</v>
      </c>
      <c r="N8" s="441" t="s">
        <v>228</v>
      </c>
      <c r="O8" s="441" t="s">
        <v>227</v>
      </c>
      <c r="P8" s="441" t="s">
        <v>47</v>
      </c>
      <c r="Q8" s="441" t="s">
        <v>47</v>
      </c>
      <c r="R8" s="441" t="s">
        <v>230</v>
      </c>
      <c r="S8" s="441" t="s">
        <v>230</v>
      </c>
      <c r="T8" s="441" t="s">
        <v>229</v>
      </c>
      <c r="U8" s="441" t="s">
        <v>229</v>
      </c>
      <c r="V8" s="441" t="s">
        <v>226</v>
      </c>
      <c r="W8" s="441" t="s">
        <v>47</v>
      </c>
      <c r="X8" s="441" t="s">
        <v>47</v>
      </c>
      <c r="Y8" s="441" t="s">
        <v>230</v>
      </c>
      <c r="Z8" s="441" t="s">
        <v>230</v>
      </c>
      <c r="AA8" s="441" t="s">
        <v>228</v>
      </c>
      <c r="AB8" s="441" t="s">
        <v>226</v>
      </c>
      <c r="AC8" s="441" t="s">
        <v>226</v>
      </c>
      <c r="AD8" s="441" t="s">
        <v>47</v>
      </c>
      <c r="AE8" s="441" t="s">
        <v>47</v>
      </c>
      <c r="AF8" s="441" t="s">
        <v>231</v>
      </c>
      <c r="AG8" s="441" t="s">
        <v>231</v>
      </c>
    </row>
    <row r="9">
      <c r="A9" s="441" t="s">
        <v>283</v>
      </c>
      <c r="B9" s="441" t="s">
        <v>74</v>
      </c>
      <c r="C9" s="441" t="s">
        <v>47</v>
      </c>
      <c r="D9" s="441" t="s">
        <v>47</v>
      </c>
      <c r="E9" s="441" t="s">
        <v>230</v>
      </c>
      <c r="F9" s="441" t="s">
        <v>230</v>
      </c>
      <c r="G9" s="441" t="s">
        <v>226</v>
      </c>
      <c r="H9" s="441" t="s">
        <v>226</v>
      </c>
      <c r="I9" s="441" t="s">
        <v>226</v>
      </c>
      <c r="J9" s="441" t="s">
        <v>47</v>
      </c>
      <c r="K9" s="441" t="s">
        <v>47</v>
      </c>
      <c r="L9" s="441" t="s">
        <v>230</v>
      </c>
      <c r="M9" s="441" t="s">
        <v>230</v>
      </c>
      <c r="N9" s="441" t="s">
        <v>230</v>
      </c>
      <c r="O9" s="441" t="s">
        <v>226</v>
      </c>
      <c r="P9" s="441" t="s">
        <v>226</v>
      </c>
      <c r="Q9" s="441" t="s">
        <v>47</v>
      </c>
      <c r="R9" s="441" t="s">
        <v>47</v>
      </c>
      <c r="S9" s="441" t="s">
        <v>231</v>
      </c>
      <c r="T9" s="441" t="s">
        <v>231</v>
      </c>
      <c r="U9" s="441" t="s">
        <v>231</v>
      </c>
      <c r="V9" s="441" t="s">
        <v>231</v>
      </c>
      <c r="W9" s="441" t="s">
        <v>231</v>
      </c>
      <c r="X9" s="441" t="s">
        <v>47</v>
      </c>
      <c r="Y9" s="441" t="s">
        <v>47</v>
      </c>
      <c r="Z9" s="441" t="s">
        <v>230</v>
      </c>
      <c r="AA9" s="441" t="s">
        <v>230</v>
      </c>
      <c r="AB9" s="441" t="s">
        <v>230</v>
      </c>
      <c r="AC9" s="441" t="s">
        <v>230</v>
      </c>
      <c r="AD9" s="441" t="s">
        <v>230</v>
      </c>
      <c r="AE9" s="441" t="s">
        <v>47</v>
      </c>
      <c r="AF9" s="441" t="s">
        <v>47</v>
      </c>
      <c r="AG9" s="441" t="s">
        <v>231</v>
      </c>
    </row>
    <row r="10">
      <c r="A10" s="441" t="s">
        <v>284</v>
      </c>
      <c r="B10" s="441" t="s">
        <v>77</v>
      </c>
      <c r="C10" s="441" t="s">
        <v>47</v>
      </c>
      <c r="D10" s="441" t="s">
        <v>230</v>
      </c>
      <c r="E10" s="441" t="s">
        <v>228</v>
      </c>
      <c r="F10" s="441" t="s">
        <v>228</v>
      </c>
      <c r="G10" s="441" t="s">
        <v>228</v>
      </c>
      <c r="H10" s="441" t="s">
        <v>231</v>
      </c>
      <c r="I10" s="441" t="s">
        <v>47</v>
      </c>
      <c r="J10" s="441" t="s">
        <v>47</v>
      </c>
      <c r="K10" s="441" t="s">
        <v>230</v>
      </c>
      <c r="L10" s="441" t="s">
        <v>229</v>
      </c>
      <c r="M10" s="441" t="s">
        <v>229</v>
      </c>
      <c r="N10" s="441" t="s">
        <v>228</v>
      </c>
      <c r="O10" s="441" t="s">
        <v>226</v>
      </c>
      <c r="P10" s="441" t="s">
        <v>47</v>
      </c>
      <c r="Q10" s="441" t="s">
        <v>47</v>
      </c>
      <c r="R10" s="441" t="s">
        <v>230</v>
      </c>
      <c r="S10" s="441" t="s">
        <v>229</v>
      </c>
      <c r="T10" s="441" t="s">
        <v>226</v>
      </c>
      <c r="U10" s="441" t="s">
        <v>227</v>
      </c>
      <c r="V10" s="441" t="s">
        <v>231</v>
      </c>
      <c r="W10" s="441" t="s">
        <v>47</v>
      </c>
      <c r="X10" s="441" t="s">
        <v>47</v>
      </c>
      <c r="Y10" s="441" t="s">
        <v>231</v>
      </c>
      <c r="Z10" s="441" t="s">
        <v>231</v>
      </c>
      <c r="AA10" s="441" t="s">
        <v>227</v>
      </c>
      <c r="AB10" s="441" t="s">
        <v>226</v>
      </c>
      <c r="AC10" s="441" t="s">
        <v>231</v>
      </c>
      <c r="AD10" s="441" t="s">
        <v>47</v>
      </c>
      <c r="AE10" s="441" t="s">
        <v>47</v>
      </c>
      <c r="AF10" s="441" t="s">
        <v>230</v>
      </c>
      <c r="AG10" s="441" t="s">
        <v>229</v>
      </c>
    </row>
    <row r="11">
      <c r="A11" s="441" t="s">
        <v>285</v>
      </c>
      <c r="B11" s="441" t="s">
        <v>80</v>
      </c>
      <c r="C11" s="441" t="s">
        <v>47</v>
      </c>
      <c r="D11" s="441" t="s">
        <v>47</v>
      </c>
      <c r="E11" s="441" t="s">
        <v>230</v>
      </c>
      <c r="F11" s="441" t="s">
        <v>230</v>
      </c>
      <c r="G11" s="441" t="s">
        <v>228</v>
      </c>
      <c r="H11" s="441" t="s">
        <v>226</v>
      </c>
      <c r="I11" s="441" t="s">
        <v>226</v>
      </c>
      <c r="J11" s="441" t="s">
        <v>47</v>
      </c>
      <c r="K11" s="441" t="s">
        <v>47</v>
      </c>
      <c r="L11" s="441" t="s">
        <v>230</v>
      </c>
      <c r="M11" s="441" t="s">
        <v>230</v>
      </c>
      <c r="N11" s="441" t="s">
        <v>230</v>
      </c>
      <c r="O11" s="441" t="s">
        <v>227</v>
      </c>
      <c r="P11" s="441" t="s">
        <v>226</v>
      </c>
      <c r="Q11" s="441" t="s">
        <v>47</v>
      </c>
      <c r="R11" s="441" t="s">
        <v>47</v>
      </c>
      <c r="S11" s="441" t="s">
        <v>229</v>
      </c>
      <c r="T11" s="441" t="s">
        <v>229</v>
      </c>
      <c r="U11" s="441" t="s">
        <v>228</v>
      </c>
      <c r="V11" s="441" t="s">
        <v>228</v>
      </c>
      <c r="W11" s="441" t="s">
        <v>228</v>
      </c>
      <c r="X11" s="441" t="s">
        <v>47</v>
      </c>
      <c r="Y11" s="441" t="s">
        <v>47</v>
      </c>
      <c r="Z11" s="441" t="s">
        <v>231</v>
      </c>
      <c r="AA11" s="441" t="s">
        <v>230</v>
      </c>
      <c r="AB11" s="441" t="s">
        <v>228</v>
      </c>
      <c r="AC11" s="441" t="s">
        <v>227</v>
      </c>
      <c r="AD11" s="441" t="s">
        <v>226</v>
      </c>
      <c r="AE11" s="441" t="s">
        <v>47</v>
      </c>
      <c r="AF11" s="441" t="s">
        <v>230</v>
      </c>
      <c r="AG11" s="441" t="s">
        <v>230</v>
      </c>
    </row>
    <row r="12">
      <c r="A12" s="441" t="s">
        <v>286</v>
      </c>
      <c r="B12" s="441" t="s">
        <v>83</v>
      </c>
      <c r="C12" s="441" t="s">
        <v>227</v>
      </c>
      <c r="D12" s="441" t="s">
        <v>47</v>
      </c>
      <c r="E12" s="441" t="s">
        <v>47</v>
      </c>
      <c r="F12" s="441" t="s">
        <v>228</v>
      </c>
      <c r="G12" s="441" t="s">
        <v>228</v>
      </c>
      <c r="H12" s="441" t="s">
        <v>227</v>
      </c>
      <c r="I12" s="441" t="s">
        <v>226</v>
      </c>
      <c r="J12" s="441" t="s">
        <v>226</v>
      </c>
      <c r="K12" s="441" t="s">
        <v>47</v>
      </c>
      <c r="L12" s="441" t="s">
        <v>47</v>
      </c>
      <c r="M12" s="441" t="s">
        <v>228</v>
      </c>
      <c r="N12" s="441" t="s">
        <v>228</v>
      </c>
      <c r="O12" s="441" t="s">
        <v>228</v>
      </c>
      <c r="P12" s="441" t="s">
        <v>226</v>
      </c>
      <c r="Q12" s="441" t="s">
        <v>231</v>
      </c>
      <c r="R12" s="441" t="s">
        <v>47</v>
      </c>
      <c r="S12" s="441" t="s">
        <v>47</v>
      </c>
      <c r="T12" s="441" t="s">
        <v>231</v>
      </c>
      <c r="U12" s="441" t="s">
        <v>228</v>
      </c>
      <c r="V12" s="441" t="s">
        <v>228</v>
      </c>
      <c r="W12" s="441" t="s">
        <v>228</v>
      </c>
      <c r="X12" s="441" t="s">
        <v>231</v>
      </c>
      <c r="Y12" s="441" t="s">
        <v>47</v>
      </c>
      <c r="Z12" s="441" t="s">
        <v>47</v>
      </c>
      <c r="AA12" s="441" t="s">
        <v>228</v>
      </c>
      <c r="AB12" s="441" t="s">
        <v>228</v>
      </c>
      <c r="AC12" s="441" t="s">
        <v>227</v>
      </c>
      <c r="AD12" s="441" t="s">
        <v>226</v>
      </c>
      <c r="AE12" s="441" t="s">
        <v>226</v>
      </c>
      <c r="AF12" s="441" t="s">
        <v>226</v>
      </c>
      <c r="AG12" s="441" t="s">
        <v>47</v>
      </c>
    </row>
    <row r="13">
      <c r="A13" s="441" t="s">
        <v>287</v>
      </c>
      <c r="B13" s="441" t="s">
        <v>86</v>
      </c>
      <c r="C13" s="441" t="s">
        <v>230</v>
      </c>
      <c r="D13" s="441" t="s">
        <v>226</v>
      </c>
      <c r="E13" s="441" t="s">
        <v>226</v>
      </c>
      <c r="F13" s="441" t="s">
        <v>47</v>
      </c>
      <c r="G13" s="441" t="s">
        <v>47</v>
      </c>
      <c r="H13" s="441" t="s">
        <v>229</v>
      </c>
      <c r="I13" s="441" t="s">
        <v>229</v>
      </c>
      <c r="J13" s="441" t="s">
        <v>228</v>
      </c>
      <c r="K13" s="441" t="s">
        <v>226</v>
      </c>
      <c r="L13" s="441" t="s">
        <v>226</v>
      </c>
      <c r="M13" s="441" t="s">
        <v>47</v>
      </c>
      <c r="N13" s="441" t="s">
        <v>47</v>
      </c>
      <c r="O13" s="441" t="s">
        <v>230</v>
      </c>
      <c r="P13" s="441" t="s">
        <v>230</v>
      </c>
      <c r="Q13" s="441" t="s">
        <v>228</v>
      </c>
      <c r="R13" s="441" t="s">
        <v>228</v>
      </c>
      <c r="S13" s="441" t="s">
        <v>228</v>
      </c>
      <c r="T13" s="441" t="s">
        <v>47</v>
      </c>
      <c r="U13" s="441" t="s">
        <v>47</v>
      </c>
      <c r="V13" s="441" t="s">
        <v>230</v>
      </c>
      <c r="W13" s="441" t="s">
        <v>226</v>
      </c>
      <c r="X13" s="441" t="s">
        <v>227</v>
      </c>
      <c r="Y13" s="441" t="s">
        <v>227</v>
      </c>
      <c r="Z13" s="441" t="s">
        <v>227</v>
      </c>
      <c r="AA13" s="441" t="s">
        <v>47</v>
      </c>
      <c r="AB13" s="441" t="s">
        <v>47</v>
      </c>
      <c r="AC13" s="441" t="s">
        <v>229</v>
      </c>
      <c r="AD13" s="441" t="s">
        <v>228</v>
      </c>
      <c r="AE13" s="441" t="s">
        <v>231</v>
      </c>
      <c r="AF13" s="441" t="s">
        <v>231</v>
      </c>
      <c r="AG13" s="441" t="s">
        <v>231</v>
      </c>
    </row>
    <row r="14">
      <c r="A14" s="441" t="s">
        <v>288</v>
      </c>
      <c r="B14" s="441" t="s">
        <v>89</v>
      </c>
      <c r="C14" s="441" t="s">
        <v>230</v>
      </c>
      <c r="D14" s="441" t="s">
        <v>228</v>
      </c>
      <c r="E14" s="441" t="s">
        <v>227</v>
      </c>
      <c r="F14" s="441" t="s">
        <v>226</v>
      </c>
      <c r="G14" s="441" t="s">
        <v>226</v>
      </c>
      <c r="H14" s="441" t="s">
        <v>47</v>
      </c>
      <c r="I14" s="441" t="s">
        <v>47</v>
      </c>
      <c r="J14" s="441" t="s">
        <v>231</v>
      </c>
      <c r="K14" s="441" t="s">
        <v>230</v>
      </c>
      <c r="L14" s="441" t="s">
        <v>228</v>
      </c>
      <c r="M14" s="441" t="s">
        <v>228</v>
      </c>
      <c r="N14" s="441" t="s">
        <v>227</v>
      </c>
      <c r="O14" s="441" t="s">
        <v>47</v>
      </c>
      <c r="P14" s="441" t="s">
        <v>47</v>
      </c>
      <c r="Q14" s="441" t="s">
        <v>230</v>
      </c>
      <c r="R14" s="441" t="s">
        <v>227</v>
      </c>
      <c r="S14" s="441" t="s">
        <v>226</v>
      </c>
      <c r="T14" s="441" t="s">
        <v>231</v>
      </c>
      <c r="U14" s="441" t="s">
        <v>47</v>
      </c>
      <c r="V14" s="441" t="s">
        <v>47</v>
      </c>
      <c r="W14" s="441" t="s">
        <v>230</v>
      </c>
      <c r="X14" s="441" t="s">
        <v>230</v>
      </c>
      <c r="Y14" s="441" t="s">
        <v>228</v>
      </c>
      <c r="Z14" s="441" t="s">
        <v>228</v>
      </c>
      <c r="AA14" s="441" t="s">
        <v>227</v>
      </c>
      <c r="AB14" s="441" t="s">
        <v>231</v>
      </c>
      <c r="AC14" s="441" t="s">
        <v>47</v>
      </c>
      <c r="AD14" s="441" t="s">
        <v>47</v>
      </c>
      <c r="AE14" s="441" t="s">
        <v>230</v>
      </c>
      <c r="AF14" s="441" t="s">
        <v>228</v>
      </c>
      <c r="AG14" s="441" t="s">
        <v>227</v>
      </c>
    </row>
    <row r="15">
      <c r="A15" s="441" t="s">
        <v>289</v>
      </c>
      <c r="B15" s="441" t="s">
        <v>92</v>
      </c>
      <c r="C15" s="441" t="s">
        <v>47</v>
      </c>
      <c r="D15" s="441" t="s">
        <v>47</v>
      </c>
      <c r="E15" s="441" t="s">
        <v>231</v>
      </c>
      <c r="F15" s="441" t="s">
        <v>231</v>
      </c>
      <c r="G15" s="441" t="s">
        <v>231</v>
      </c>
      <c r="H15" s="441" t="s">
        <v>231</v>
      </c>
      <c r="I15" s="441" t="s">
        <v>231</v>
      </c>
      <c r="J15" s="441" t="s">
        <v>47</v>
      </c>
      <c r="K15" s="441" t="s">
        <v>47</v>
      </c>
      <c r="L15" s="441" t="s">
        <v>230</v>
      </c>
      <c r="M15" s="441" t="s">
        <v>230</v>
      </c>
      <c r="N15" s="441" t="s">
        <v>228</v>
      </c>
      <c r="O15" s="441" t="s">
        <v>228</v>
      </c>
      <c r="P15" s="441" t="s">
        <v>227</v>
      </c>
      <c r="Q15" s="441" t="s">
        <v>47</v>
      </c>
      <c r="R15" s="441" t="s">
        <v>47</v>
      </c>
      <c r="S15" s="441" t="s">
        <v>231</v>
      </c>
      <c r="T15" s="441" t="s">
        <v>231</v>
      </c>
      <c r="U15" s="441" t="s">
        <v>47</v>
      </c>
      <c r="V15" s="441" t="s">
        <v>229</v>
      </c>
      <c r="W15" s="441" t="s">
        <v>227</v>
      </c>
      <c r="X15" s="441" t="s">
        <v>226</v>
      </c>
      <c r="Y15" s="441" t="s">
        <v>226</v>
      </c>
      <c r="Z15" s="441" t="s">
        <v>226</v>
      </c>
      <c r="AA15" s="441" t="s">
        <v>47</v>
      </c>
      <c r="AB15" s="441" t="s">
        <v>228</v>
      </c>
      <c r="AC15" s="441" t="s">
        <v>228</v>
      </c>
      <c r="AD15" s="441" t="s">
        <v>228</v>
      </c>
      <c r="AE15" s="441" t="s">
        <v>47</v>
      </c>
      <c r="AF15" s="441" t="s">
        <v>47</v>
      </c>
      <c r="AG15" s="441" t="s">
        <v>231</v>
      </c>
    </row>
    <row r="16">
      <c r="A16" s="441" t="s">
        <v>290</v>
      </c>
      <c r="B16" s="441" t="s">
        <v>95</v>
      </c>
      <c r="C16" s="441" t="s">
        <v>231</v>
      </c>
      <c r="D16" s="441" t="s">
        <v>229</v>
      </c>
      <c r="E16" s="441" t="s">
        <v>228</v>
      </c>
      <c r="F16" s="441" t="s">
        <v>228</v>
      </c>
      <c r="G16" s="441" t="s">
        <v>227</v>
      </c>
      <c r="H16" s="441" t="s">
        <v>47</v>
      </c>
      <c r="I16" s="441" t="s">
        <v>47</v>
      </c>
      <c r="J16" s="441" t="s">
        <v>231</v>
      </c>
      <c r="K16" s="441" t="s">
        <v>230</v>
      </c>
      <c r="L16" s="441" t="s">
        <v>228</v>
      </c>
      <c r="M16" s="441" t="s">
        <v>227</v>
      </c>
      <c r="N16" s="441" t="s">
        <v>226</v>
      </c>
      <c r="O16" s="441" t="s">
        <v>47</v>
      </c>
      <c r="P16" s="441" t="s">
        <v>47</v>
      </c>
      <c r="Q16" s="441" t="s">
        <v>230</v>
      </c>
      <c r="R16" s="441" t="s">
        <v>229</v>
      </c>
      <c r="S16" s="441" t="s">
        <v>228</v>
      </c>
      <c r="T16" s="441" t="s">
        <v>226</v>
      </c>
      <c r="U16" s="441" t="s">
        <v>226</v>
      </c>
      <c r="V16" s="441" t="s">
        <v>47</v>
      </c>
      <c r="W16" s="441" t="s">
        <v>47</v>
      </c>
      <c r="X16" s="441" t="s">
        <v>231</v>
      </c>
      <c r="Y16" s="441" t="s">
        <v>231</v>
      </c>
      <c r="Z16" s="441" t="s">
        <v>231</v>
      </c>
      <c r="AA16" s="441" t="s">
        <v>230</v>
      </c>
      <c r="AB16" s="441" t="s">
        <v>227</v>
      </c>
      <c r="AC16" s="441" t="s">
        <v>47</v>
      </c>
      <c r="AD16" s="441" t="s">
        <v>47</v>
      </c>
      <c r="AE16" s="441" t="s">
        <v>228</v>
      </c>
      <c r="AF16" s="441" t="s">
        <v>228</v>
      </c>
      <c r="AG16" s="441" t="s">
        <v>228</v>
      </c>
    </row>
    <row r="17">
      <c r="A17" s="441" t="s">
        <v>291</v>
      </c>
      <c r="B17" s="441" t="s">
        <v>98</v>
      </c>
      <c r="C17" s="441" t="s">
        <v>229</v>
      </c>
      <c r="D17" s="441" t="s">
        <v>229</v>
      </c>
      <c r="E17" s="441" t="s">
        <v>227</v>
      </c>
      <c r="F17" s="441" t="s">
        <v>226</v>
      </c>
      <c r="G17" s="441" t="s">
        <v>47</v>
      </c>
      <c r="H17" s="441" t="s">
        <v>47</v>
      </c>
      <c r="I17" s="441" t="s">
        <v>230</v>
      </c>
      <c r="J17" s="441" t="s">
        <v>229</v>
      </c>
      <c r="K17" s="441" t="s">
        <v>228</v>
      </c>
      <c r="L17" s="441" t="s">
        <v>228</v>
      </c>
      <c r="M17" s="441" t="s">
        <v>228</v>
      </c>
      <c r="N17" s="441" t="s">
        <v>47</v>
      </c>
      <c r="O17" s="441" t="s">
        <v>47</v>
      </c>
      <c r="P17" s="441" t="s">
        <v>230</v>
      </c>
      <c r="Q17" s="441" t="s">
        <v>230</v>
      </c>
      <c r="R17" s="441" t="s">
        <v>229</v>
      </c>
      <c r="S17" s="441" t="s">
        <v>227</v>
      </c>
      <c r="T17" s="441" t="s">
        <v>226</v>
      </c>
      <c r="U17" s="441" t="s">
        <v>47</v>
      </c>
      <c r="V17" s="441" t="s">
        <v>47</v>
      </c>
      <c r="W17" s="441" t="s">
        <v>230</v>
      </c>
      <c r="X17" s="441" t="s">
        <v>230</v>
      </c>
      <c r="Y17" s="441" t="s">
        <v>230</v>
      </c>
      <c r="Z17" s="441" t="s">
        <v>226</v>
      </c>
      <c r="AA17" s="441" t="s">
        <v>226</v>
      </c>
      <c r="AB17" s="441" t="s">
        <v>47</v>
      </c>
      <c r="AC17" s="441" t="s">
        <v>47</v>
      </c>
      <c r="AD17" s="441" t="s">
        <v>230</v>
      </c>
      <c r="AE17" s="441" t="s">
        <v>229</v>
      </c>
      <c r="AF17" s="440" t="s">
        <v>229</v>
      </c>
      <c r="AG17" s="441" t="s">
        <v>227</v>
      </c>
    </row>
    <row r="18">
      <c r="A18" s="441" t="s">
        <v>292</v>
      </c>
      <c r="B18" s="441" t="s">
        <v>101</v>
      </c>
      <c r="C18" s="441" t="s">
        <v>226</v>
      </c>
      <c r="D18" s="441" t="s">
        <v>226</v>
      </c>
      <c r="E18" s="441" t="s">
        <v>47</v>
      </c>
      <c r="F18" s="441" t="s">
        <v>226</v>
      </c>
      <c r="G18" s="441" t="s">
        <v>226</v>
      </c>
      <c r="H18" s="441" t="s">
        <v>226</v>
      </c>
      <c r="I18" s="441" t="s">
        <v>47</v>
      </c>
      <c r="J18" s="441" t="s">
        <v>230</v>
      </c>
      <c r="K18" s="441" t="s">
        <v>43</v>
      </c>
      <c r="L18" s="441" t="s">
        <v>47</v>
      </c>
      <c r="M18" s="441" t="s">
        <v>43</v>
      </c>
      <c r="N18" s="441" t="s">
        <v>43</v>
      </c>
      <c r="O18" s="441" t="s">
        <v>43</v>
      </c>
      <c r="P18" s="441" t="s">
        <v>47</v>
      </c>
      <c r="Q18" s="441" t="s">
        <v>43</v>
      </c>
      <c r="R18" s="441" t="s">
        <v>43</v>
      </c>
      <c r="S18" s="441" t="s">
        <v>47</v>
      </c>
      <c r="T18" s="441" t="s">
        <v>231</v>
      </c>
      <c r="U18" s="441" t="s">
        <v>231</v>
      </c>
      <c r="V18" s="441" t="s">
        <v>231</v>
      </c>
      <c r="W18" s="441" t="s">
        <v>47</v>
      </c>
      <c r="X18" s="441" t="s">
        <v>231</v>
      </c>
      <c r="Y18" s="441" t="s">
        <v>231</v>
      </c>
      <c r="Z18" s="441" t="s">
        <v>47</v>
      </c>
      <c r="AA18" s="441" t="s">
        <v>231</v>
      </c>
      <c r="AB18" s="441" t="s">
        <v>231</v>
      </c>
      <c r="AC18" s="441" t="s">
        <v>231</v>
      </c>
      <c r="AD18" s="441" t="s">
        <v>47</v>
      </c>
      <c r="AE18" s="441" t="s">
        <v>231</v>
      </c>
      <c r="AF18" s="441" t="s">
        <v>231</v>
      </c>
      <c r="AG18" s="441" t="s">
        <v>47</v>
      </c>
    </row>
    <row r="19">
      <c r="A19" s="441" t="s">
        <v>293</v>
      </c>
      <c r="B19" s="441" t="s">
        <v>104</v>
      </c>
      <c r="C19" s="441" t="s">
        <v>229</v>
      </c>
      <c r="D19" s="441" t="s">
        <v>228</v>
      </c>
      <c r="E19" s="441" t="s">
        <v>228</v>
      </c>
      <c r="F19" s="441" t="s">
        <v>227</v>
      </c>
      <c r="G19" s="441" t="s">
        <v>47</v>
      </c>
      <c r="H19" s="441" t="s">
        <v>47</v>
      </c>
      <c r="I19" s="441" t="s">
        <v>230</v>
      </c>
      <c r="J19" s="441" t="s">
        <v>230</v>
      </c>
      <c r="K19" s="441" t="s">
        <v>227</v>
      </c>
      <c r="L19" s="441" t="s">
        <v>227</v>
      </c>
      <c r="M19" s="441" t="s">
        <v>226</v>
      </c>
      <c r="N19" s="441" t="s">
        <v>47</v>
      </c>
      <c r="O19" s="441" t="s">
        <v>47</v>
      </c>
      <c r="P19" s="441" t="s">
        <v>230</v>
      </c>
      <c r="Q19" s="441" t="s">
        <v>230</v>
      </c>
      <c r="R19" s="441" t="s">
        <v>229</v>
      </c>
      <c r="S19" s="441" t="s">
        <v>228</v>
      </c>
      <c r="T19" s="441" t="s">
        <v>226</v>
      </c>
      <c r="U19" s="441" t="s">
        <v>47</v>
      </c>
      <c r="V19" s="441" t="s">
        <v>47</v>
      </c>
      <c r="W19" s="441" t="s">
        <v>230</v>
      </c>
      <c r="X19" s="441" t="s">
        <v>230</v>
      </c>
      <c r="Y19" s="441" t="s">
        <v>230</v>
      </c>
      <c r="Z19" s="441" t="s">
        <v>227</v>
      </c>
      <c r="AA19" s="441" t="s">
        <v>226</v>
      </c>
      <c r="AB19" s="441" t="s">
        <v>47</v>
      </c>
      <c r="AC19" s="441" t="s">
        <v>47</v>
      </c>
      <c r="AD19" s="441" t="s">
        <v>230</v>
      </c>
      <c r="AE19" s="441" t="s">
        <v>229</v>
      </c>
      <c r="AF19" s="440" t="s">
        <v>228</v>
      </c>
      <c r="AG19" s="441" t="s">
        <v>228</v>
      </c>
    </row>
    <row r="20">
      <c r="A20" s="441" t="s">
        <v>294</v>
      </c>
      <c r="B20" s="441" t="s">
        <v>107</v>
      </c>
      <c r="C20" s="441" t="s">
        <v>230</v>
      </c>
      <c r="D20" s="441" t="s">
        <v>228</v>
      </c>
      <c r="E20" s="441" t="s">
        <v>228</v>
      </c>
      <c r="F20" s="441" t="s">
        <v>226</v>
      </c>
      <c r="G20" s="441" t="s">
        <v>226</v>
      </c>
      <c r="H20" s="441" t="s">
        <v>47</v>
      </c>
      <c r="I20" s="441" t="s">
        <v>47</v>
      </c>
      <c r="J20" s="441" t="s">
        <v>231</v>
      </c>
      <c r="K20" s="441" t="s">
        <v>228</v>
      </c>
      <c r="L20" s="441" t="s">
        <v>228</v>
      </c>
      <c r="M20" s="441" t="s">
        <v>226</v>
      </c>
      <c r="N20" s="440" t="s">
        <v>226</v>
      </c>
      <c r="O20" s="441" t="s">
        <v>47</v>
      </c>
      <c r="P20" s="441" t="s">
        <v>47</v>
      </c>
      <c r="Q20" s="441" t="s">
        <v>230</v>
      </c>
      <c r="R20" s="441" t="s">
        <v>228</v>
      </c>
      <c r="S20" s="440" t="s">
        <v>228</v>
      </c>
      <c r="T20" s="440" t="s">
        <v>228</v>
      </c>
      <c r="U20" s="440" t="s">
        <v>226</v>
      </c>
      <c r="V20" s="441" t="s">
        <v>47</v>
      </c>
      <c r="W20" s="441" t="s">
        <v>47</v>
      </c>
      <c r="X20" s="441" t="s">
        <v>231</v>
      </c>
      <c r="Y20" s="441" t="s">
        <v>231</v>
      </c>
      <c r="Z20" s="441" t="s">
        <v>231</v>
      </c>
      <c r="AA20" s="441" t="s">
        <v>229</v>
      </c>
      <c r="AB20" s="441" t="s">
        <v>226</v>
      </c>
      <c r="AC20" s="441" t="s">
        <v>47</v>
      </c>
      <c r="AD20" s="441" t="s">
        <v>47</v>
      </c>
      <c r="AE20" s="441" t="s">
        <v>228</v>
      </c>
      <c r="AF20" s="441" t="s">
        <v>228</v>
      </c>
      <c r="AG20" s="441" t="s">
        <v>228</v>
      </c>
    </row>
    <row r="21">
      <c r="A21" s="441" t="s">
        <v>295</v>
      </c>
      <c r="B21" s="441" t="s">
        <v>110</v>
      </c>
      <c r="C21" s="440" t="s">
        <v>228</v>
      </c>
      <c r="D21" s="440" t="s">
        <v>228</v>
      </c>
      <c r="E21" s="441" t="s">
        <v>47</v>
      </c>
      <c r="F21" s="441" t="s">
        <v>47</v>
      </c>
      <c r="G21" s="441" t="s">
        <v>229</v>
      </c>
      <c r="H21" s="441" t="s">
        <v>229</v>
      </c>
      <c r="I21" s="441" t="s">
        <v>228</v>
      </c>
      <c r="J21" s="441" t="s">
        <v>227</v>
      </c>
      <c r="K21" s="441" t="s">
        <v>226</v>
      </c>
      <c r="L21" s="441" t="s">
        <v>47</v>
      </c>
      <c r="M21" s="441" t="s">
        <v>47</v>
      </c>
      <c r="N21" s="441" t="s">
        <v>230</v>
      </c>
      <c r="O21" s="441" t="s">
        <v>229</v>
      </c>
      <c r="P21" s="441" t="s">
        <v>228</v>
      </c>
      <c r="Q21" s="441" t="s">
        <v>227</v>
      </c>
      <c r="R21" s="441" t="s">
        <v>226</v>
      </c>
      <c r="S21" s="441" t="s">
        <v>47</v>
      </c>
      <c r="T21" s="441" t="s">
        <v>47</v>
      </c>
      <c r="U21" s="441" t="s">
        <v>228</v>
      </c>
      <c r="V21" s="441" t="s">
        <v>228</v>
      </c>
      <c r="W21" s="441" t="s">
        <v>227</v>
      </c>
      <c r="X21" s="441" t="s">
        <v>227</v>
      </c>
      <c r="Y21" s="441" t="s">
        <v>226</v>
      </c>
      <c r="Z21" s="441" t="s">
        <v>226</v>
      </c>
      <c r="AA21" s="441" t="s">
        <v>47</v>
      </c>
      <c r="AB21" s="441" t="s">
        <v>230</v>
      </c>
      <c r="AC21" s="441" t="s">
        <v>47</v>
      </c>
      <c r="AD21" s="441" t="s">
        <v>230</v>
      </c>
      <c r="AE21" s="441" t="s">
        <v>231</v>
      </c>
      <c r="AF21" s="441" t="s">
        <v>231</v>
      </c>
      <c r="AG21" s="441" t="s">
        <v>47</v>
      </c>
    </row>
    <row r="22">
      <c r="A22" s="441" t="s">
        <v>296</v>
      </c>
      <c r="B22" s="441" t="s">
        <v>113</v>
      </c>
      <c r="C22" s="441" t="s">
        <v>231</v>
      </c>
      <c r="D22" s="441" t="s">
        <v>230</v>
      </c>
      <c r="E22" s="441" t="s">
        <v>230</v>
      </c>
      <c r="F22" s="441" t="s">
        <v>226</v>
      </c>
      <c r="G22" s="441" t="s">
        <v>226</v>
      </c>
      <c r="H22" s="441" t="s">
        <v>47</v>
      </c>
      <c r="I22" s="441" t="s">
        <v>47</v>
      </c>
      <c r="J22" s="441" t="s">
        <v>231</v>
      </c>
      <c r="K22" s="441" t="s">
        <v>230</v>
      </c>
      <c r="L22" s="441" t="s">
        <v>226</v>
      </c>
      <c r="M22" s="441" t="s">
        <v>226</v>
      </c>
      <c r="N22" s="441" t="s">
        <v>226</v>
      </c>
      <c r="O22" s="441" t="s">
        <v>47</v>
      </c>
      <c r="P22" s="441" t="s">
        <v>47</v>
      </c>
      <c r="Q22" s="441" t="s">
        <v>231</v>
      </c>
      <c r="R22" s="441" t="s">
        <v>230</v>
      </c>
      <c r="S22" s="441" t="s">
        <v>230</v>
      </c>
      <c r="T22" s="441" t="s">
        <v>230</v>
      </c>
      <c r="U22" s="441" t="s">
        <v>226</v>
      </c>
      <c r="V22" s="441" t="s">
        <v>47</v>
      </c>
      <c r="W22" s="441" t="s">
        <v>47</v>
      </c>
      <c r="X22" s="441" t="s">
        <v>231</v>
      </c>
      <c r="Y22" s="441" t="s">
        <v>231</v>
      </c>
      <c r="Z22" s="441" t="s">
        <v>231</v>
      </c>
      <c r="AA22" s="441" t="s">
        <v>230</v>
      </c>
      <c r="AB22" s="441" t="s">
        <v>226</v>
      </c>
      <c r="AC22" s="441" t="s">
        <v>47</v>
      </c>
      <c r="AD22" s="441" t="s">
        <v>47</v>
      </c>
      <c r="AE22" s="441" t="s">
        <v>230</v>
      </c>
      <c r="AF22" s="441" t="s">
        <v>230</v>
      </c>
      <c r="AG22" s="441" t="s">
        <v>226</v>
      </c>
    </row>
    <row r="23">
      <c r="A23" s="441" t="s">
        <v>297</v>
      </c>
      <c r="B23" s="441" t="s">
        <v>116</v>
      </c>
      <c r="C23" s="441" t="s">
        <v>231</v>
      </c>
      <c r="D23" s="441" t="s">
        <v>231</v>
      </c>
      <c r="E23" s="441" t="s">
        <v>47</v>
      </c>
      <c r="F23" s="441" t="s">
        <v>47</v>
      </c>
      <c r="G23" s="441" t="s">
        <v>230</v>
      </c>
      <c r="H23" s="441" t="s">
        <v>230</v>
      </c>
      <c r="I23" s="441" t="s">
        <v>228</v>
      </c>
      <c r="J23" s="440" t="s">
        <v>227</v>
      </c>
      <c r="K23" s="441" t="s">
        <v>226</v>
      </c>
      <c r="L23" s="441" t="s">
        <v>47</v>
      </c>
      <c r="M23" s="441" t="s">
        <v>47</v>
      </c>
      <c r="N23" s="441" t="s">
        <v>230</v>
      </c>
      <c r="O23" s="441" t="s">
        <v>230</v>
      </c>
      <c r="P23" s="441" t="s">
        <v>228</v>
      </c>
      <c r="Q23" s="441" t="s">
        <v>226</v>
      </c>
      <c r="R23" s="441" t="s">
        <v>226</v>
      </c>
      <c r="S23" s="441" t="s">
        <v>47</v>
      </c>
      <c r="T23" s="441" t="s">
        <v>47</v>
      </c>
      <c r="U23" s="441" t="s">
        <v>230</v>
      </c>
      <c r="V23" s="441" t="s">
        <v>230</v>
      </c>
      <c r="W23" s="441" t="s">
        <v>229</v>
      </c>
      <c r="X23" s="441" t="s">
        <v>231</v>
      </c>
      <c r="Y23" s="441" t="s">
        <v>231</v>
      </c>
      <c r="Z23" s="441" t="s">
        <v>47</v>
      </c>
      <c r="AA23" s="441" t="s">
        <v>47</v>
      </c>
      <c r="AB23" s="441" t="s">
        <v>231</v>
      </c>
      <c r="AC23" s="441" t="s">
        <v>230</v>
      </c>
      <c r="AD23" s="441" t="s">
        <v>227</v>
      </c>
      <c r="AE23" s="441" t="s">
        <v>227</v>
      </c>
      <c r="AF23" s="441" t="s">
        <v>226</v>
      </c>
      <c r="AG23" s="441" t="s">
        <v>226</v>
      </c>
    </row>
    <row r="24">
      <c r="A24" s="441" t="s">
        <v>298</v>
      </c>
      <c r="B24" s="441" t="s">
        <v>119</v>
      </c>
      <c r="C24" s="441" t="s">
        <v>231</v>
      </c>
      <c r="D24" s="440" t="s">
        <v>228</v>
      </c>
      <c r="E24" s="441" t="s">
        <v>47</v>
      </c>
      <c r="F24" s="441" t="s">
        <v>47</v>
      </c>
      <c r="G24" s="441" t="s">
        <v>230</v>
      </c>
      <c r="H24" s="441" t="s">
        <v>229</v>
      </c>
      <c r="I24" s="441" t="s">
        <v>228</v>
      </c>
      <c r="J24" s="440" t="s">
        <v>227</v>
      </c>
      <c r="K24" s="440" t="s">
        <v>226</v>
      </c>
      <c r="L24" s="441" t="s">
        <v>47</v>
      </c>
      <c r="M24" s="441" t="s">
        <v>47</v>
      </c>
      <c r="N24" s="441" t="s">
        <v>230</v>
      </c>
      <c r="O24" s="441" t="s">
        <v>229</v>
      </c>
      <c r="P24" s="441" t="s">
        <v>228</v>
      </c>
      <c r="Q24" s="440" t="s">
        <v>228</v>
      </c>
      <c r="R24" s="441" t="s">
        <v>227</v>
      </c>
      <c r="S24" s="441" t="s">
        <v>47</v>
      </c>
      <c r="T24" s="441" t="s">
        <v>47</v>
      </c>
      <c r="U24" s="441" t="s">
        <v>230</v>
      </c>
      <c r="V24" s="441" t="s">
        <v>229</v>
      </c>
      <c r="W24" s="441" t="s">
        <v>227</v>
      </c>
      <c r="X24" s="441" t="s">
        <v>226</v>
      </c>
      <c r="Y24" s="441" t="s">
        <v>226</v>
      </c>
      <c r="Z24" s="441" t="s">
        <v>226</v>
      </c>
      <c r="AA24" s="441" t="s">
        <v>47</v>
      </c>
      <c r="AB24" s="441" t="s">
        <v>230</v>
      </c>
      <c r="AC24" s="441" t="s">
        <v>226</v>
      </c>
      <c r="AD24" s="441" t="s">
        <v>47</v>
      </c>
      <c r="AE24" s="441" t="s">
        <v>231</v>
      </c>
      <c r="AF24" s="441" t="s">
        <v>231</v>
      </c>
      <c r="AG24" s="441" t="s">
        <v>47</v>
      </c>
    </row>
    <row r="25">
      <c r="A25" s="441" t="s">
        <v>299</v>
      </c>
      <c r="B25" s="441" t="s">
        <v>122</v>
      </c>
      <c r="C25" s="441" t="s">
        <v>230</v>
      </c>
      <c r="D25" s="441" t="s">
        <v>228</v>
      </c>
      <c r="E25" s="441" t="s">
        <v>231</v>
      </c>
      <c r="F25" s="441" t="s">
        <v>231</v>
      </c>
      <c r="G25" s="441" t="s">
        <v>231</v>
      </c>
      <c r="H25" s="441" t="s">
        <v>47</v>
      </c>
      <c r="I25" s="441" t="s">
        <v>47</v>
      </c>
      <c r="J25" s="441" t="s">
        <v>230</v>
      </c>
      <c r="K25" s="441" t="s">
        <v>231</v>
      </c>
      <c r="L25" s="441" t="s">
        <v>231</v>
      </c>
      <c r="M25" s="441" t="s">
        <v>231</v>
      </c>
      <c r="N25" s="441" t="s">
        <v>226</v>
      </c>
      <c r="O25" s="441" t="s">
        <v>47</v>
      </c>
      <c r="P25" s="441" t="s">
        <v>47</v>
      </c>
      <c r="Q25" s="441" t="s">
        <v>229</v>
      </c>
      <c r="R25" s="441" t="s">
        <v>228</v>
      </c>
      <c r="S25" s="441" t="s">
        <v>227</v>
      </c>
      <c r="T25" s="441" t="s">
        <v>227</v>
      </c>
      <c r="U25" s="441" t="s">
        <v>226</v>
      </c>
      <c r="V25" s="441" t="s">
        <v>47</v>
      </c>
      <c r="W25" s="441" t="s">
        <v>47</v>
      </c>
      <c r="X25" s="441" t="s">
        <v>228</v>
      </c>
      <c r="Y25" s="441" t="s">
        <v>228</v>
      </c>
      <c r="Z25" s="441" t="s">
        <v>228</v>
      </c>
      <c r="AA25" s="440" t="s">
        <v>226</v>
      </c>
      <c r="AB25" s="441" t="s">
        <v>231</v>
      </c>
      <c r="AC25" s="441" t="s">
        <v>47</v>
      </c>
      <c r="AD25" s="441" t="s">
        <v>47</v>
      </c>
      <c r="AE25" s="441" t="s">
        <v>228</v>
      </c>
      <c r="AF25" s="441" t="s">
        <v>227</v>
      </c>
      <c r="AG25" s="441" t="s">
        <v>226</v>
      </c>
    </row>
    <row r="26">
      <c r="A26" s="441" t="s">
        <v>300</v>
      </c>
      <c r="B26" s="441" t="s">
        <v>125</v>
      </c>
      <c r="C26" s="441" t="s">
        <v>226</v>
      </c>
      <c r="D26" s="441" t="s">
        <v>47</v>
      </c>
      <c r="E26" s="441" t="s">
        <v>47</v>
      </c>
      <c r="F26" s="441" t="s">
        <v>228</v>
      </c>
      <c r="G26" s="441" t="s">
        <v>228</v>
      </c>
      <c r="H26" s="441" t="s">
        <v>228</v>
      </c>
      <c r="I26" s="441" t="s">
        <v>227</v>
      </c>
      <c r="J26" s="441" t="s">
        <v>226</v>
      </c>
      <c r="K26" s="441" t="s">
        <v>47</v>
      </c>
      <c r="L26" s="441" t="s">
        <v>47</v>
      </c>
      <c r="M26" s="441" t="s">
        <v>228</v>
      </c>
      <c r="N26" s="441" t="s">
        <v>228</v>
      </c>
      <c r="O26" s="441" t="s">
        <v>228</v>
      </c>
      <c r="P26" s="441" t="s">
        <v>226</v>
      </c>
      <c r="Q26" s="441" t="s">
        <v>226</v>
      </c>
      <c r="R26" s="441" t="s">
        <v>47</v>
      </c>
      <c r="S26" s="441" t="s">
        <v>47</v>
      </c>
      <c r="T26" s="441" t="s">
        <v>228</v>
      </c>
      <c r="U26" s="441" t="s">
        <v>228</v>
      </c>
      <c r="V26" s="441" t="s">
        <v>227</v>
      </c>
      <c r="W26" s="441" t="s">
        <v>228</v>
      </c>
      <c r="X26" s="441" t="s">
        <v>231</v>
      </c>
      <c r="Y26" s="441" t="s">
        <v>47</v>
      </c>
      <c r="Z26" s="441" t="s">
        <v>47</v>
      </c>
      <c r="AA26" s="441" t="s">
        <v>228</v>
      </c>
      <c r="AB26" s="441" t="s">
        <v>228</v>
      </c>
      <c r="AC26" s="441" t="s">
        <v>228</v>
      </c>
      <c r="AD26" s="441" t="s">
        <v>226</v>
      </c>
      <c r="AE26" s="441" t="s">
        <v>226</v>
      </c>
      <c r="AF26" s="441" t="s">
        <v>226</v>
      </c>
      <c r="AG26" s="441" t="s">
        <v>47</v>
      </c>
    </row>
    <row r="27">
      <c r="A27" s="441" t="s">
        <v>301</v>
      </c>
      <c r="B27" s="441" t="s">
        <v>128</v>
      </c>
      <c r="C27" s="441" t="s">
        <v>47</v>
      </c>
      <c r="D27" s="441" t="s">
        <v>229</v>
      </c>
      <c r="E27" s="441" t="s">
        <v>229</v>
      </c>
      <c r="F27" s="441" t="s">
        <v>230</v>
      </c>
      <c r="G27" s="441" t="s">
        <v>227</v>
      </c>
      <c r="H27" s="441" t="s">
        <v>226</v>
      </c>
      <c r="I27" s="441" t="s">
        <v>47</v>
      </c>
      <c r="J27" s="441" t="s">
        <v>47</v>
      </c>
      <c r="K27" s="441" t="s">
        <v>229</v>
      </c>
      <c r="L27" s="441" t="s">
        <v>228</v>
      </c>
      <c r="M27" s="441" t="s">
        <v>227</v>
      </c>
      <c r="N27" s="441" t="s">
        <v>227</v>
      </c>
      <c r="O27" s="441" t="s">
        <v>226</v>
      </c>
      <c r="P27" s="441" t="s">
        <v>47</v>
      </c>
      <c r="Q27" s="441" t="s">
        <v>47</v>
      </c>
      <c r="R27" s="441" t="s">
        <v>47</v>
      </c>
      <c r="S27" s="441" t="s">
        <v>229</v>
      </c>
      <c r="T27" s="441" t="s">
        <v>229</v>
      </c>
      <c r="U27" s="441" t="s">
        <v>227</v>
      </c>
      <c r="V27" s="441" t="s">
        <v>226</v>
      </c>
      <c r="W27" s="441" t="s">
        <v>47</v>
      </c>
      <c r="X27" s="441" t="s">
        <v>230</v>
      </c>
      <c r="Y27" s="441" t="s">
        <v>230</v>
      </c>
      <c r="Z27" s="441" t="s">
        <v>230</v>
      </c>
      <c r="AA27" s="441" t="s">
        <v>231</v>
      </c>
      <c r="AB27" s="441" t="s">
        <v>231</v>
      </c>
      <c r="AC27" s="441" t="s">
        <v>231</v>
      </c>
      <c r="AD27" s="441" t="s">
        <v>47</v>
      </c>
      <c r="AE27" s="441" t="s">
        <v>47</v>
      </c>
      <c r="AF27" s="441" t="s">
        <v>231</v>
      </c>
      <c r="AG27" s="441" t="s">
        <v>231</v>
      </c>
    </row>
    <row r="28">
      <c r="A28" s="441" t="s">
        <v>302</v>
      </c>
      <c r="B28" s="441" t="s">
        <v>131</v>
      </c>
      <c r="C28" s="441" t="s">
        <v>226</v>
      </c>
      <c r="D28" s="441" t="s">
        <v>47</v>
      </c>
      <c r="E28" s="441" t="s">
        <v>47</v>
      </c>
      <c r="F28" s="441" t="s">
        <v>228</v>
      </c>
      <c r="G28" s="441" t="s">
        <v>228</v>
      </c>
      <c r="H28" s="441" t="s">
        <v>227</v>
      </c>
      <c r="I28" s="441" t="s">
        <v>227</v>
      </c>
      <c r="J28" s="441" t="s">
        <v>226</v>
      </c>
      <c r="K28" s="441" t="s">
        <v>47</v>
      </c>
      <c r="L28" s="441" t="s">
        <v>47</v>
      </c>
      <c r="M28" s="441" t="s">
        <v>228</v>
      </c>
      <c r="N28" s="441" t="s">
        <v>228</v>
      </c>
      <c r="O28" s="441" t="s">
        <v>228</v>
      </c>
      <c r="P28" s="441" t="s">
        <v>231</v>
      </c>
      <c r="Q28" s="441" t="s">
        <v>231</v>
      </c>
      <c r="R28" s="441" t="s">
        <v>47</v>
      </c>
      <c r="S28" s="441" t="s">
        <v>47</v>
      </c>
      <c r="T28" s="441" t="s">
        <v>228</v>
      </c>
      <c r="U28" s="441" t="s">
        <v>228</v>
      </c>
      <c r="V28" s="441" t="s">
        <v>227</v>
      </c>
      <c r="W28" s="441" t="s">
        <v>228</v>
      </c>
      <c r="X28" s="441" t="s">
        <v>231</v>
      </c>
      <c r="Y28" s="441" t="s">
        <v>47</v>
      </c>
      <c r="Z28" s="441" t="s">
        <v>47</v>
      </c>
      <c r="AA28" s="441" t="s">
        <v>228</v>
      </c>
      <c r="AB28" s="441" t="s">
        <v>228</v>
      </c>
      <c r="AC28" s="441" t="s">
        <v>228</v>
      </c>
      <c r="AD28" s="441" t="s">
        <v>226</v>
      </c>
      <c r="AE28" s="441" t="s">
        <v>226</v>
      </c>
      <c r="AF28" s="441" t="s">
        <v>226</v>
      </c>
      <c r="AG28" s="441" t="s">
        <v>47</v>
      </c>
    </row>
    <row r="29">
      <c r="A29" s="441" t="s">
        <v>303</v>
      </c>
      <c r="B29" s="441" t="s">
        <v>134</v>
      </c>
      <c r="C29" s="441" t="s">
        <v>226</v>
      </c>
      <c r="D29" s="441" t="s">
        <v>47</v>
      </c>
      <c r="E29" s="441" t="s">
        <v>47</v>
      </c>
      <c r="F29" s="441" t="s">
        <v>229</v>
      </c>
      <c r="G29" s="441" t="s">
        <v>229</v>
      </c>
      <c r="H29" s="441" t="s">
        <v>228</v>
      </c>
      <c r="I29" s="441" t="s">
        <v>228</v>
      </c>
      <c r="J29" s="441" t="s">
        <v>226</v>
      </c>
      <c r="K29" s="441" t="s">
        <v>47</v>
      </c>
      <c r="L29" s="441" t="s">
        <v>47</v>
      </c>
      <c r="M29" s="441" t="s">
        <v>229</v>
      </c>
      <c r="N29" s="441" t="s">
        <v>229</v>
      </c>
      <c r="O29" s="441" t="s">
        <v>228</v>
      </c>
      <c r="P29" s="441" t="s">
        <v>227</v>
      </c>
      <c r="Q29" s="441" t="s">
        <v>226</v>
      </c>
      <c r="R29" s="441" t="s">
        <v>47</v>
      </c>
      <c r="S29" s="441" t="s">
        <v>47</v>
      </c>
      <c r="T29" s="441" t="s">
        <v>230</v>
      </c>
      <c r="U29" s="441" t="s">
        <v>229</v>
      </c>
      <c r="V29" s="441" t="s">
        <v>228</v>
      </c>
      <c r="W29" s="441" t="s">
        <v>226</v>
      </c>
      <c r="X29" s="441" t="s">
        <v>226</v>
      </c>
      <c r="Y29" s="441" t="s">
        <v>226</v>
      </c>
      <c r="Z29" s="441" t="s">
        <v>47</v>
      </c>
      <c r="AA29" s="441" t="s">
        <v>47</v>
      </c>
      <c r="AB29" s="441" t="s">
        <v>228</v>
      </c>
      <c r="AC29" s="441" t="s">
        <v>228</v>
      </c>
      <c r="AD29" s="441" t="s">
        <v>231</v>
      </c>
      <c r="AE29" s="441" t="s">
        <v>231</v>
      </c>
      <c r="AF29" s="441" t="s">
        <v>47</v>
      </c>
      <c r="AG29" s="441" t="s">
        <v>47</v>
      </c>
    </row>
    <row r="30">
      <c r="A30" s="441" t="s">
        <v>304</v>
      </c>
      <c r="B30" s="441" t="s">
        <v>137</v>
      </c>
      <c r="C30" s="441" t="s">
        <v>230</v>
      </c>
      <c r="D30" s="441" t="s">
        <v>230</v>
      </c>
      <c r="E30" s="441" t="s">
        <v>47</v>
      </c>
      <c r="F30" s="441" t="s">
        <v>47</v>
      </c>
      <c r="G30" s="441" t="s">
        <v>230</v>
      </c>
      <c r="H30" s="441" t="s">
        <v>230</v>
      </c>
      <c r="I30" s="441" t="s">
        <v>230</v>
      </c>
      <c r="J30" s="441" t="s">
        <v>230</v>
      </c>
      <c r="K30" s="441" t="s">
        <v>230</v>
      </c>
      <c r="L30" s="441" t="s">
        <v>47</v>
      </c>
      <c r="M30" s="441" t="s">
        <v>47</v>
      </c>
      <c r="N30" s="441" t="s">
        <v>230</v>
      </c>
      <c r="O30" s="441" t="s">
        <v>230</v>
      </c>
      <c r="P30" s="441" t="s">
        <v>230</v>
      </c>
      <c r="Q30" s="441" t="s">
        <v>230</v>
      </c>
      <c r="R30" s="441" t="s">
        <v>230</v>
      </c>
      <c r="S30" s="441" t="s">
        <v>47</v>
      </c>
      <c r="T30" s="441" t="s">
        <v>47</v>
      </c>
      <c r="U30" s="441" t="s">
        <v>230</v>
      </c>
      <c r="V30" s="441" t="s">
        <v>230</v>
      </c>
      <c r="W30" s="441" t="s">
        <v>230</v>
      </c>
      <c r="X30" s="441" t="s">
        <v>230</v>
      </c>
      <c r="Y30" s="441" t="s">
        <v>230</v>
      </c>
      <c r="Z30" s="441" t="s">
        <v>47</v>
      </c>
      <c r="AA30" s="441" t="s">
        <v>47</v>
      </c>
      <c r="AB30" s="441" t="s">
        <v>230</v>
      </c>
      <c r="AC30" s="441" t="s">
        <v>230</v>
      </c>
      <c r="AD30" s="441" t="s">
        <v>230</v>
      </c>
      <c r="AE30" s="441" t="s">
        <v>230</v>
      </c>
      <c r="AF30" s="441" t="s">
        <v>230</v>
      </c>
      <c r="AG30" s="441" t="s">
        <v>47</v>
      </c>
    </row>
    <row r="31">
      <c r="A31" s="441" t="s">
        <v>305</v>
      </c>
      <c r="B31" s="441" t="s">
        <v>140</v>
      </c>
      <c r="C31" s="441" t="s">
        <v>228</v>
      </c>
      <c r="D31" s="441" t="s">
        <v>228</v>
      </c>
      <c r="E31" s="441" t="s">
        <v>226</v>
      </c>
      <c r="F31" s="441" t="s">
        <v>227</v>
      </c>
      <c r="G31" s="441" t="s">
        <v>47</v>
      </c>
      <c r="H31" s="441" t="s">
        <v>47</v>
      </c>
      <c r="I31" s="441" t="s">
        <v>230</v>
      </c>
      <c r="J31" s="441" t="s">
        <v>229</v>
      </c>
      <c r="K31" s="441" t="s">
        <v>228</v>
      </c>
      <c r="L31" s="441" t="s">
        <v>226</v>
      </c>
      <c r="M31" s="441" t="s">
        <v>227</v>
      </c>
      <c r="N31" s="441" t="s">
        <v>47</v>
      </c>
      <c r="O31" s="441" t="s">
        <v>47</v>
      </c>
      <c r="P31" s="441" t="s">
        <v>229</v>
      </c>
      <c r="Q31" s="441" t="s">
        <v>228</v>
      </c>
      <c r="R31" s="441" t="s">
        <v>226</v>
      </c>
      <c r="S31" s="441" t="s">
        <v>226</v>
      </c>
      <c r="T31" s="441" t="s">
        <v>227</v>
      </c>
      <c r="U31" s="441" t="s">
        <v>47</v>
      </c>
      <c r="V31" s="441" t="s">
        <v>47</v>
      </c>
      <c r="W31" s="441" t="s">
        <v>231</v>
      </c>
      <c r="X31" s="441" t="s">
        <v>230</v>
      </c>
      <c r="Y31" s="441" t="s">
        <v>230</v>
      </c>
      <c r="Z31" s="441" t="s">
        <v>230</v>
      </c>
      <c r="AA31" s="441" t="s">
        <v>226</v>
      </c>
      <c r="AB31" s="441" t="s">
        <v>47</v>
      </c>
      <c r="AC31" s="441" t="s">
        <v>47</v>
      </c>
      <c r="AD31" s="441" t="s">
        <v>229</v>
      </c>
      <c r="AE31" s="441" t="s">
        <v>228</v>
      </c>
      <c r="AF31" s="441" t="s">
        <v>228</v>
      </c>
      <c r="AG31" s="441" t="s">
        <v>228</v>
      </c>
    </row>
    <row r="32">
      <c r="A32" s="441" t="s">
        <v>306</v>
      </c>
      <c r="B32" s="441" t="s">
        <v>144</v>
      </c>
      <c r="C32" s="441" t="s">
        <v>228</v>
      </c>
      <c r="D32" s="441" t="s">
        <v>227</v>
      </c>
      <c r="E32" s="441" t="s">
        <v>47</v>
      </c>
      <c r="F32" s="441" t="s">
        <v>47</v>
      </c>
      <c r="G32" s="441" t="s">
        <v>230</v>
      </c>
      <c r="H32" s="441" t="s">
        <v>228</v>
      </c>
      <c r="I32" s="441" t="s">
        <v>228</v>
      </c>
      <c r="J32" s="441" t="s">
        <v>228</v>
      </c>
      <c r="K32" s="441" t="s">
        <v>228</v>
      </c>
      <c r="L32" s="441" t="s">
        <v>47</v>
      </c>
      <c r="M32" s="441" t="s">
        <v>47</v>
      </c>
      <c r="N32" s="441" t="s">
        <v>231</v>
      </c>
      <c r="O32" s="441" t="s">
        <v>230</v>
      </c>
      <c r="P32" s="441" t="s">
        <v>228</v>
      </c>
      <c r="Q32" s="441" t="s">
        <v>228</v>
      </c>
      <c r="R32" s="441" t="s">
        <v>228</v>
      </c>
      <c r="S32" s="441" t="s">
        <v>47</v>
      </c>
      <c r="T32" s="441" t="s">
        <v>47</v>
      </c>
      <c r="U32" s="441" t="s">
        <v>231</v>
      </c>
      <c r="V32" s="441" t="s">
        <v>228</v>
      </c>
      <c r="W32" s="441" t="s">
        <v>226</v>
      </c>
      <c r="X32" s="441" t="s">
        <v>226</v>
      </c>
      <c r="Y32" s="441" t="s">
        <v>227</v>
      </c>
      <c r="Z32" s="441" t="s">
        <v>227</v>
      </c>
      <c r="AA32" s="441" t="s">
        <v>47</v>
      </c>
      <c r="AB32" s="441" t="s">
        <v>229</v>
      </c>
      <c r="AC32" s="441" t="s">
        <v>228</v>
      </c>
      <c r="AD32" s="441" t="s">
        <v>47</v>
      </c>
      <c r="AE32" s="441" t="s">
        <v>227</v>
      </c>
      <c r="AF32" s="441" t="s">
        <v>226</v>
      </c>
      <c r="AG32" s="441" t="s">
        <v>226</v>
      </c>
    </row>
    <row r="33">
      <c r="A33" s="441" t="s">
        <v>307</v>
      </c>
      <c r="B33" s="441" t="s">
        <v>147</v>
      </c>
      <c r="C33" s="441" t="s">
        <v>227</v>
      </c>
      <c r="D33" s="441" t="s">
        <v>226</v>
      </c>
      <c r="E33" s="441" t="s">
        <v>47</v>
      </c>
      <c r="F33" s="441" t="s">
        <v>47</v>
      </c>
      <c r="G33" s="441" t="s">
        <v>230</v>
      </c>
      <c r="H33" s="441" t="s">
        <v>228</v>
      </c>
      <c r="I33" s="441" t="s">
        <v>228</v>
      </c>
      <c r="J33" s="441" t="s">
        <v>228</v>
      </c>
      <c r="K33" s="441" t="s">
        <v>227</v>
      </c>
      <c r="L33" s="441" t="s">
        <v>47</v>
      </c>
      <c r="M33" s="441" t="s">
        <v>47</v>
      </c>
      <c r="N33" s="441" t="s">
        <v>231</v>
      </c>
      <c r="O33" s="441" t="s">
        <v>231</v>
      </c>
      <c r="P33" s="441" t="s">
        <v>231</v>
      </c>
      <c r="Q33" s="441" t="s">
        <v>231</v>
      </c>
      <c r="R33" s="441" t="s">
        <v>231</v>
      </c>
      <c r="S33" s="441" t="s">
        <v>47</v>
      </c>
      <c r="T33" s="441" t="s">
        <v>47</v>
      </c>
      <c r="U33" s="441" t="s">
        <v>230</v>
      </c>
      <c r="V33" s="441" t="s">
        <v>228</v>
      </c>
      <c r="W33" s="441" t="s">
        <v>226</v>
      </c>
      <c r="X33" s="441" t="s">
        <v>227</v>
      </c>
      <c r="Y33" s="441" t="s">
        <v>227</v>
      </c>
      <c r="Z33" s="441" t="s">
        <v>228</v>
      </c>
      <c r="AA33" s="441" t="s">
        <v>47</v>
      </c>
      <c r="AB33" s="441" t="s">
        <v>230</v>
      </c>
      <c r="AC33" s="441" t="s">
        <v>226</v>
      </c>
      <c r="AD33" s="441" t="s">
        <v>47</v>
      </c>
      <c r="AE33" s="441" t="s">
        <v>227</v>
      </c>
      <c r="AF33" s="441" t="s">
        <v>47</v>
      </c>
      <c r="AG33" s="441" t="s">
        <v>228</v>
      </c>
    </row>
    <row r="34">
      <c r="A34" s="441" t="s">
        <v>308</v>
      </c>
      <c r="B34" s="441" t="s">
        <v>150</v>
      </c>
      <c r="C34" s="441" t="s">
        <v>226</v>
      </c>
      <c r="D34" s="441" t="s">
        <v>47</v>
      </c>
      <c r="E34" s="441" t="s">
        <v>47</v>
      </c>
      <c r="F34" s="441" t="s">
        <v>231</v>
      </c>
      <c r="G34" s="441" t="s">
        <v>231</v>
      </c>
      <c r="H34" s="441" t="s">
        <v>230</v>
      </c>
      <c r="I34" s="440" t="s">
        <v>226</v>
      </c>
      <c r="J34" s="440" t="s">
        <v>226</v>
      </c>
      <c r="K34" s="441" t="s">
        <v>47</v>
      </c>
      <c r="L34" s="441" t="s">
        <v>47</v>
      </c>
      <c r="M34" s="441" t="s">
        <v>230</v>
      </c>
      <c r="N34" s="441" t="s">
        <v>230</v>
      </c>
      <c r="O34" s="441" t="s">
        <v>226</v>
      </c>
      <c r="P34" s="441" t="s">
        <v>226</v>
      </c>
      <c r="Q34" s="441" t="s">
        <v>226</v>
      </c>
      <c r="R34" s="441" t="s">
        <v>47</v>
      </c>
      <c r="S34" s="441" t="s">
        <v>47</v>
      </c>
      <c r="T34" s="441" t="s">
        <v>230</v>
      </c>
      <c r="U34" s="441" t="s">
        <v>230</v>
      </c>
      <c r="V34" s="441" t="s">
        <v>226</v>
      </c>
      <c r="W34" s="441" t="s">
        <v>226</v>
      </c>
      <c r="X34" s="441" t="s">
        <v>226</v>
      </c>
      <c r="Y34" s="441" t="s">
        <v>47</v>
      </c>
      <c r="Z34" s="441" t="s">
        <v>230</v>
      </c>
      <c r="AA34" s="441" t="s">
        <v>47</v>
      </c>
      <c r="AB34" s="441" t="s">
        <v>230</v>
      </c>
      <c r="AC34" s="441" t="s">
        <v>230</v>
      </c>
      <c r="AD34" s="441" t="s">
        <v>229</v>
      </c>
      <c r="AE34" s="441" t="s">
        <v>231</v>
      </c>
      <c r="AF34" s="441" t="s">
        <v>47</v>
      </c>
      <c r="AG34" s="441" t="s">
        <v>47</v>
      </c>
    </row>
    <row r="35">
      <c r="A35" s="441" t="s">
        <v>309</v>
      </c>
      <c r="B35" s="441" t="s">
        <v>153</v>
      </c>
      <c r="C35" s="441" t="s">
        <v>227</v>
      </c>
      <c r="D35" s="441" t="s">
        <v>226</v>
      </c>
      <c r="E35" s="441" t="s">
        <v>226</v>
      </c>
      <c r="F35" s="441" t="s">
        <v>47</v>
      </c>
      <c r="G35" s="441" t="s">
        <v>47</v>
      </c>
      <c r="H35" s="441" t="s">
        <v>230</v>
      </c>
      <c r="I35" s="441" t="s">
        <v>229</v>
      </c>
      <c r="J35" s="441" t="s">
        <v>228</v>
      </c>
      <c r="K35" s="441" t="s">
        <v>227</v>
      </c>
      <c r="L35" s="441" t="s">
        <v>231</v>
      </c>
      <c r="M35" s="441" t="s">
        <v>47</v>
      </c>
      <c r="N35" s="441" t="s">
        <v>47</v>
      </c>
      <c r="O35" s="441" t="s">
        <v>231</v>
      </c>
      <c r="P35" s="441" t="s">
        <v>231</v>
      </c>
      <c r="Q35" s="441" t="s">
        <v>231</v>
      </c>
      <c r="R35" s="441" t="s">
        <v>231</v>
      </c>
      <c r="S35" s="441" t="s">
        <v>230</v>
      </c>
      <c r="T35" s="441" t="s">
        <v>47</v>
      </c>
      <c r="U35" s="441" t="s">
        <v>47</v>
      </c>
      <c r="V35" s="441" t="s">
        <v>230</v>
      </c>
      <c r="W35" s="441" t="s">
        <v>228</v>
      </c>
      <c r="X35" s="441" t="s">
        <v>228</v>
      </c>
      <c r="Y35" s="441" t="s">
        <v>228</v>
      </c>
      <c r="Z35" s="441" t="s">
        <v>226</v>
      </c>
      <c r="AA35" s="441" t="s">
        <v>226</v>
      </c>
      <c r="AB35" s="441" t="s">
        <v>47</v>
      </c>
      <c r="AC35" s="441" t="s">
        <v>47</v>
      </c>
      <c r="AD35" s="441" t="s">
        <v>228</v>
      </c>
      <c r="AE35" s="441" t="s">
        <v>231</v>
      </c>
      <c r="AF35" s="441" t="s">
        <v>231</v>
      </c>
      <c r="AG35" s="441" t="s">
        <v>231</v>
      </c>
    </row>
    <row r="36">
      <c r="A36" s="441" t="s">
        <v>310</v>
      </c>
      <c r="B36" s="441" t="s">
        <v>156</v>
      </c>
      <c r="C36" s="441" t="s">
        <v>226</v>
      </c>
      <c r="D36" s="441" t="s">
        <v>47</v>
      </c>
      <c r="E36" s="441" t="s">
        <v>47</v>
      </c>
      <c r="F36" s="441" t="s">
        <v>230</v>
      </c>
      <c r="G36" s="441" t="s">
        <v>229</v>
      </c>
      <c r="H36" s="441" t="s">
        <v>228</v>
      </c>
      <c r="I36" s="441" t="s">
        <v>228</v>
      </c>
      <c r="J36" s="441" t="s">
        <v>226</v>
      </c>
      <c r="K36" s="441" t="s">
        <v>47</v>
      </c>
      <c r="L36" s="441" t="s">
        <v>47</v>
      </c>
      <c r="M36" s="441" t="s">
        <v>231</v>
      </c>
      <c r="N36" s="441" t="s">
        <v>229</v>
      </c>
      <c r="O36" s="441" t="s">
        <v>228</v>
      </c>
      <c r="P36" s="441" t="s">
        <v>228</v>
      </c>
      <c r="Q36" s="441" t="s">
        <v>227</v>
      </c>
      <c r="R36" s="441" t="s">
        <v>47</v>
      </c>
      <c r="S36" s="441" t="s">
        <v>47</v>
      </c>
      <c r="T36" s="441" t="s">
        <v>230</v>
      </c>
      <c r="U36" s="441" t="s">
        <v>229</v>
      </c>
      <c r="V36" s="441" t="s">
        <v>228</v>
      </c>
      <c r="W36" s="441" t="s">
        <v>226</v>
      </c>
      <c r="X36" s="441" t="s">
        <v>226</v>
      </c>
      <c r="Y36" s="441" t="s">
        <v>226</v>
      </c>
      <c r="Z36" s="441" t="s">
        <v>47</v>
      </c>
      <c r="AA36" s="441" t="s">
        <v>47</v>
      </c>
      <c r="AB36" s="441" t="s">
        <v>229</v>
      </c>
      <c r="AC36" s="441" t="s">
        <v>228</v>
      </c>
      <c r="AD36" s="441" t="s">
        <v>228</v>
      </c>
      <c r="AE36" s="441" t="s">
        <v>231</v>
      </c>
      <c r="AF36" s="441" t="s">
        <v>47</v>
      </c>
      <c r="AG36" s="441" t="s">
        <v>47</v>
      </c>
    </row>
    <row r="37">
      <c r="A37" s="441" t="s">
        <v>311</v>
      </c>
      <c r="B37" s="441" t="s">
        <v>159</v>
      </c>
      <c r="C37" s="441" t="s">
        <v>228</v>
      </c>
      <c r="D37" s="441" t="s">
        <v>226</v>
      </c>
      <c r="E37" s="441" t="s">
        <v>226</v>
      </c>
      <c r="F37" s="441" t="s">
        <v>47</v>
      </c>
      <c r="G37" s="441" t="s">
        <v>47</v>
      </c>
      <c r="H37" s="441" t="s">
        <v>230</v>
      </c>
      <c r="I37" s="441" t="s">
        <v>227</v>
      </c>
      <c r="J37" s="441" t="s">
        <v>43</v>
      </c>
      <c r="K37" s="441" t="s">
        <v>231</v>
      </c>
      <c r="L37" s="441" t="s">
        <v>227</v>
      </c>
      <c r="M37" s="441" t="s">
        <v>47</v>
      </c>
      <c r="N37" s="441" t="s">
        <v>47</v>
      </c>
      <c r="O37" s="441" t="s">
        <v>229</v>
      </c>
      <c r="P37" s="441" t="s">
        <v>228</v>
      </c>
      <c r="Q37" s="441" t="s">
        <v>226</v>
      </c>
      <c r="R37" s="441" t="s">
        <v>226</v>
      </c>
      <c r="S37" s="441" t="s">
        <v>226</v>
      </c>
      <c r="T37" s="441" t="s">
        <v>47</v>
      </c>
      <c r="U37" s="441" t="s">
        <v>47</v>
      </c>
      <c r="V37" s="441" t="s">
        <v>230</v>
      </c>
      <c r="W37" s="441" t="s">
        <v>230</v>
      </c>
      <c r="X37" s="441" t="s">
        <v>228</v>
      </c>
      <c r="Y37" s="441" t="s">
        <v>228</v>
      </c>
      <c r="Z37" s="441" t="s">
        <v>228</v>
      </c>
      <c r="AA37" s="441" t="s">
        <v>47</v>
      </c>
      <c r="AB37" s="441" t="s">
        <v>47</v>
      </c>
      <c r="AC37" s="441" t="s">
        <v>230</v>
      </c>
      <c r="AD37" s="441" t="s">
        <v>228</v>
      </c>
      <c r="AE37" s="441" t="s">
        <v>231</v>
      </c>
      <c r="AF37" s="441" t="s">
        <v>231</v>
      </c>
      <c r="AG37" s="441" t="s">
        <v>43</v>
      </c>
    </row>
    <row r="38">
      <c r="A38" s="441" t="s">
        <v>312</v>
      </c>
      <c r="B38" s="441" t="s">
        <v>162</v>
      </c>
      <c r="C38" s="441" t="s">
        <v>230</v>
      </c>
      <c r="D38" s="441" t="s">
        <v>228</v>
      </c>
      <c r="E38" s="441" t="s">
        <v>43</v>
      </c>
      <c r="F38" s="441" t="s">
        <v>43</v>
      </c>
      <c r="G38" s="441" t="s">
        <v>43</v>
      </c>
      <c r="H38" s="441" t="s">
        <v>47</v>
      </c>
      <c r="I38" s="441" t="s">
        <v>47</v>
      </c>
      <c r="J38" s="441" t="s">
        <v>230</v>
      </c>
      <c r="K38" s="441" t="s">
        <v>228</v>
      </c>
      <c r="L38" s="441" t="s">
        <v>228</v>
      </c>
      <c r="M38" s="441" t="s">
        <v>226</v>
      </c>
      <c r="N38" s="441" t="s">
        <v>226</v>
      </c>
      <c r="O38" s="441" t="s">
        <v>47</v>
      </c>
      <c r="P38" s="441" t="s">
        <v>47</v>
      </c>
      <c r="Q38" s="441" t="s">
        <v>229</v>
      </c>
      <c r="R38" s="441" t="s">
        <v>228</v>
      </c>
      <c r="S38" s="441" t="s">
        <v>227</v>
      </c>
      <c r="T38" s="441" t="s">
        <v>227</v>
      </c>
      <c r="U38" s="441" t="s">
        <v>226</v>
      </c>
      <c r="V38" s="441" t="s">
        <v>47</v>
      </c>
      <c r="W38" s="441" t="s">
        <v>47</v>
      </c>
      <c r="X38" s="441" t="s">
        <v>228</v>
      </c>
      <c r="Y38" s="441" t="s">
        <v>228</v>
      </c>
      <c r="Z38" s="441" t="s">
        <v>228</v>
      </c>
      <c r="AA38" s="441" t="s">
        <v>227</v>
      </c>
      <c r="AB38" s="441" t="s">
        <v>227</v>
      </c>
      <c r="AC38" s="441" t="s">
        <v>47</v>
      </c>
      <c r="AD38" s="441" t="s">
        <v>47</v>
      </c>
      <c r="AE38" s="441" t="s">
        <v>230</v>
      </c>
      <c r="AF38" s="441" t="s">
        <v>230</v>
      </c>
      <c r="AG38" s="441" t="s">
        <v>230</v>
      </c>
    </row>
    <row r="39">
      <c r="A39" s="441" t="s">
        <v>313</v>
      </c>
      <c r="B39" s="441" t="s">
        <v>165</v>
      </c>
      <c r="C39" s="441" t="s">
        <v>229</v>
      </c>
      <c r="D39" s="441" t="s">
        <v>227</v>
      </c>
      <c r="E39" s="440" t="s">
        <v>227</v>
      </c>
      <c r="F39" s="440" t="s">
        <v>227</v>
      </c>
      <c r="G39" s="441" t="s">
        <v>47</v>
      </c>
      <c r="H39" s="441" t="s">
        <v>47</v>
      </c>
      <c r="I39" s="441" t="s">
        <v>230</v>
      </c>
      <c r="J39" s="441" t="s">
        <v>230</v>
      </c>
      <c r="K39" s="441" t="s">
        <v>230</v>
      </c>
      <c r="L39" s="440" t="s">
        <v>228</v>
      </c>
      <c r="M39" s="440" t="s">
        <v>226</v>
      </c>
      <c r="N39" s="441" t="s">
        <v>47</v>
      </c>
      <c r="O39" s="441" t="s">
        <v>47</v>
      </c>
      <c r="P39" s="441" t="s">
        <v>230</v>
      </c>
      <c r="Q39" s="441" t="s">
        <v>229</v>
      </c>
      <c r="R39" s="441" t="s">
        <v>228</v>
      </c>
      <c r="S39" s="440" t="s">
        <v>228</v>
      </c>
      <c r="T39" s="440" t="s">
        <v>226</v>
      </c>
      <c r="U39" s="441" t="s">
        <v>47</v>
      </c>
      <c r="V39" s="441" t="s">
        <v>47</v>
      </c>
      <c r="W39" s="441" t="s">
        <v>230</v>
      </c>
      <c r="X39" s="441" t="s">
        <v>229</v>
      </c>
      <c r="Y39" s="441" t="s">
        <v>229</v>
      </c>
      <c r="Z39" s="440" t="s">
        <v>229</v>
      </c>
      <c r="AA39" s="440" t="s">
        <v>228</v>
      </c>
      <c r="AB39" s="441" t="s">
        <v>47</v>
      </c>
      <c r="AC39" s="441" t="s">
        <v>47</v>
      </c>
      <c r="AD39" s="441" t="s">
        <v>227</v>
      </c>
      <c r="AE39" s="441" t="s">
        <v>228</v>
      </c>
      <c r="AF39" s="441" t="s">
        <v>227</v>
      </c>
      <c r="AG39" s="441" t="s">
        <v>226</v>
      </c>
    </row>
    <row r="40">
      <c r="A40" s="441" t="s">
        <v>314</v>
      </c>
      <c r="B40" s="441" t="s">
        <v>168</v>
      </c>
      <c r="C40" s="441" t="s">
        <v>228</v>
      </c>
      <c r="D40" s="441" t="s">
        <v>226</v>
      </c>
      <c r="E40" s="441" t="s">
        <v>226</v>
      </c>
      <c r="F40" s="441" t="s">
        <v>226</v>
      </c>
      <c r="G40" s="441" t="s">
        <v>47</v>
      </c>
      <c r="H40" s="441" t="s">
        <v>47</v>
      </c>
      <c r="I40" s="441" t="s">
        <v>231</v>
      </c>
      <c r="J40" s="441" t="s">
        <v>229</v>
      </c>
      <c r="K40" s="441" t="s">
        <v>228</v>
      </c>
      <c r="L40" s="441" t="s">
        <v>227</v>
      </c>
      <c r="M40" s="441" t="s">
        <v>231</v>
      </c>
      <c r="N40" s="441" t="s">
        <v>47</v>
      </c>
      <c r="O40" s="441" t="s">
        <v>47</v>
      </c>
      <c r="P40" s="441" t="s">
        <v>229</v>
      </c>
      <c r="Q40" s="441" t="s">
        <v>226</v>
      </c>
      <c r="R40" s="441" t="s">
        <v>226</v>
      </c>
      <c r="S40" s="441" t="s">
        <v>231</v>
      </c>
      <c r="T40" s="441" t="s">
        <v>231</v>
      </c>
      <c r="U40" s="441" t="s">
        <v>47</v>
      </c>
      <c r="V40" s="441" t="s">
        <v>47</v>
      </c>
      <c r="W40" s="441" t="s">
        <v>231</v>
      </c>
      <c r="X40" s="441"/>
      <c r="Y40" s="440"/>
      <c r="Z40" s="441"/>
      <c r="AA40" s="441"/>
      <c r="AB40" s="441"/>
      <c r="AC40" s="441"/>
      <c r="AD40" s="441"/>
      <c r="AE40" s="441"/>
      <c r="AF40" s="441"/>
      <c r="AG40" s="441"/>
    </row>
    <row r="41">
      <c r="A41" s="441" t="s">
        <v>315</v>
      </c>
      <c r="B41" s="441" t="s">
        <v>171</v>
      </c>
      <c r="C41" s="441" t="s">
        <v>231</v>
      </c>
      <c r="D41" s="441" t="s">
        <v>231</v>
      </c>
      <c r="E41" s="441" t="s">
        <v>228</v>
      </c>
      <c r="F41" s="441" t="s">
        <v>47</v>
      </c>
      <c r="G41" s="441" t="s">
        <v>47</v>
      </c>
      <c r="H41" s="441" t="s">
        <v>230</v>
      </c>
      <c r="I41" s="441" t="s">
        <v>230</v>
      </c>
      <c r="J41" s="441" t="s">
        <v>228</v>
      </c>
      <c r="K41" s="441" t="s">
        <v>226</v>
      </c>
      <c r="L41" s="441" t="s">
        <v>226</v>
      </c>
      <c r="M41" s="441" t="s">
        <v>47</v>
      </c>
      <c r="N41" s="441" t="s">
        <v>47</v>
      </c>
      <c r="O41" s="441" t="s">
        <v>230</v>
      </c>
      <c r="P41" s="441" t="s">
        <v>228</v>
      </c>
      <c r="Q41" s="441" t="s">
        <v>227</v>
      </c>
      <c r="R41" s="441" t="s">
        <v>226</v>
      </c>
      <c r="S41" s="441" t="s">
        <v>226</v>
      </c>
      <c r="T41" s="441" t="s">
        <v>47</v>
      </c>
      <c r="U41" s="441" t="s">
        <v>47</v>
      </c>
      <c r="V41" s="441" t="s">
        <v>230</v>
      </c>
      <c r="W41" s="441" t="s">
        <v>228</v>
      </c>
      <c r="X41" s="441" t="s">
        <v>231</v>
      </c>
      <c r="Y41" s="441" t="s">
        <v>231</v>
      </c>
      <c r="Z41" s="441" t="s">
        <v>231</v>
      </c>
      <c r="AA41" s="441" t="s">
        <v>47</v>
      </c>
      <c r="AB41" s="441" t="s">
        <v>47</v>
      </c>
      <c r="AC41" s="441" t="s">
        <v>229</v>
      </c>
      <c r="AD41" s="441" t="s">
        <v>227</v>
      </c>
      <c r="AE41" s="441" t="s">
        <v>226</v>
      </c>
      <c r="AF41" s="441" t="s">
        <v>226</v>
      </c>
      <c r="AG41" s="441" t="s">
        <v>226</v>
      </c>
    </row>
    <row r="42">
      <c r="A42" s="440" t="s">
        <v>316</v>
      </c>
      <c r="B42" s="441" t="s">
        <v>174</v>
      </c>
      <c r="C42" s="441" t="s">
        <v>231</v>
      </c>
      <c r="D42" s="441" t="s">
        <v>230</v>
      </c>
      <c r="E42" s="441" t="s">
        <v>228</v>
      </c>
      <c r="F42" s="441" t="s">
        <v>228</v>
      </c>
      <c r="G42" s="441" t="s">
        <v>47</v>
      </c>
      <c r="H42" s="441" t="s">
        <v>47</v>
      </c>
      <c r="I42" s="441" t="s">
        <v>230</v>
      </c>
      <c r="J42" s="441" t="s">
        <v>231</v>
      </c>
      <c r="K42" s="441" t="s">
        <v>229</v>
      </c>
      <c r="L42" s="440" t="s">
        <v>226</v>
      </c>
      <c r="M42" s="441" t="s">
        <v>226</v>
      </c>
      <c r="N42" s="441" t="s">
        <v>47</v>
      </c>
      <c r="O42" s="441" t="s">
        <v>47</v>
      </c>
      <c r="P42" s="441" t="s">
        <v>230</v>
      </c>
      <c r="Q42" s="441" t="s">
        <v>228</v>
      </c>
      <c r="R42" s="441" t="s">
        <v>228</v>
      </c>
      <c r="S42" s="440" t="s">
        <v>226</v>
      </c>
      <c r="T42" s="440" t="s">
        <v>226</v>
      </c>
      <c r="U42" s="441" t="s">
        <v>47</v>
      </c>
      <c r="V42" s="441" t="s">
        <v>47</v>
      </c>
      <c r="W42" s="441" t="s">
        <v>229</v>
      </c>
      <c r="X42" s="441" t="s">
        <v>229</v>
      </c>
      <c r="Y42" s="440" t="s">
        <v>229</v>
      </c>
      <c r="Z42" s="441" t="s">
        <v>229</v>
      </c>
      <c r="AA42" s="441" t="s">
        <v>228</v>
      </c>
      <c r="AB42" s="441" t="s">
        <v>47</v>
      </c>
      <c r="AC42" s="441" t="s">
        <v>47</v>
      </c>
      <c r="AD42" s="441" t="s">
        <v>230</v>
      </c>
      <c r="AE42" s="441" t="s">
        <v>226</v>
      </c>
      <c r="AF42" s="441" t="s">
        <v>227</v>
      </c>
      <c r="AG42" s="441" t="s">
        <v>227</v>
      </c>
    </row>
    <row r="43">
      <c r="A43" s="440" t="s">
        <v>317</v>
      </c>
      <c r="B43" s="441" t="s">
        <v>275</v>
      </c>
      <c r="C43" s="441" t="s">
        <v>228</v>
      </c>
      <c r="D43" s="441" t="s">
        <v>227</v>
      </c>
      <c r="E43" s="440" t="s">
        <v>226</v>
      </c>
      <c r="F43" s="441" t="s">
        <v>47</v>
      </c>
      <c r="G43" s="441" t="s">
        <v>47</v>
      </c>
      <c r="H43" s="441" t="s">
        <v>230</v>
      </c>
      <c r="I43" s="441" t="s">
        <v>229</v>
      </c>
      <c r="J43" s="441" t="s">
        <v>228</v>
      </c>
      <c r="K43" s="441" t="s">
        <v>226</v>
      </c>
      <c r="L43" s="440" t="s">
        <v>226</v>
      </c>
      <c r="M43" s="441" t="s">
        <v>47</v>
      </c>
      <c r="N43" s="441" t="s">
        <v>47</v>
      </c>
      <c r="O43" s="441" t="s">
        <v>230</v>
      </c>
      <c r="P43" s="441" t="s">
        <v>229</v>
      </c>
      <c r="Q43" s="441" t="s">
        <v>228</v>
      </c>
      <c r="R43" s="441" t="s">
        <v>227</v>
      </c>
      <c r="S43" s="440" t="s">
        <v>226</v>
      </c>
      <c r="T43" s="441" t="s">
        <v>47</v>
      </c>
      <c r="U43" s="441" t="s">
        <v>47</v>
      </c>
      <c r="V43" s="441" t="s">
        <v>229</v>
      </c>
      <c r="W43" s="441" t="s">
        <v>229</v>
      </c>
      <c r="X43" s="440" t="s">
        <v>228</v>
      </c>
      <c r="Y43" s="440" t="s">
        <v>226</v>
      </c>
      <c r="Z43" s="441" t="s">
        <v>226</v>
      </c>
      <c r="AA43" s="441" t="s">
        <v>47</v>
      </c>
      <c r="AB43" s="441" t="s">
        <v>47</v>
      </c>
      <c r="AC43" s="441" t="s">
        <v>230</v>
      </c>
      <c r="AD43" s="441" t="s">
        <v>228</v>
      </c>
      <c r="AE43" s="441" t="s">
        <v>231</v>
      </c>
      <c r="AF43" s="441" t="s">
        <v>231</v>
      </c>
      <c r="AG43" s="441" t="s">
        <v>231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442" t="str">
        <f t="array" ref="A1:AE11">'ORIGIN MONTH 7'!B48:AF58</f>
        <v>Shift</v>
      </c>
      <c r="B1" s="443" t="s">
        <v>8</v>
      </c>
      <c r="C1" s="444" t="s">
        <v>9</v>
      </c>
      <c r="D1" s="445" t="s">
        <v>10</v>
      </c>
      <c r="E1" s="443" t="s">
        <v>11</v>
      </c>
      <c r="F1" s="444" t="s">
        <v>12</v>
      </c>
      <c r="G1" s="444" t="s">
        <v>13</v>
      </c>
      <c r="H1" s="444" t="s">
        <v>7</v>
      </c>
      <c r="I1" s="444" t="s">
        <v>8</v>
      </c>
      <c r="J1" s="444" t="s">
        <v>9</v>
      </c>
      <c r="K1" s="445" t="s">
        <v>10</v>
      </c>
      <c r="L1" s="443" t="s">
        <v>11</v>
      </c>
      <c r="M1" s="444" t="s">
        <v>12</v>
      </c>
      <c r="N1" s="444" t="s">
        <v>13</v>
      </c>
      <c r="O1" s="444" t="s">
        <v>7</v>
      </c>
      <c r="P1" s="444" t="s">
        <v>8</v>
      </c>
      <c r="Q1" s="444" t="s">
        <v>9</v>
      </c>
      <c r="R1" s="445" t="s">
        <v>10</v>
      </c>
      <c r="S1" s="443" t="s">
        <v>11</v>
      </c>
      <c r="T1" s="444" t="s">
        <v>12</v>
      </c>
      <c r="U1" s="444" t="s">
        <v>13</v>
      </c>
      <c r="V1" s="444" t="s">
        <v>7</v>
      </c>
      <c r="W1" s="444" t="s">
        <v>8</v>
      </c>
      <c r="X1" s="444" t="s">
        <v>9</v>
      </c>
      <c r="Y1" s="445" t="s">
        <v>10</v>
      </c>
      <c r="Z1" s="443" t="s">
        <v>11</v>
      </c>
      <c r="AA1" s="444" t="s">
        <v>12</v>
      </c>
      <c r="AB1" s="444" t="s">
        <v>13</v>
      </c>
      <c r="AC1" s="444" t="s">
        <v>7</v>
      </c>
      <c r="AD1" s="444" t="s">
        <v>8</v>
      </c>
      <c r="AE1" s="445" t="s">
        <v>9</v>
      </c>
    </row>
    <row r="2">
      <c r="A2" s="446" t="s">
        <v>277</v>
      </c>
      <c r="B2" s="447" t="s">
        <v>14</v>
      </c>
      <c r="C2" s="437" t="s">
        <v>15</v>
      </c>
      <c r="D2" s="448" t="s">
        <v>16</v>
      </c>
      <c r="E2" s="447" t="s">
        <v>224</v>
      </c>
      <c r="F2" s="437" t="s">
        <v>225</v>
      </c>
      <c r="G2" s="437" t="s">
        <v>17</v>
      </c>
      <c r="H2" s="437" t="s">
        <v>18</v>
      </c>
      <c r="I2" s="437" t="s">
        <v>19</v>
      </c>
      <c r="J2" s="437" t="s">
        <v>20</v>
      </c>
      <c r="K2" s="448" t="s">
        <v>21</v>
      </c>
      <c r="L2" s="447" t="s">
        <v>22</v>
      </c>
      <c r="M2" s="437" t="s">
        <v>23</v>
      </c>
      <c r="N2" s="437" t="s">
        <v>24</v>
      </c>
      <c r="O2" s="437" t="s">
        <v>25</v>
      </c>
      <c r="P2" s="437" t="s">
        <v>26</v>
      </c>
      <c r="Q2" s="437" t="s">
        <v>27</v>
      </c>
      <c r="R2" s="448" t="s">
        <v>28</v>
      </c>
      <c r="S2" s="447" t="s">
        <v>29</v>
      </c>
      <c r="T2" s="437" t="s">
        <v>30</v>
      </c>
      <c r="U2" s="437" t="s">
        <v>31</v>
      </c>
      <c r="V2" s="437" t="s">
        <v>32</v>
      </c>
      <c r="W2" s="437" t="s">
        <v>33</v>
      </c>
      <c r="X2" s="437" t="s">
        <v>34</v>
      </c>
      <c r="Y2" s="448" t="s">
        <v>35</v>
      </c>
      <c r="Z2" s="447" t="s">
        <v>36</v>
      </c>
      <c r="AA2" s="437" t="s">
        <v>37</v>
      </c>
      <c r="AB2" s="437" t="s">
        <v>38</v>
      </c>
      <c r="AC2" s="437" t="s">
        <v>39</v>
      </c>
      <c r="AD2" s="437" t="s">
        <v>40</v>
      </c>
      <c r="AE2" s="448" t="s">
        <v>41</v>
      </c>
    </row>
    <row r="3">
      <c r="A3" s="446" t="s">
        <v>230</v>
      </c>
      <c r="B3" s="449">
        <v>6.0</v>
      </c>
      <c r="C3" s="436">
        <v>6.0</v>
      </c>
      <c r="D3" s="450">
        <v>5.0</v>
      </c>
      <c r="E3" s="44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450">
        <v>5.0</v>
      </c>
      <c r="L3" s="44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450">
        <v>5.0</v>
      </c>
      <c r="S3" s="44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450">
        <v>5.0</v>
      </c>
      <c r="Z3" s="449">
        <v>5.0</v>
      </c>
      <c r="AA3" s="436">
        <v>5.0</v>
      </c>
      <c r="AB3" s="436">
        <v>5.0</v>
      </c>
      <c r="AC3" s="436">
        <v>5.0</v>
      </c>
      <c r="AD3" s="436">
        <v>6.0</v>
      </c>
      <c r="AE3" s="450">
        <v>5.0</v>
      </c>
    </row>
    <row r="4">
      <c r="A4" s="446" t="s">
        <v>229</v>
      </c>
      <c r="B4" s="449">
        <v>3.0</v>
      </c>
      <c r="C4" s="436">
        <v>3.0</v>
      </c>
      <c r="D4" s="450">
        <v>3.0</v>
      </c>
      <c r="E4" s="44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450">
        <v>3.0</v>
      </c>
      <c r="L4" s="44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450">
        <v>3.0</v>
      </c>
      <c r="S4" s="44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450">
        <v>3.0</v>
      </c>
      <c r="Z4" s="449">
        <v>3.0</v>
      </c>
      <c r="AA4" s="436">
        <v>3.0</v>
      </c>
      <c r="AB4" s="436">
        <v>3.0</v>
      </c>
      <c r="AC4" s="436">
        <v>3.0</v>
      </c>
      <c r="AD4" s="436">
        <v>3.0</v>
      </c>
      <c r="AE4" s="450">
        <v>3.0</v>
      </c>
    </row>
    <row r="5">
      <c r="A5" s="446" t="s">
        <v>228</v>
      </c>
      <c r="B5" s="449">
        <v>7.0</v>
      </c>
      <c r="C5" s="436">
        <v>7.0</v>
      </c>
      <c r="D5" s="450">
        <v>7.0</v>
      </c>
      <c r="E5" s="44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450">
        <v>7.0</v>
      </c>
      <c r="L5" s="44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450">
        <v>7.0</v>
      </c>
      <c r="S5" s="44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450">
        <v>6.0</v>
      </c>
      <c r="Z5" s="449">
        <v>6.0</v>
      </c>
      <c r="AA5" s="436">
        <v>6.0</v>
      </c>
      <c r="AB5" s="436">
        <v>6.0</v>
      </c>
      <c r="AC5" s="436">
        <v>7.0</v>
      </c>
      <c r="AD5" s="436">
        <v>7.0</v>
      </c>
      <c r="AE5" s="450">
        <v>7.0</v>
      </c>
    </row>
    <row r="6">
      <c r="A6" s="446" t="s">
        <v>227</v>
      </c>
      <c r="B6" s="449">
        <v>3.0</v>
      </c>
      <c r="C6" s="436">
        <v>3.0</v>
      </c>
      <c r="D6" s="450">
        <v>3.0</v>
      </c>
      <c r="E6" s="44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450">
        <v>2.0</v>
      </c>
      <c r="L6" s="44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450">
        <v>3.0</v>
      </c>
      <c r="S6" s="44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450">
        <v>3.0</v>
      </c>
      <c r="Z6" s="449">
        <v>3.0</v>
      </c>
      <c r="AA6" s="436">
        <v>3.0</v>
      </c>
      <c r="AB6" s="436">
        <v>3.0</v>
      </c>
      <c r="AC6" s="436">
        <v>3.0</v>
      </c>
      <c r="AD6" s="436">
        <v>4.0</v>
      </c>
      <c r="AE6" s="450">
        <v>3.0</v>
      </c>
    </row>
    <row r="7">
      <c r="A7" s="446" t="s">
        <v>226</v>
      </c>
      <c r="B7" s="449">
        <v>6.0</v>
      </c>
      <c r="C7" s="436">
        <v>6.0</v>
      </c>
      <c r="D7" s="450">
        <v>6.0</v>
      </c>
      <c r="E7" s="44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450">
        <v>6.0</v>
      </c>
      <c r="L7" s="44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450">
        <v>6.0</v>
      </c>
      <c r="S7" s="44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450">
        <v>6.0</v>
      </c>
      <c r="Z7" s="449">
        <v>6.0</v>
      </c>
      <c r="AA7" s="436">
        <v>6.0</v>
      </c>
      <c r="AB7" s="436">
        <v>6.0</v>
      </c>
      <c r="AC7" s="436">
        <v>6.0</v>
      </c>
      <c r="AD7" s="436">
        <v>6.0</v>
      </c>
      <c r="AE7" s="450">
        <v>6.0</v>
      </c>
    </row>
    <row r="8">
      <c r="A8" s="446" t="s">
        <v>47</v>
      </c>
      <c r="B8" s="449">
        <v>12.0</v>
      </c>
      <c r="C8" s="436">
        <v>13.0</v>
      </c>
      <c r="D8" s="450">
        <v>12.0</v>
      </c>
      <c r="E8" s="44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450">
        <v>12.0</v>
      </c>
      <c r="L8" s="44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450">
        <v>12.0</v>
      </c>
      <c r="S8" s="44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450">
        <v>12.0</v>
      </c>
      <c r="Z8" s="44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450">
        <v>13.0</v>
      </c>
    </row>
    <row r="9">
      <c r="A9" s="446" t="s">
        <v>231</v>
      </c>
      <c r="B9" s="449">
        <v>0.0</v>
      </c>
      <c r="C9" s="436">
        <v>1.0</v>
      </c>
      <c r="D9" s="450">
        <v>1.0</v>
      </c>
      <c r="E9" s="44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450">
        <v>4.0</v>
      </c>
      <c r="L9" s="44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450">
        <v>2.0</v>
      </c>
      <c r="S9" s="44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450">
        <v>2.0</v>
      </c>
      <c r="Z9" s="449">
        <v>3.0</v>
      </c>
      <c r="AA9" s="436">
        <v>3.0</v>
      </c>
      <c r="AB9" s="436">
        <v>4.0</v>
      </c>
      <c r="AC9" s="436">
        <v>5.0</v>
      </c>
      <c r="AD9" s="436">
        <v>3.0</v>
      </c>
      <c r="AE9" s="450">
        <v>3.0</v>
      </c>
    </row>
    <row r="10">
      <c r="A10" s="446" t="s">
        <v>43</v>
      </c>
      <c r="B10" s="449">
        <v>5.0</v>
      </c>
      <c r="C10" s="436">
        <v>3.0</v>
      </c>
      <c r="D10" s="450">
        <v>5.0</v>
      </c>
      <c r="E10" s="44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450">
        <v>2.0</v>
      </c>
      <c r="L10" s="44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450">
        <v>3.0</v>
      </c>
      <c r="S10" s="44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450">
        <v>3.0</v>
      </c>
      <c r="Z10" s="44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450">
        <v>1.0</v>
      </c>
    </row>
    <row r="11">
      <c r="A11" s="451" t="s">
        <v>177</v>
      </c>
      <c r="B11" s="452">
        <v>25.0</v>
      </c>
      <c r="C11" s="453">
        <v>25.0</v>
      </c>
      <c r="D11" s="454">
        <v>24.0</v>
      </c>
      <c r="E11" s="455">
        <v>23.0</v>
      </c>
      <c r="F11" s="456">
        <v>23.0</v>
      </c>
      <c r="G11" s="456">
        <v>24.0</v>
      </c>
      <c r="H11" s="456">
        <v>23.0</v>
      </c>
      <c r="I11" s="453">
        <v>25.0</v>
      </c>
      <c r="J11" s="453">
        <v>23.0</v>
      </c>
      <c r="K11" s="454">
        <v>23.0</v>
      </c>
      <c r="L11" s="455">
        <v>24.0</v>
      </c>
      <c r="M11" s="456">
        <v>25.0</v>
      </c>
      <c r="N11" s="456">
        <v>24.0</v>
      </c>
      <c r="O11" s="456">
        <v>24.0</v>
      </c>
      <c r="P11" s="453">
        <v>25.0</v>
      </c>
      <c r="Q11" s="453">
        <v>25.0</v>
      </c>
      <c r="R11" s="454">
        <v>24.0</v>
      </c>
      <c r="S11" s="455">
        <v>24.0</v>
      </c>
      <c r="T11" s="456">
        <v>24.0</v>
      </c>
      <c r="U11" s="456">
        <v>24.0</v>
      </c>
      <c r="V11" s="456">
        <v>24.0</v>
      </c>
      <c r="W11" s="453">
        <v>24.0</v>
      </c>
      <c r="X11" s="453">
        <v>24.0</v>
      </c>
      <c r="Y11" s="454">
        <v>23.0</v>
      </c>
      <c r="Z11" s="455">
        <v>23.0</v>
      </c>
      <c r="AA11" s="456">
        <v>23.0</v>
      </c>
      <c r="AB11" s="456">
        <v>23.0</v>
      </c>
      <c r="AC11" s="456">
        <v>24.0</v>
      </c>
      <c r="AD11" s="453">
        <v>26.0</v>
      </c>
      <c r="AE11" s="45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441" t="str">
        <f t="array" ref="A1:AF11">'ORIGIN MONTH 8'!B47:AG57</f>
        <v>Shift</v>
      </c>
      <c r="B1" s="458" t="s">
        <v>10</v>
      </c>
      <c r="C1" s="458" t="s">
        <v>11</v>
      </c>
      <c r="D1" s="458" t="s">
        <v>12</v>
      </c>
      <c r="E1" s="458" t="s">
        <v>13</v>
      </c>
      <c r="F1" s="458" t="s">
        <v>7</v>
      </c>
      <c r="G1" s="458" t="s">
        <v>8</v>
      </c>
      <c r="H1" s="458" t="s">
        <v>9</v>
      </c>
      <c r="I1" s="458" t="s">
        <v>10</v>
      </c>
      <c r="J1" s="458" t="s">
        <v>11</v>
      </c>
      <c r="K1" s="458" t="s">
        <v>12</v>
      </c>
      <c r="L1" s="458" t="s">
        <v>13</v>
      </c>
      <c r="M1" s="458" t="s">
        <v>7</v>
      </c>
      <c r="N1" s="458" t="s">
        <v>8</v>
      </c>
      <c r="O1" s="458" t="s">
        <v>9</v>
      </c>
      <c r="P1" s="458" t="s">
        <v>10</v>
      </c>
      <c r="Q1" s="458" t="s">
        <v>11</v>
      </c>
      <c r="R1" s="458" t="s">
        <v>12</v>
      </c>
      <c r="S1" s="458" t="s">
        <v>13</v>
      </c>
      <c r="T1" s="458" t="s">
        <v>7</v>
      </c>
      <c r="U1" s="458" t="s">
        <v>8</v>
      </c>
      <c r="V1" s="458" t="s">
        <v>9</v>
      </c>
      <c r="W1" s="458" t="s">
        <v>10</v>
      </c>
      <c r="X1" s="458" t="s">
        <v>11</v>
      </c>
      <c r="Y1" s="458" t="s">
        <v>12</v>
      </c>
      <c r="Z1" s="458" t="s">
        <v>13</v>
      </c>
      <c r="AA1" s="458" t="s">
        <v>7</v>
      </c>
      <c r="AB1" s="458" t="s">
        <v>8</v>
      </c>
      <c r="AC1" s="458" t="s">
        <v>9</v>
      </c>
      <c r="AD1" s="458" t="s">
        <v>10</v>
      </c>
      <c r="AE1" s="458" t="s">
        <v>11</v>
      </c>
      <c r="AF1" s="458" t="s">
        <v>12</v>
      </c>
    </row>
    <row r="2">
      <c r="A2" s="441" t="s">
        <v>277</v>
      </c>
      <c r="B2" s="458" t="s">
        <v>14</v>
      </c>
      <c r="C2" s="458" t="s">
        <v>15</v>
      </c>
      <c r="D2" s="458" t="s">
        <v>16</v>
      </c>
      <c r="E2" s="458" t="s">
        <v>224</v>
      </c>
      <c r="F2" s="458" t="s">
        <v>225</v>
      </c>
      <c r="G2" s="458" t="s">
        <v>279</v>
      </c>
      <c r="H2" s="458" t="s">
        <v>17</v>
      </c>
      <c r="I2" s="458" t="s">
        <v>18</v>
      </c>
      <c r="J2" s="458" t="s">
        <v>19</v>
      </c>
      <c r="K2" s="458" t="s">
        <v>20</v>
      </c>
      <c r="L2" s="458" t="s">
        <v>21</v>
      </c>
      <c r="M2" s="458" t="s">
        <v>22</v>
      </c>
      <c r="N2" s="458" t="s">
        <v>23</v>
      </c>
      <c r="O2" s="458" t="s">
        <v>24</v>
      </c>
      <c r="P2" s="458" t="s">
        <v>25</v>
      </c>
      <c r="Q2" s="458" t="s">
        <v>26</v>
      </c>
      <c r="R2" s="458" t="s">
        <v>27</v>
      </c>
      <c r="S2" s="458" t="s">
        <v>28</v>
      </c>
      <c r="T2" s="458" t="s">
        <v>29</v>
      </c>
      <c r="U2" s="458" t="s">
        <v>30</v>
      </c>
      <c r="V2" s="458" t="s">
        <v>31</v>
      </c>
      <c r="W2" s="458" t="s">
        <v>32</v>
      </c>
      <c r="X2" s="458" t="s">
        <v>33</v>
      </c>
      <c r="Y2" s="458" t="s">
        <v>34</v>
      </c>
      <c r="Z2" s="458" t="s">
        <v>35</v>
      </c>
      <c r="AA2" s="458" t="s">
        <v>36</v>
      </c>
      <c r="AB2" s="458" t="s">
        <v>37</v>
      </c>
      <c r="AC2" s="458" t="s">
        <v>38</v>
      </c>
      <c r="AD2" s="458" t="s">
        <v>39</v>
      </c>
      <c r="AE2" s="458" t="s">
        <v>40</v>
      </c>
      <c r="AF2" s="458" t="s">
        <v>41</v>
      </c>
    </row>
    <row r="3">
      <c r="A3" s="441" t="s">
        <v>230</v>
      </c>
      <c r="B3" s="459">
        <v>5.0</v>
      </c>
      <c r="C3" s="459">
        <v>6.0</v>
      </c>
      <c r="D3" s="459">
        <v>5.0</v>
      </c>
      <c r="E3" s="459">
        <v>5.0</v>
      </c>
      <c r="F3" s="459">
        <v>5.0</v>
      </c>
      <c r="G3" s="459">
        <v>6.0</v>
      </c>
      <c r="H3" s="459">
        <v>6.0</v>
      </c>
      <c r="I3" s="459">
        <v>5.0</v>
      </c>
      <c r="J3" s="459">
        <v>5.0</v>
      </c>
      <c r="K3" s="459">
        <v>5.0</v>
      </c>
      <c r="L3" s="459">
        <v>6.0</v>
      </c>
      <c r="M3" s="459">
        <v>6.0</v>
      </c>
      <c r="N3" s="459">
        <v>5.0</v>
      </c>
      <c r="O3" s="459">
        <v>5.0</v>
      </c>
      <c r="P3" s="459">
        <v>5.0</v>
      </c>
      <c r="Q3" s="459">
        <v>5.0</v>
      </c>
      <c r="R3" s="459">
        <v>5.0</v>
      </c>
      <c r="S3" s="459">
        <v>5.0</v>
      </c>
      <c r="T3" s="459">
        <v>5.0</v>
      </c>
      <c r="U3" s="459">
        <v>5.0</v>
      </c>
      <c r="V3" s="459">
        <v>5.0</v>
      </c>
      <c r="W3" s="459">
        <v>5.0</v>
      </c>
      <c r="X3" s="459">
        <v>5.0</v>
      </c>
      <c r="Y3" s="459">
        <v>5.0</v>
      </c>
      <c r="Z3" s="459">
        <v>5.0</v>
      </c>
      <c r="AA3" s="459">
        <v>5.0</v>
      </c>
      <c r="AB3" s="459">
        <v>5.0</v>
      </c>
      <c r="AC3" s="459">
        <v>5.0</v>
      </c>
      <c r="AD3" s="459">
        <v>5.0</v>
      </c>
      <c r="AE3" s="459">
        <v>5.0</v>
      </c>
      <c r="AF3" s="459">
        <v>5.0</v>
      </c>
    </row>
    <row r="4">
      <c r="A4" s="441" t="s">
        <v>229</v>
      </c>
      <c r="B4" s="459">
        <v>3.0</v>
      </c>
      <c r="C4" s="459">
        <v>3.0</v>
      </c>
      <c r="D4" s="459">
        <v>3.0</v>
      </c>
      <c r="E4" s="459">
        <v>3.0</v>
      </c>
      <c r="F4" s="459">
        <v>3.0</v>
      </c>
      <c r="G4" s="459">
        <v>3.0</v>
      </c>
      <c r="H4" s="459">
        <v>3.0</v>
      </c>
      <c r="I4" s="459">
        <v>3.0</v>
      </c>
      <c r="J4" s="459">
        <v>3.0</v>
      </c>
      <c r="K4" s="459">
        <v>3.0</v>
      </c>
      <c r="L4" s="459">
        <v>3.0</v>
      </c>
      <c r="M4" s="459">
        <v>3.0</v>
      </c>
      <c r="N4" s="459">
        <v>3.0</v>
      </c>
      <c r="O4" s="459">
        <v>3.0</v>
      </c>
      <c r="P4" s="459">
        <v>3.0</v>
      </c>
      <c r="Q4" s="459">
        <v>3.0</v>
      </c>
      <c r="R4" s="459">
        <v>3.0</v>
      </c>
      <c r="S4" s="459">
        <v>3.0</v>
      </c>
      <c r="T4" s="459">
        <v>3.0</v>
      </c>
      <c r="U4" s="459">
        <v>3.0</v>
      </c>
      <c r="V4" s="459">
        <v>3.0</v>
      </c>
      <c r="W4" s="459">
        <v>2.0</v>
      </c>
      <c r="X4" s="459">
        <v>2.0</v>
      </c>
      <c r="Y4" s="459">
        <v>2.0</v>
      </c>
      <c r="Z4" s="459">
        <v>2.0</v>
      </c>
      <c r="AA4" s="459">
        <v>2.0</v>
      </c>
      <c r="AB4" s="459">
        <v>2.0</v>
      </c>
      <c r="AC4" s="459">
        <v>2.0</v>
      </c>
      <c r="AD4" s="459">
        <v>2.0</v>
      </c>
      <c r="AE4" s="459">
        <v>2.0</v>
      </c>
      <c r="AF4" s="459">
        <v>2.0</v>
      </c>
    </row>
    <row r="5">
      <c r="A5" s="441" t="s">
        <v>228</v>
      </c>
      <c r="B5" s="459">
        <v>6.0</v>
      </c>
      <c r="C5" s="459">
        <v>8.0</v>
      </c>
      <c r="D5" s="459">
        <v>6.0</v>
      </c>
      <c r="E5" s="459">
        <v>6.0</v>
      </c>
      <c r="F5" s="459">
        <v>6.0</v>
      </c>
      <c r="G5" s="459">
        <v>7.0</v>
      </c>
      <c r="H5" s="459">
        <v>7.0</v>
      </c>
      <c r="I5" s="459">
        <v>6.0</v>
      </c>
      <c r="J5" s="459">
        <v>6.0</v>
      </c>
      <c r="K5" s="459">
        <v>7.0</v>
      </c>
      <c r="L5" s="459">
        <v>7.0</v>
      </c>
      <c r="M5" s="459">
        <v>7.0</v>
      </c>
      <c r="N5" s="459">
        <v>7.0</v>
      </c>
      <c r="O5" s="459">
        <v>7.0</v>
      </c>
      <c r="P5" s="459">
        <v>6.0</v>
      </c>
      <c r="Q5" s="459">
        <v>7.0</v>
      </c>
      <c r="R5" s="459">
        <v>7.0</v>
      </c>
      <c r="S5" s="459">
        <v>6.0</v>
      </c>
      <c r="T5" s="459">
        <v>7.0</v>
      </c>
      <c r="U5" s="459">
        <v>7.0</v>
      </c>
      <c r="V5" s="459">
        <v>6.0</v>
      </c>
      <c r="W5" s="459">
        <v>6.0</v>
      </c>
      <c r="X5" s="459">
        <v>6.0</v>
      </c>
      <c r="Y5" s="459">
        <v>6.0</v>
      </c>
      <c r="Z5" s="459">
        <v>6.0</v>
      </c>
      <c r="AA5" s="459">
        <v>6.0</v>
      </c>
      <c r="AB5" s="459">
        <v>6.0</v>
      </c>
      <c r="AC5" s="459">
        <v>6.0</v>
      </c>
      <c r="AD5" s="459">
        <v>6.0</v>
      </c>
      <c r="AE5" s="459">
        <v>6.0</v>
      </c>
      <c r="AF5" s="459">
        <v>6.0</v>
      </c>
    </row>
    <row r="6">
      <c r="A6" s="441" t="s">
        <v>227</v>
      </c>
      <c r="B6" s="459">
        <v>3.0</v>
      </c>
      <c r="C6" s="459">
        <v>3.0</v>
      </c>
      <c r="D6" s="459">
        <v>3.0</v>
      </c>
      <c r="E6" s="459">
        <v>3.0</v>
      </c>
      <c r="F6" s="459">
        <v>3.0</v>
      </c>
      <c r="G6" s="459">
        <v>3.0</v>
      </c>
      <c r="H6" s="459">
        <v>3.0</v>
      </c>
      <c r="I6" s="459">
        <v>3.0</v>
      </c>
      <c r="J6" s="459">
        <v>3.0</v>
      </c>
      <c r="K6" s="459">
        <v>3.0</v>
      </c>
      <c r="L6" s="459">
        <v>3.0</v>
      </c>
      <c r="M6" s="459">
        <v>3.0</v>
      </c>
      <c r="N6" s="459">
        <v>3.0</v>
      </c>
      <c r="O6" s="459">
        <v>3.0</v>
      </c>
      <c r="P6" s="459">
        <v>3.0</v>
      </c>
      <c r="Q6" s="459">
        <v>3.0</v>
      </c>
      <c r="R6" s="459">
        <v>3.0</v>
      </c>
      <c r="S6" s="459">
        <v>3.0</v>
      </c>
      <c r="T6" s="459">
        <v>3.0</v>
      </c>
      <c r="U6" s="459">
        <v>3.0</v>
      </c>
      <c r="V6" s="459">
        <v>3.0</v>
      </c>
      <c r="W6" s="459">
        <v>3.0</v>
      </c>
      <c r="X6" s="459">
        <v>3.0</v>
      </c>
      <c r="Y6" s="459">
        <v>3.0</v>
      </c>
      <c r="Z6" s="459">
        <v>3.0</v>
      </c>
      <c r="AA6" s="459">
        <v>3.0</v>
      </c>
      <c r="AB6" s="459">
        <v>3.0</v>
      </c>
      <c r="AC6" s="459">
        <v>3.0</v>
      </c>
      <c r="AD6" s="459">
        <v>3.0</v>
      </c>
      <c r="AE6" s="459">
        <v>3.0</v>
      </c>
      <c r="AF6" s="459">
        <v>3.0</v>
      </c>
    </row>
    <row r="7">
      <c r="A7" s="441" t="s">
        <v>226</v>
      </c>
      <c r="B7" s="459">
        <v>6.0</v>
      </c>
      <c r="C7" s="459">
        <v>6.0</v>
      </c>
      <c r="D7" s="459">
        <v>6.0</v>
      </c>
      <c r="E7" s="459">
        <v>6.0</v>
      </c>
      <c r="F7" s="459">
        <v>6.0</v>
      </c>
      <c r="G7" s="459">
        <v>6.0</v>
      </c>
      <c r="H7" s="459">
        <v>6.0</v>
      </c>
      <c r="I7" s="459">
        <v>6.0</v>
      </c>
      <c r="J7" s="459">
        <v>6.0</v>
      </c>
      <c r="K7" s="459">
        <v>6.0</v>
      </c>
      <c r="L7" s="459">
        <v>6.0</v>
      </c>
      <c r="M7" s="459">
        <v>6.0</v>
      </c>
      <c r="N7" s="459">
        <v>6.0</v>
      </c>
      <c r="O7" s="459">
        <v>6.0</v>
      </c>
      <c r="P7" s="459">
        <v>6.0</v>
      </c>
      <c r="Q7" s="459">
        <v>6.0</v>
      </c>
      <c r="R7" s="459">
        <v>6.0</v>
      </c>
      <c r="S7" s="459">
        <v>6.0</v>
      </c>
      <c r="T7" s="459">
        <v>6.0</v>
      </c>
      <c r="U7" s="459">
        <v>6.0</v>
      </c>
      <c r="V7" s="459">
        <v>6.0</v>
      </c>
      <c r="W7" s="459">
        <v>6.0</v>
      </c>
      <c r="X7" s="459">
        <v>6.0</v>
      </c>
      <c r="Y7" s="459">
        <v>6.0</v>
      </c>
      <c r="Z7" s="459">
        <v>6.0</v>
      </c>
      <c r="AA7" s="459">
        <v>6.0</v>
      </c>
      <c r="AB7" s="459">
        <v>6.0</v>
      </c>
      <c r="AC7" s="459">
        <v>6.0</v>
      </c>
      <c r="AD7" s="459">
        <v>6.0</v>
      </c>
      <c r="AE7" s="459">
        <v>6.0</v>
      </c>
      <c r="AF7" s="459">
        <v>6.0</v>
      </c>
    </row>
    <row r="8">
      <c r="A8" s="441" t="s">
        <v>47</v>
      </c>
      <c r="B8" s="459">
        <v>11.0</v>
      </c>
      <c r="C8" s="459">
        <v>11.0</v>
      </c>
      <c r="D8" s="459">
        <v>13.0</v>
      </c>
      <c r="E8" s="459">
        <v>11.0</v>
      </c>
      <c r="F8" s="459">
        <v>11.0</v>
      </c>
      <c r="G8" s="459">
        <v>12.0</v>
      </c>
      <c r="H8" s="459">
        <v>13.0</v>
      </c>
      <c r="I8" s="459">
        <v>11.0</v>
      </c>
      <c r="J8" s="459">
        <v>11.0</v>
      </c>
      <c r="K8" s="459">
        <v>13.0</v>
      </c>
      <c r="L8" s="459">
        <v>11.0</v>
      </c>
      <c r="M8" s="459">
        <v>11.0</v>
      </c>
      <c r="N8" s="459">
        <v>12.0</v>
      </c>
      <c r="O8" s="459">
        <v>13.0</v>
      </c>
      <c r="P8" s="459">
        <v>11.0</v>
      </c>
      <c r="Q8" s="459">
        <v>12.0</v>
      </c>
      <c r="R8" s="459">
        <v>13.0</v>
      </c>
      <c r="S8" s="459">
        <v>12.0</v>
      </c>
      <c r="T8" s="459">
        <v>13.0</v>
      </c>
      <c r="U8" s="459">
        <v>12.0</v>
      </c>
      <c r="V8" s="459">
        <v>12.0</v>
      </c>
      <c r="W8" s="459">
        <v>8.0</v>
      </c>
      <c r="X8" s="459">
        <v>9.0</v>
      </c>
      <c r="Y8" s="459">
        <v>8.0</v>
      </c>
      <c r="Z8" s="459">
        <v>16.0</v>
      </c>
      <c r="AA8" s="459">
        <v>11.0</v>
      </c>
      <c r="AB8" s="459">
        <v>13.0</v>
      </c>
      <c r="AC8" s="459">
        <v>16.0</v>
      </c>
      <c r="AD8" s="459">
        <v>7.0</v>
      </c>
      <c r="AE8" s="459">
        <v>8.0</v>
      </c>
      <c r="AF8" s="459">
        <v>10.0</v>
      </c>
    </row>
    <row r="9">
      <c r="A9" s="441" t="s">
        <v>231</v>
      </c>
      <c r="B9" s="459">
        <v>6.0</v>
      </c>
      <c r="C9" s="459">
        <v>3.0</v>
      </c>
      <c r="D9" s="459">
        <v>4.0</v>
      </c>
      <c r="E9" s="459">
        <v>6.0</v>
      </c>
      <c r="F9" s="459">
        <v>5.0</v>
      </c>
      <c r="G9" s="459">
        <v>3.0</v>
      </c>
      <c r="H9" s="459">
        <v>2.0</v>
      </c>
      <c r="I9" s="459">
        <v>5.0</v>
      </c>
      <c r="J9" s="459">
        <v>5.0</v>
      </c>
      <c r="K9" s="459">
        <v>4.0</v>
      </c>
      <c r="L9" s="459">
        <v>4.0</v>
      </c>
      <c r="M9" s="459">
        <v>3.0</v>
      </c>
      <c r="N9" s="459">
        <v>3.0</v>
      </c>
      <c r="O9" s="459">
        <v>3.0</v>
      </c>
      <c r="P9" s="459">
        <v>5.0</v>
      </c>
      <c r="Q9" s="459">
        <v>3.0</v>
      </c>
      <c r="R9" s="459">
        <v>4.0</v>
      </c>
      <c r="S9" s="459">
        <v>6.0</v>
      </c>
      <c r="T9" s="459">
        <v>3.0</v>
      </c>
      <c r="U9" s="459">
        <v>4.0</v>
      </c>
      <c r="V9" s="459">
        <v>5.0</v>
      </c>
      <c r="W9" s="459">
        <v>9.0</v>
      </c>
      <c r="X9" s="459">
        <v>8.0</v>
      </c>
      <c r="Y9" s="459">
        <v>10.0</v>
      </c>
      <c r="Z9" s="459">
        <v>2.0</v>
      </c>
      <c r="AA9" s="459">
        <v>6.0</v>
      </c>
      <c r="AB9" s="459">
        <v>4.0</v>
      </c>
      <c r="AC9" s="459">
        <v>1.0</v>
      </c>
      <c r="AD9" s="459">
        <v>10.0</v>
      </c>
      <c r="AE9" s="459">
        <v>9.0</v>
      </c>
      <c r="AF9" s="459">
        <v>7.0</v>
      </c>
    </row>
    <row r="10">
      <c r="A10" s="441" t="s">
        <v>43</v>
      </c>
      <c r="B10" s="459">
        <v>0.0</v>
      </c>
      <c r="C10" s="459">
        <v>0.0</v>
      </c>
      <c r="D10" s="459">
        <v>1.0</v>
      </c>
      <c r="E10" s="459">
        <v>1.0</v>
      </c>
      <c r="F10" s="459">
        <v>1.0</v>
      </c>
      <c r="G10" s="459">
        <v>0.0</v>
      </c>
      <c r="H10" s="459">
        <v>0.0</v>
      </c>
      <c r="I10" s="459">
        <v>1.0</v>
      </c>
      <c r="J10" s="459">
        <v>1.0</v>
      </c>
      <c r="K10" s="459">
        <v>0.0</v>
      </c>
      <c r="L10" s="459">
        <v>1.0</v>
      </c>
      <c r="M10" s="459">
        <v>1.0</v>
      </c>
      <c r="N10" s="459">
        <v>1.0</v>
      </c>
      <c r="O10" s="459">
        <v>0.0</v>
      </c>
      <c r="P10" s="459">
        <v>1.0</v>
      </c>
      <c r="Q10" s="459">
        <v>1.0</v>
      </c>
      <c r="R10" s="459">
        <v>0.0</v>
      </c>
      <c r="S10" s="459">
        <v>0.0</v>
      </c>
      <c r="T10" s="459">
        <v>0.0</v>
      </c>
      <c r="U10" s="459">
        <v>0.0</v>
      </c>
      <c r="V10" s="459">
        <v>0.0</v>
      </c>
      <c r="W10" s="459">
        <v>0.0</v>
      </c>
      <c r="X10" s="459">
        <v>0.0</v>
      </c>
      <c r="Y10" s="459">
        <v>0.0</v>
      </c>
      <c r="Z10" s="459">
        <v>0.0</v>
      </c>
      <c r="AA10" s="459">
        <v>0.0</v>
      </c>
      <c r="AB10" s="459">
        <v>0.0</v>
      </c>
      <c r="AC10" s="459">
        <v>0.0</v>
      </c>
      <c r="AD10" s="459">
        <v>0.0</v>
      </c>
      <c r="AE10" s="459">
        <v>0.0</v>
      </c>
      <c r="AF10" s="459">
        <v>1.0</v>
      </c>
    </row>
    <row r="11">
      <c r="A11" s="441" t="s">
        <v>177</v>
      </c>
      <c r="B11" s="459">
        <v>23.0</v>
      </c>
      <c r="C11" s="459">
        <v>26.0</v>
      </c>
      <c r="D11" s="459">
        <v>23.0</v>
      </c>
      <c r="E11" s="459">
        <v>23.0</v>
      </c>
      <c r="F11" s="459">
        <v>23.0</v>
      </c>
      <c r="G11" s="459">
        <v>25.0</v>
      </c>
      <c r="H11" s="459">
        <v>25.0</v>
      </c>
      <c r="I11" s="459">
        <v>23.0</v>
      </c>
      <c r="J11" s="459">
        <v>23.0</v>
      </c>
      <c r="K11" s="459">
        <v>24.0</v>
      </c>
      <c r="L11" s="459">
        <v>25.0</v>
      </c>
      <c r="M11" s="459">
        <v>25.0</v>
      </c>
      <c r="N11" s="459">
        <v>24.0</v>
      </c>
      <c r="O11" s="459">
        <v>24.0</v>
      </c>
      <c r="P11" s="459">
        <v>23.0</v>
      </c>
      <c r="Q11" s="459">
        <v>24.0</v>
      </c>
      <c r="R11" s="459">
        <v>24.0</v>
      </c>
      <c r="S11" s="459">
        <v>23.0</v>
      </c>
      <c r="T11" s="459">
        <v>24.0</v>
      </c>
      <c r="U11" s="459">
        <v>24.0</v>
      </c>
      <c r="V11" s="459">
        <v>23.0</v>
      </c>
      <c r="W11" s="459">
        <v>22.0</v>
      </c>
      <c r="X11" s="459">
        <v>22.0</v>
      </c>
      <c r="Y11" s="459">
        <v>22.0</v>
      </c>
      <c r="Z11" s="459">
        <v>22.0</v>
      </c>
      <c r="AA11" s="459">
        <v>22.0</v>
      </c>
      <c r="AB11" s="459">
        <v>22.0</v>
      </c>
      <c r="AC11" s="459">
        <v>22.0</v>
      </c>
      <c r="AD11" s="459">
        <v>22.0</v>
      </c>
      <c r="AE11" s="459">
        <v>22.0</v>
      </c>
      <c r="AF11" s="459">
        <v>22.0</v>
      </c>
    </row>
    <row r="12">
      <c r="B12" s="459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59"/>
      <c r="O12" s="459"/>
      <c r="P12" s="459"/>
      <c r="Q12" s="459"/>
      <c r="R12" s="459"/>
      <c r="S12" s="459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59"/>
    </row>
    <row r="13">
      <c r="B13" s="459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</row>
    <row r="14">
      <c r="B14" s="459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59"/>
      <c r="O14" s="459"/>
      <c r="P14" s="459"/>
      <c r="Q14" s="459"/>
      <c r="R14" s="459"/>
      <c r="S14" s="459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59"/>
    </row>
    <row r="15">
      <c r="B15" s="459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</row>
    <row r="16">
      <c r="B16" s="459"/>
      <c r="C16" s="459"/>
      <c r="D16" s="459"/>
      <c r="E16" s="459"/>
      <c r="F16" s="459"/>
      <c r="G16" s="459"/>
      <c r="H16" s="459"/>
      <c r="I16" s="459"/>
      <c r="J16" s="459"/>
      <c r="K16" s="459"/>
      <c r="L16" s="459"/>
      <c r="M16" s="459"/>
      <c r="N16" s="459"/>
      <c r="O16" s="459"/>
      <c r="P16" s="459"/>
      <c r="Q16" s="459"/>
      <c r="R16" s="459"/>
      <c r="S16" s="459"/>
      <c r="T16" s="459"/>
      <c r="U16" s="459"/>
      <c r="V16" s="459"/>
      <c r="W16" s="459"/>
      <c r="X16" s="459"/>
      <c r="Y16" s="459"/>
      <c r="Z16" s="459"/>
      <c r="AA16" s="459"/>
      <c r="AB16" s="459"/>
      <c r="AC16" s="459"/>
      <c r="AD16" s="459"/>
      <c r="AE16" s="459"/>
      <c r="AF16" s="459"/>
    </row>
    <row r="17">
      <c r="B17" s="459"/>
      <c r="C17" s="459"/>
      <c r="D17" s="459"/>
      <c r="E17" s="459"/>
      <c r="F17" s="459"/>
      <c r="G17" s="459"/>
      <c r="H17" s="459"/>
      <c r="I17" s="459"/>
      <c r="J17" s="459"/>
      <c r="K17" s="459"/>
      <c r="L17" s="459"/>
      <c r="M17" s="459"/>
      <c r="N17" s="459"/>
      <c r="O17" s="459"/>
      <c r="P17" s="459"/>
      <c r="Q17" s="459"/>
      <c r="R17" s="459"/>
      <c r="S17" s="459"/>
      <c r="T17" s="459"/>
      <c r="U17" s="459"/>
      <c r="V17" s="459"/>
      <c r="W17" s="459"/>
      <c r="X17" s="459"/>
      <c r="Y17" s="459"/>
      <c r="Z17" s="459"/>
      <c r="AA17" s="459"/>
      <c r="AB17" s="459"/>
      <c r="AC17" s="459"/>
      <c r="AD17" s="459"/>
      <c r="AE17" s="459"/>
      <c r="AF17" s="459"/>
    </row>
    <row r="18">
      <c r="B18" s="459"/>
      <c r="C18" s="459"/>
      <c r="D18" s="459"/>
      <c r="E18" s="459"/>
      <c r="F18" s="459"/>
      <c r="G18" s="459"/>
      <c r="H18" s="459"/>
      <c r="I18" s="459"/>
      <c r="J18" s="459"/>
      <c r="K18" s="459"/>
      <c r="L18" s="459"/>
      <c r="M18" s="459"/>
      <c r="N18" s="459"/>
      <c r="O18" s="459"/>
      <c r="P18" s="459"/>
      <c r="Q18" s="459"/>
      <c r="R18" s="459"/>
      <c r="S18" s="459"/>
      <c r="T18" s="459"/>
      <c r="U18" s="459"/>
      <c r="V18" s="459"/>
      <c r="W18" s="459"/>
      <c r="X18" s="459"/>
      <c r="Y18" s="459"/>
      <c r="Z18" s="459"/>
      <c r="AA18" s="459"/>
      <c r="AB18" s="459"/>
      <c r="AC18" s="459"/>
      <c r="AD18" s="459"/>
      <c r="AE18" s="459"/>
      <c r="AF18" s="459"/>
    </row>
    <row r="19">
      <c r="B19" s="459"/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59"/>
      <c r="O19" s="459"/>
      <c r="P19" s="459"/>
      <c r="Q19" s="459"/>
      <c r="R19" s="459"/>
      <c r="S19" s="459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</row>
    <row r="20">
      <c r="B20" s="459"/>
      <c r="C20" s="459"/>
      <c r="D20" s="459"/>
      <c r="E20" s="459"/>
      <c r="F20" s="459"/>
      <c r="G20" s="459"/>
      <c r="H20" s="459"/>
      <c r="I20" s="459"/>
      <c r="J20" s="459"/>
      <c r="K20" s="459"/>
      <c r="L20" s="459"/>
      <c r="M20" s="459"/>
      <c r="N20" s="459"/>
      <c r="O20" s="459"/>
      <c r="P20" s="459"/>
      <c r="Q20" s="459"/>
      <c r="R20" s="459"/>
      <c r="S20" s="459"/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</row>
    <row r="21">
      <c r="B21" s="459"/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59"/>
      <c r="O21" s="459"/>
      <c r="P21" s="459"/>
      <c r="Q21" s="459"/>
      <c r="R21" s="459"/>
      <c r="S21" s="459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</row>
    <row r="22">
      <c r="B22" s="459"/>
      <c r="C22" s="459"/>
      <c r="D22" s="459"/>
      <c r="E22" s="459"/>
      <c r="F22" s="459"/>
      <c r="G22" s="459"/>
      <c r="H22" s="459"/>
      <c r="I22" s="459"/>
      <c r="J22" s="459"/>
      <c r="K22" s="459"/>
      <c r="L22" s="459"/>
      <c r="M22" s="459"/>
      <c r="N22" s="459"/>
      <c r="O22" s="459"/>
      <c r="P22" s="459"/>
      <c r="Q22" s="459"/>
      <c r="R22" s="459"/>
      <c r="S22" s="459"/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</row>
    <row r="23">
      <c r="B23" s="459"/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59"/>
      <c r="O23" s="459"/>
      <c r="P23" s="459"/>
      <c r="Q23" s="459"/>
      <c r="R23" s="459"/>
      <c r="S23" s="459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</row>
    <row r="24">
      <c r="B24" s="459"/>
      <c r="C24" s="459"/>
      <c r="D24" s="459"/>
      <c r="E24" s="459"/>
      <c r="F24" s="459"/>
      <c r="G24" s="459"/>
      <c r="H24" s="459"/>
      <c r="I24" s="459"/>
      <c r="J24" s="459"/>
      <c r="K24" s="459"/>
      <c r="L24" s="459"/>
      <c r="M24" s="459"/>
      <c r="N24" s="459"/>
      <c r="O24" s="459"/>
      <c r="P24" s="459"/>
      <c r="Q24" s="459"/>
      <c r="R24" s="459"/>
      <c r="S24" s="459"/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</row>
    <row r="25">
      <c r="B25" s="459"/>
      <c r="C25" s="459"/>
      <c r="D25" s="459"/>
      <c r="E25" s="459"/>
      <c r="F25" s="459"/>
      <c r="G25" s="459"/>
      <c r="H25" s="459"/>
      <c r="I25" s="459"/>
      <c r="J25" s="459"/>
      <c r="K25" s="459"/>
      <c r="L25" s="459"/>
      <c r="M25" s="459"/>
      <c r="N25" s="459"/>
      <c r="O25" s="459"/>
      <c r="P25" s="459"/>
      <c r="Q25" s="459"/>
      <c r="R25" s="459"/>
      <c r="S25" s="459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</row>
    <row r="26">
      <c r="B26" s="459"/>
      <c r="C26" s="459"/>
      <c r="D26" s="459"/>
      <c r="E26" s="459"/>
      <c r="F26" s="459"/>
      <c r="G26" s="459"/>
      <c r="H26" s="459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</row>
    <row r="27">
      <c r="B27" s="459"/>
      <c r="C27" s="459"/>
      <c r="D27" s="459"/>
      <c r="E27" s="459"/>
      <c r="F27" s="459"/>
      <c r="G27" s="459"/>
      <c r="H27" s="459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</row>
    <row r="28">
      <c r="B28" s="459"/>
      <c r="C28" s="459"/>
      <c r="D28" s="459"/>
      <c r="E28" s="459"/>
      <c r="F28" s="459"/>
      <c r="G28" s="459"/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</row>
    <row r="29">
      <c r="B29" s="459"/>
      <c r="C29" s="459"/>
      <c r="D29" s="459"/>
      <c r="E29" s="459"/>
      <c r="F29" s="459"/>
      <c r="G29" s="459"/>
      <c r="H29" s="459"/>
      <c r="I29" s="459"/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</row>
    <row r="30">
      <c r="B30" s="459"/>
      <c r="C30" s="459"/>
      <c r="D30" s="459"/>
      <c r="E30" s="459"/>
      <c r="F30" s="459"/>
      <c r="G30" s="459"/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</row>
    <row r="31">
      <c r="B31" s="459"/>
      <c r="C31" s="459"/>
      <c r="D31" s="459"/>
      <c r="E31" s="459"/>
      <c r="F31" s="459"/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</row>
    <row r="32">
      <c r="B32" s="459"/>
      <c r="C32" s="459"/>
      <c r="D32" s="459"/>
      <c r="E32" s="459"/>
      <c r="F32" s="459"/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  <c r="Y32" s="459"/>
      <c r="Z32" s="459"/>
      <c r="AA32" s="459"/>
      <c r="AB32" s="459"/>
      <c r="AC32" s="459"/>
      <c r="AD32" s="459"/>
      <c r="AE32" s="459"/>
      <c r="AF32" s="459"/>
    </row>
    <row r="33">
      <c r="B33" s="459"/>
      <c r="C33" s="459"/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</row>
    <row r="34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59"/>
      <c r="AB34" s="459"/>
      <c r="AC34" s="459"/>
      <c r="AD34" s="459"/>
      <c r="AE34" s="459"/>
      <c r="AF34" s="459"/>
    </row>
    <row r="35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</row>
    <row r="36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59"/>
      <c r="AB36" s="459"/>
      <c r="AC36" s="459"/>
      <c r="AD36" s="459"/>
      <c r="AE36" s="459"/>
      <c r="AF36" s="459"/>
    </row>
    <row r="37">
      <c r="B37" s="459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</row>
    <row r="38"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</row>
    <row r="39"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</row>
    <row r="40"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</row>
    <row r="41"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</row>
    <row r="42"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</row>
    <row r="43"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</row>
    <row r="44"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</row>
    <row r="45"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</row>
    <row r="46"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</row>
    <row r="47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</row>
    <row r="48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</row>
    <row r="49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</row>
    <row r="50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</row>
    <row r="51"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</row>
    <row r="52"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</row>
    <row r="53"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</row>
    <row r="54"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</row>
    <row r="55"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</row>
    <row r="56"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</row>
    <row r="57"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</row>
    <row r="58"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</row>
    <row r="59"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</row>
    <row r="60"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</row>
    <row r="61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</row>
    <row r="62"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</row>
    <row r="63"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</row>
    <row r="64"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</row>
    <row r="65"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</row>
    <row r="66"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</row>
    <row r="67"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</row>
    <row r="68"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</row>
    <row r="69"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</row>
    <row r="70"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</row>
    <row r="71"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</row>
    <row r="72"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</row>
    <row r="73"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</row>
    <row r="74"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</row>
    <row r="75"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</row>
    <row r="76"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</row>
    <row r="77"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</row>
    <row r="78"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</row>
    <row r="79"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</row>
    <row r="80"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</row>
    <row r="81"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</row>
    <row r="82"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</row>
    <row r="83"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</row>
    <row r="84"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</row>
    <row r="85"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</row>
    <row r="86"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</row>
    <row r="87"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</row>
    <row r="88"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</row>
    <row r="89"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</row>
    <row r="90"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</row>
    <row r="91"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</row>
    <row r="92"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</row>
    <row r="93"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</row>
    <row r="94"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</row>
    <row r="95"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</row>
    <row r="96"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</row>
    <row r="97"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</row>
    <row r="98"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</row>
    <row r="99"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</row>
    <row r="100"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</row>
    <row r="101"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</row>
    <row r="102"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</row>
    <row r="103"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</row>
    <row r="104"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</row>
    <row r="105"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</row>
    <row r="106"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</row>
    <row r="107"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</row>
    <row r="108"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</row>
    <row r="109"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</row>
    <row r="110"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</row>
    <row r="111"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</row>
    <row r="112"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</row>
    <row r="113"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</row>
    <row r="114"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</row>
    <row r="115"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</row>
    <row r="116"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</row>
    <row r="117"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</row>
    <row r="118"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</row>
    <row r="119"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</row>
    <row r="120"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</row>
    <row r="121"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</row>
    <row r="122"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</row>
    <row r="123"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</row>
    <row r="124"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</row>
    <row r="125"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</row>
    <row r="126"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</row>
    <row r="127"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</row>
    <row r="128"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</row>
    <row r="129"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</row>
    <row r="130"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</row>
    <row r="131"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</row>
    <row r="132"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</row>
    <row r="133"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</row>
    <row r="134"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</row>
    <row r="135"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</row>
    <row r="136"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</row>
    <row r="137"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</row>
    <row r="138"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</row>
    <row r="139"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</row>
    <row r="140"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</row>
    <row r="141"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</row>
    <row r="142"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</row>
    <row r="143"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</row>
    <row r="144"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</row>
    <row r="145"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</row>
    <row r="146"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</row>
    <row r="147"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</row>
    <row r="148"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</row>
    <row r="149"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</row>
    <row r="150"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</row>
    <row r="151"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</row>
    <row r="152"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</row>
    <row r="153"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</row>
    <row r="154"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</row>
    <row r="155"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</row>
    <row r="156"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</row>
    <row r="157"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</row>
    <row r="158"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</row>
    <row r="159"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</row>
    <row r="160"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</row>
    <row r="161"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</row>
    <row r="162"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</row>
    <row r="163"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</row>
    <row r="164"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</row>
    <row r="165"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</row>
    <row r="166"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</row>
    <row r="167"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</row>
    <row r="168"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</row>
    <row r="169"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</row>
    <row r="170"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</row>
    <row r="171"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</row>
    <row r="172"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</row>
    <row r="173"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</row>
    <row r="174"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</row>
    <row r="175"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</row>
    <row r="176"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</row>
    <row r="177"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</row>
    <row r="178"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</row>
    <row r="179"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</row>
    <row r="180"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</row>
    <row r="181"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</row>
    <row r="182"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</row>
    <row r="183"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</row>
    <row r="184"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</row>
    <row r="185"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</row>
    <row r="186"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</row>
    <row r="187"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</row>
    <row r="188"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</row>
    <row r="189"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</row>
    <row r="190"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</row>
    <row r="191"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</row>
    <row r="192"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</row>
    <row r="193"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</row>
    <row r="194"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</row>
    <row r="195"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</row>
    <row r="196"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</row>
    <row r="197"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</row>
    <row r="198"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</row>
    <row r="199"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</row>
    <row r="200"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</row>
    <row r="201"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</row>
    <row r="202"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</row>
    <row r="203"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</row>
    <row r="204"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</row>
    <row r="205"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</row>
    <row r="206"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</row>
    <row r="207"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</row>
    <row r="208"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</row>
    <row r="209"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</row>
    <row r="210"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</row>
    <row r="211"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</row>
    <row r="212"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</row>
    <row r="213"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</row>
    <row r="214"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</row>
    <row r="215"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</row>
    <row r="216"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</row>
    <row r="217"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</row>
    <row r="218"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</row>
    <row r="219"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</row>
    <row r="220"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</row>
    <row r="221"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</row>
    <row r="222"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</row>
    <row r="223"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</row>
    <row r="224"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</row>
    <row r="225"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</row>
    <row r="226"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</row>
    <row r="227"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</row>
    <row r="228"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</row>
    <row r="229"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</row>
    <row r="230"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</row>
    <row r="231"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</row>
    <row r="232"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</row>
    <row r="233"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</row>
    <row r="234"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</row>
    <row r="235">
      <c r="B235" s="459"/>
      <c r="C235" s="459"/>
      <c r="D235" s="459"/>
      <c r="E235" s="459"/>
      <c r="F235" s="459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9"/>
      <c r="Z235" s="459"/>
      <c r="AA235" s="459"/>
      <c r="AB235" s="459"/>
      <c r="AC235" s="459"/>
      <c r="AD235" s="459"/>
      <c r="AE235" s="459"/>
      <c r="AF235" s="459"/>
    </row>
    <row r="236">
      <c r="B236" s="459"/>
      <c r="C236" s="459"/>
      <c r="D236" s="459"/>
      <c r="E236" s="459"/>
      <c r="F236" s="459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9"/>
      <c r="Z236" s="459"/>
      <c r="AA236" s="459"/>
      <c r="AB236" s="459"/>
      <c r="AC236" s="459"/>
      <c r="AD236" s="459"/>
      <c r="AE236" s="459"/>
      <c r="AF236" s="459"/>
    </row>
    <row r="237">
      <c r="B237" s="459"/>
      <c r="C237" s="459"/>
      <c r="D237" s="459"/>
      <c r="E237" s="459"/>
      <c r="F237" s="459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9"/>
      <c r="Z237" s="459"/>
      <c r="AA237" s="459"/>
      <c r="AB237" s="459"/>
      <c r="AC237" s="459"/>
      <c r="AD237" s="459"/>
      <c r="AE237" s="459"/>
      <c r="AF237" s="459"/>
    </row>
    <row r="238">
      <c r="B238" s="459"/>
      <c r="C238" s="459"/>
      <c r="D238" s="459"/>
      <c r="E238" s="459"/>
      <c r="F238" s="459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9"/>
      <c r="Z238" s="459"/>
      <c r="AA238" s="459"/>
      <c r="AB238" s="459"/>
      <c r="AC238" s="459"/>
      <c r="AD238" s="459"/>
      <c r="AE238" s="459"/>
      <c r="AF238" s="459"/>
    </row>
    <row r="239">
      <c r="B239" s="459"/>
      <c r="C239" s="459"/>
      <c r="D239" s="459"/>
      <c r="E239" s="459"/>
      <c r="F239" s="459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9"/>
      <c r="Z239" s="459"/>
      <c r="AA239" s="459"/>
      <c r="AB239" s="459"/>
      <c r="AC239" s="459"/>
      <c r="AD239" s="459"/>
      <c r="AE239" s="459"/>
      <c r="AF239" s="459"/>
    </row>
    <row r="240">
      <c r="B240" s="459"/>
      <c r="C240" s="459"/>
      <c r="D240" s="459"/>
      <c r="E240" s="459"/>
      <c r="F240" s="459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9"/>
      <c r="Z240" s="459"/>
      <c r="AA240" s="459"/>
      <c r="AB240" s="459"/>
      <c r="AC240" s="459"/>
      <c r="AD240" s="459"/>
      <c r="AE240" s="459"/>
      <c r="AF240" s="459"/>
    </row>
    <row r="241">
      <c r="B241" s="459"/>
      <c r="C241" s="459"/>
      <c r="D241" s="459"/>
      <c r="E241" s="459"/>
      <c r="F241" s="459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9"/>
      <c r="Z241" s="459"/>
      <c r="AA241" s="459"/>
      <c r="AB241" s="459"/>
      <c r="AC241" s="459"/>
      <c r="AD241" s="459"/>
      <c r="AE241" s="459"/>
      <c r="AF241" s="459"/>
    </row>
    <row r="242">
      <c r="B242" s="459"/>
      <c r="C242" s="459"/>
      <c r="D242" s="459"/>
      <c r="E242" s="459"/>
      <c r="F242" s="459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9"/>
      <c r="Z242" s="459"/>
      <c r="AA242" s="459"/>
      <c r="AB242" s="459"/>
      <c r="AC242" s="459"/>
      <c r="AD242" s="459"/>
      <c r="AE242" s="459"/>
      <c r="AF242" s="459"/>
    </row>
    <row r="243">
      <c r="B243" s="459"/>
      <c r="C243" s="459"/>
      <c r="D243" s="459"/>
      <c r="E243" s="459"/>
      <c r="F243" s="459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9"/>
      <c r="Z243" s="459"/>
      <c r="AA243" s="459"/>
      <c r="AB243" s="459"/>
      <c r="AC243" s="459"/>
      <c r="AD243" s="459"/>
      <c r="AE243" s="459"/>
      <c r="AF243" s="459"/>
    </row>
    <row r="244">
      <c r="B244" s="459"/>
      <c r="C244" s="459"/>
      <c r="D244" s="459"/>
      <c r="E244" s="459"/>
      <c r="F244" s="459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9"/>
      <c r="Z244" s="459"/>
      <c r="AA244" s="459"/>
      <c r="AB244" s="459"/>
      <c r="AC244" s="459"/>
      <c r="AD244" s="459"/>
      <c r="AE244" s="459"/>
      <c r="AF244" s="459"/>
    </row>
    <row r="245">
      <c r="B245" s="459"/>
      <c r="C245" s="459"/>
      <c r="D245" s="459"/>
      <c r="E245" s="459"/>
      <c r="F245" s="459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9"/>
      <c r="Z245" s="459"/>
      <c r="AA245" s="459"/>
      <c r="AB245" s="459"/>
      <c r="AC245" s="459"/>
      <c r="AD245" s="459"/>
      <c r="AE245" s="459"/>
      <c r="AF245" s="459"/>
    </row>
    <row r="246">
      <c r="B246" s="459"/>
      <c r="C246" s="459"/>
      <c r="D246" s="459"/>
      <c r="E246" s="459"/>
      <c r="F246" s="459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9"/>
      <c r="Z246" s="459"/>
      <c r="AA246" s="459"/>
      <c r="AB246" s="459"/>
      <c r="AC246" s="459"/>
      <c r="AD246" s="459"/>
      <c r="AE246" s="459"/>
      <c r="AF246" s="459"/>
    </row>
    <row r="247">
      <c r="B247" s="459"/>
      <c r="C247" s="459"/>
      <c r="D247" s="459"/>
      <c r="E247" s="459"/>
      <c r="F247" s="459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9"/>
      <c r="Z247" s="459"/>
      <c r="AA247" s="459"/>
      <c r="AB247" s="459"/>
      <c r="AC247" s="459"/>
      <c r="AD247" s="459"/>
      <c r="AE247" s="459"/>
      <c r="AF247" s="459"/>
    </row>
    <row r="248">
      <c r="B248" s="459"/>
      <c r="C248" s="459"/>
      <c r="D248" s="459"/>
      <c r="E248" s="459"/>
      <c r="F248" s="459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9"/>
      <c r="Z248" s="459"/>
      <c r="AA248" s="459"/>
      <c r="AB248" s="459"/>
      <c r="AC248" s="459"/>
      <c r="AD248" s="459"/>
      <c r="AE248" s="459"/>
      <c r="AF248" s="459"/>
    </row>
    <row r="249">
      <c r="B249" s="459"/>
      <c r="C249" s="459"/>
      <c r="D249" s="459"/>
      <c r="E249" s="459"/>
      <c r="F249" s="459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9"/>
      <c r="Z249" s="459"/>
      <c r="AA249" s="459"/>
      <c r="AB249" s="459"/>
      <c r="AC249" s="459"/>
      <c r="AD249" s="459"/>
      <c r="AE249" s="459"/>
      <c r="AF249" s="459"/>
    </row>
    <row r="250">
      <c r="B250" s="459"/>
      <c r="C250" s="459"/>
      <c r="D250" s="459"/>
      <c r="E250" s="459"/>
      <c r="F250" s="459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9"/>
      <c r="Z250" s="459"/>
      <c r="AA250" s="459"/>
      <c r="AB250" s="459"/>
      <c r="AC250" s="459"/>
      <c r="AD250" s="459"/>
      <c r="AE250" s="459"/>
      <c r="AF250" s="459"/>
    </row>
    <row r="251">
      <c r="B251" s="459"/>
      <c r="C251" s="459"/>
      <c r="D251" s="459"/>
      <c r="E251" s="459"/>
      <c r="F251" s="459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9"/>
      <c r="Z251" s="459"/>
      <c r="AA251" s="459"/>
      <c r="AB251" s="459"/>
      <c r="AC251" s="459"/>
      <c r="AD251" s="459"/>
      <c r="AE251" s="459"/>
      <c r="AF251" s="459"/>
    </row>
    <row r="252">
      <c r="B252" s="459"/>
      <c r="C252" s="459"/>
      <c r="D252" s="459"/>
      <c r="E252" s="459"/>
      <c r="F252" s="459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9"/>
      <c r="Z252" s="459"/>
      <c r="AA252" s="459"/>
      <c r="AB252" s="459"/>
      <c r="AC252" s="459"/>
      <c r="AD252" s="459"/>
      <c r="AE252" s="459"/>
      <c r="AF252" s="459"/>
    </row>
    <row r="253">
      <c r="B253" s="459"/>
      <c r="C253" s="459"/>
      <c r="D253" s="459"/>
      <c r="E253" s="459"/>
      <c r="F253" s="459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9"/>
      <c r="Z253" s="459"/>
      <c r="AA253" s="459"/>
      <c r="AB253" s="459"/>
      <c r="AC253" s="459"/>
      <c r="AD253" s="459"/>
      <c r="AE253" s="459"/>
      <c r="AF253" s="459"/>
    </row>
    <row r="254">
      <c r="B254" s="459"/>
      <c r="C254" s="459"/>
      <c r="D254" s="459"/>
      <c r="E254" s="459"/>
      <c r="F254" s="459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9"/>
      <c r="Z254" s="459"/>
      <c r="AA254" s="459"/>
      <c r="AB254" s="459"/>
      <c r="AC254" s="459"/>
      <c r="AD254" s="459"/>
      <c r="AE254" s="459"/>
      <c r="AF254" s="459"/>
    </row>
    <row r="255">
      <c r="B255" s="459"/>
      <c r="C255" s="459"/>
      <c r="D255" s="459"/>
      <c r="E255" s="459"/>
      <c r="F255" s="459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9"/>
      <c r="Z255" s="459"/>
      <c r="AA255" s="459"/>
      <c r="AB255" s="459"/>
      <c r="AC255" s="459"/>
      <c r="AD255" s="459"/>
      <c r="AE255" s="459"/>
      <c r="AF255" s="459"/>
    </row>
    <row r="256">
      <c r="B256" s="459"/>
      <c r="C256" s="459"/>
      <c r="D256" s="459"/>
      <c r="E256" s="459"/>
      <c r="F256" s="459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9"/>
      <c r="Z256" s="459"/>
      <c r="AA256" s="459"/>
      <c r="AB256" s="459"/>
      <c r="AC256" s="459"/>
      <c r="AD256" s="459"/>
      <c r="AE256" s="459"/>
      <c r="AF256" s="459"/>
    </row>
    <row r="257">
      <c r="B257" s="459"/>
      <c r="C257" s="459"/>
      <c r="D257" s="459"/>
      <c r="E257" s="459"/>
      <c r="F257" s="459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9"/>
      <c r="Z257" s="459"/>
      <c r="AA257" s="459"/>
      <c r="AB257" s="459"/>
      <c r="AC257" s="459"/>
      <c r="AD257" s="459"/>
      <c r="AE257" s="459"/>
      <c r="AF257" s="459"/>
    </row>
    <row r="258">
      <c r="B258" s="459"/>
      <c r="C258" s="459"/>
      <c r="D258" s="459"/>
      <c r="E258" s="459"/>
      <c r="F258" s="459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9"/>
      <c r="Z258" s="459"/>
      <c r="AA258" s="459"/>
      <c r="AB258" s="459"/>
      <c r="AC258" s="459"/>
      <c r="AD258" s="459"/>
      <c r="AE258" s="459"/>
      <c r="AF258" s="459"/>
    </row>
    <row r="259">
      <c r="B259" s="459"/>
      <c r="C259" s="459"/>
      <c r="D259" s="459"/>
      <c r="E259" s="459"/>
      <c r="F259" s="459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9"/>
      <c r="Z259" s="459"/>
      <c r="AA259" s="459"/>
      <c r="AB259" s="459"/>
      <c r="AC259" s="459"/>
      <c r="AD259" s="459"/>
      <c r="AE259" s="459"/>
      <c r="AF259" s="459"/>
    </row>
    <row r="260">
      <c r="B260" s="459"/>
      <c r="C260" s="459"/>
      <c r="D260" s="459"/>
      <c r="E260" s="459"/>
      <c r="F260" s="459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9"/>
      <c r="Z260" s="459"/>
      <c r="AA260" s="459"/>
      <c r="AB260" s="459"/>
      <c r="AC260" s="459"/>
      <c r="AD260" s="459"/>
      <c r="AE260" s="459"/>
      <c r="AF260" s="459"/>
    </row>
    <row r="261">
      <c r="B261" s="459"/>
      <c r="C261" s="459"/>
      <c r="D261" s="459"/>
      <c r="E261" s="459"/>
      <c r="F261" s="459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9"/>
      <c r="Z261" s="459"/>
      <c r="AA261" s="459"/>
      <c r="AB261" s="459"/>
      <c r="AC261" s="459"/>
      <c r="AD261" s="459"/>
      <c r="AE261" s="459"/>
      <c r="AF261" s="459"/>
    </row>
    <row r="262">
      <c r="B262" s="459"/>
      <c r="C262" s="459"/>
      <c r="D262" s="459"/>
      <c r="E262" s="459"/>
      <c r="F262" s="459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9"/>
      <c r="Z262" s="459"/>
      <c r="AA262" s="459"/>
      <c r="AB262" s="459"/>
      <c r="AC262" s="459"/>
      <c r="AD262" s="459"/>
      <c r="AE262" s="459"/>
      <c r="AF262" s="459"/>
    </row>
    <row r="263">
      <c r="B263" s="459"/>
      <c r="C263" s="459"/>
      <c r="D263" s="459"/>
      <c r="E263" s="459"/>
      <c r="F263" s="459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9"/>
      <c r="Z263" s="459"/>
      <c r="AA263" s="459"/>
      <c r="AB263" s="459"/>
      <c r="AC263" s="459"/>
      <c r="AD263" s="459"/>
      <c r="AE263" s="459"/>
      <c r="AF263" s="459"/>
    </row>
    <row r="264">
      <c r="B264" s="459"/>
      <c r="C264" s="459"/>
      <c r="D264" s="459"/>
      <c r="E264" s="459"/>
      <c r="F264" s="459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9"/>
      <c r="Z264" s="459"/>
      <c r="AA264" s="459"/>
      <c r="AB264" s="459"/>
      <c r="AC264" s="459"/>
      <c r="AD264" s="459"/>
      <c r="AE264" s="459"/>
      <c r="AF264" s="459"/>
    </row>
    <row r="265">
      <c r="B265" s="459"/>
      <c r="C265" s="459"/>
      <c r="D265" s="459"/>
      <c r="E265" s="459"/>
      <c r="F265" s="459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9"/>
      <c r="Z265" s="459"/>
      <c r="AA265" s="459"/>
      <c r="AB265" s="459"/>
      <c r="AC265" s="459"/>
      <c r="AD265" s="459"/>
      <c r="AE265" s="459"/>
      <c r="AF265" s="459"/>
    </row>
    <row r="266">
      <c r="B266" s="459"/>
      <c r="C266" s="459"/>
      <c r="D266" s="459"/>
      <c r="E266" s="459"/>
      <c r="F266" s="459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9"/>
      <c r="Z266" s="459"/>
      <c r="AA266" s="459"/>
      <c r="AB266" s="459"/>
      <c r="AC266" s="459"/>
      <c r="AD266" s="459"/>
      <c r="AE266" s="459"/>
      <c r="AF266" s="459"/>
    </row>
    <row r="267">
      <c r="B267" s="459"/>
      <c r="C267" s="459"/>
      <c r="D267" s="459"/>
      <c r="E267" s="459"/>
      <c r="F267" s="459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9"/>
      <c r="Z267" s="459"/>
      <c r="AA267" s="459"/>
      <c r="AB267" s="459"/>
      <c r="AC267" s="459"/>
      <c r="AD267" s="459"/>
      <c r="AE267" s="459"/>
      <c r="AF267" s="459"/>
    </row>
    <row r="268">
      <c r="B268" s="459"/>
      <c r="C268" s="459"/>
      <c r="D268" s="459"/>
      <c r="E268" s="459"/>
      <c r="F268" s="459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9"/>
      <c r="Z268" s="459"/>
      <c r="AA268" s="459"/>
      <c r="AB268" s="459"/>
      <c r="AC268" s="459"/>
      <c r="AD268" s="459"/>
      <c r="AE268" s="459"/>
      <c r="AF268" s="459"/>
    </row>
    <row r="269">
      <c r="B269" s="459"/>
      <c r="C269" s="459"/>
      <c r="D269" s="459"/>
      <c r="E269" s="459"/>
      <c r="F269" s="459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9"/>
      <c r="Z269" s="459"/>
      <c r="AA269" s="459"/>
      <c r="AB269" s="459"/>
      <c r="AC269" s="459"/>
      <c r="AD269" s="459"/>
      <c r="AE269" s="459"/>
      <c r="AF269" s="459"/>
    </row>
    <row r="270">
      <c r="B270" s="459"/>
      <c r="C270" s="459"/>
      <c r="D270" s="459"/>
      <c r="E270" s="459"/>
      <c r="F270" s="459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9"/>
      <c r="Z270" s="459"/>
      <c r="AA270" s="459"/>
      <c r="AB270" s="459"/>
      <c r="AC270" s="459"/>
      <c r="AD270" s="459"/>
      <c r="AE270" s="459"/>
      <c r="AF270" s="459"/>
    </row>
    <row r="271">
      <c r="B271" s="459"/>
      <c r="C271" s="459"/>
      <c r="D271" s="459"/>
      <c r="E271" s="459"/>
      <c r="F271" s="459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9"/>
      <c r="Z271" s="459"/>
      <c r="AA271" s="459"/>
      <c r="AB271" s="459"/>
      <c r="AC271" s="459"/>
      <c r="AD271" s="459"/>
      <c r="AE271" s="459"/>
      <c r="AF271" s="459"/>
    </row>
    <row r="272">
      <c r="B272" s="459"/>
      <c r="C272" s="459"/>
      <c r="D272" s="459"/>
      <c r="E272" s="459"/>
      <c r="F272" s="459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9"/>
      <c r="Z272" s="459"/>
      <c r="AA272" s="459"/>
      <c r="AB272" s="459"/>
      <c r="AC272" s="459"/>
      <c r="AD272" s="459"/>
      <c r="AE272" s="459"/>
      <c r="AF272" s="459"/>
    </row>
    <row r="273">
      <c r="B273" s="459"/>
      <c r="C273" s="459"/>
      <c r="D273" s="459"/>
      <c r="E273" s="459"/>
      <c r="F273" s="459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9"/>
      <c r="Z273" s="459"/>
      <c r="AA273" s="459"/>
      <c r="AB273" s="459"/>
      <c r="AC273" s="459"/>
      <c r="AD273" s="459"/>
      <c r="AE273" s="459"/>
      <c r="AF273" s="459"/>
    </row>
    <row r="274">
      <c r="B274" s="459"/>
      <c r="C274" s="459"/>
      <c r="D274" s="459"/>
      <c r="E274" s="459"/>
      <c r="F274" s="459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9"/>
      <c r="Z274" s="459"/>
      <c r="AA274" s="459"/>
      <c r="AB274" s="459"/>
      <c r="AC274" s="459"/>
      <c r="AD274" s="459"/>
      <c r="AE274" s="459"/>
      <c r="AF274" s="459"/>
    </row>
    <row r="275">
      <c r="B275" s="459"/>
      <c r="C275" s="459"/>
      <c r="D275" s="459"/>
      <c r="E275" s="459"/>
      <c r="F275" s="459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9"/>
      <c r="Z275" s="459"/>
      <c r="AA275" s="459"/>
      <c r="AB275" s="459"/>
      <c r="AC275" s="459"/>
      <c r="AD275" s="459"/>
      <c r="AE275" s="459"/>
      <c r="AF275" s="459"/>
    </row>
    <row r="276">
      <c r="B276" s="459"/>
      <c r="C276" s="459"/>
      <c r="D276" s="459"/>
      <c r="E276" s="459"/>
      <c r="F276" s="459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9"/>
      <c r="Z276" s="459"/>
      <c r="AA276" s="459"/>
      <c r="AB276" s="459"/>
      <c r="AC276" s="459"/>
      <c r="AD276" s="459"/>
      <c r="AE276" s="459"/>
      <c r="AF276" s="459"/>
    </row>
    <row r="277">
      <c r="B277" s="459"/>
      <c r="C277" s="459"/>
      <c r="D277" s="459"/>
      <c r="E277" s="459"/>
      <c r="F277" s="459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9"/>
      <c r="Z277" s="459"/>
      <c r="AA277" s="459"/>
      <c r="AB277" s="459"/>
      <c r="AC277" s="459"/>
      <c r="AD277" s="459"/>
      <c r="AE277" s="459"/>
      <c r="AF277" s="459"/>
    </row>
    <row r="278">
      <c r="B278" s="459"/>
      <c r="C278" s="459"/>
      <c r="D278" s="459"/>
      <c r="E278" s="459"/>
      <c r="F278" s="459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9"/>
      <c r="Z278" s="459"/>
      <c r="AA278" s="459"/>
      <c r="AB278" s="459"/>
      <c r="AC278" s="459"/>
      <c r="AD278" s="459"/>
      <c r="AE278" s="459"/>
      <c r="AF278" s="459"/>
    </row>
    <row r="279">
      <c r="B279" s="459"/>
      <c r="C279" s="459"/>
      <c r="D279" s="459"/>
      <c r="E279" s="459"/>
      <c r="F279" s="459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9"/>
      <c r="Z279" s="459"/>
      <c r="AA279" s="459"/>
      <c r="AB279" s="459"/>
      <c r="AC279" s="459"/>
      <c r="AD279" s="459"/>
      <c r="AE279" s="459"/>
      <c r="AF279" s="459"/>
    </row>
    <row r="280">
      <c r="B280" s="459"/>
      <c r="C280" s="459"/>
      <c r="D280" s="459"/>
      <c r="E280" s="459"/>
      <c r="F280" s="459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9"/>
      <c r="Z280" s="459"/>
      <c r="AA280" s="459"/>
      <c r="AB280" s="459"/>
      <c r="AC280" s="459"/>
      <c r="AD280" s="459"/>
      <c r="AE280" s="459"/>
      <c r="AF280" s="459"/>
    </row>
    <row r="281">
      <c r="B281" s="459"/>
      <c r="C281" s="459"/>
      <c r="D281" s="459"/>
      <c r="E281" s="459"/>
      <c r="F281" s="459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9"/>
      <c r="Z281" s="459"/>
      <c r="AA281" s="459"/>
      <c r="AB281" s="459"/>
      <c r="AC281" s="459"/>
      <c r="AD281" s="459"/>
      <c r="AE281" s="459"/>
      <c r="AF281" s="459"/>
    </row>
    <row r="282">
      <c r="B282" s="459"/>
      <c r="C282" s="459"/>
      <c r="D282" s="459"/>
      <c r="E282" s="459"/>
      <c r="F282" s="459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9"/>
      <c r="Z282" s="459"/>
      <c r="AA282" s="459"/>
      <c r="AB282" s="459"/>
      <c r="AC282" s="459"/>
      <c r="AD282" s="459"/>
      <c r="AE282" s="459"/>
      <c r="AF282" s="459"/>
    </row>
    <row r="283">
      <c r="B283" s="459"/>
      <c r="C283" s="459"/>
      <c r="D283" s="459"/>
      <c r="E283" s="459"/>
      <c r="F283" s="459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9"/>
      <c r="Z283" s="459"/>
      <c r="AA283" s="459"/>
      <c r="AB283" s="459"/>
      <c r="AC283" s="459"/>
      <c r="AD283" s="459"/>
      <c r="AE283" s="459"/>
      <c r="AF283" s="459"/>
    </row>
    <row r="284">
      <c r="B284" s="459"/>
      <c r="C284" s="459"/>
      <c r="D284" s="459"/>
      <c r="E284" s="459"/>
      <c r="F284" s="459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9"/>
      <c r="Z284" s="459"/>
      <c r="AA284" s="459"/>
      <c r="AB284" s="459"/>
      <c r="AC284" s="459"/>
      <c r="AD284" s="459"/>
      <c r="AE284" s="459"/>
      <c r="AF284" s="459"/>
    </row>
    <row r="285">
      <c r="B285" s="459"/>
      <c r="C285" s="459"/>
      <c r="D285" s="459"/>
      <c r="E285" s="459"/>
      <c r="F285" s="459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9"/>
      <c r="Z285" s="459"/>
      <c r="AA285" s="459"/>
      <c r="AB285" s="459"/>
      <c r="AC285" s="459"/>
      <c r="AD285" s="459"/>
      <c r="AE285" s="459"/>
      <c r="AF285" s="459"/>
    </row>
    <row r="286">
      <c r="B286" s="459"/>
      <c r="C286" s="459"/>
      <c r="D286" s="459"/>
      <c r="E286" s="459"/>
      <c r="F286" s="459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9"/>
      <c r="Z286" s="459"/>
      <c r="AA286" s="459"/>
      <c r="AB286" s="459"/>
      <c r="AC286" s="459"/>
      <c r="AD286" s="459"/>
      <c r="AE286" s="459"/>
      <c r="AF286" s="459"/>
    </row>
    <row r="287">
      <c r="B287" s="459"/>
      <c r="C287" s="459"/>
      <c r="D287" s="459"/>
      <c r="E287" s="459"/>
      <c r="F287" s="459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9"/>
      <c r="Z287" s="459"/>
      <c r="AA287" s="459"/>
      <c r="AB287" s="459"/>
      <c r="AC287" s="459"/>
      <c r="AD287" s="459"/>
      <c r="AE287" s="459"/>
      <c r="AF287" s="459"/>
    </row>
    <row r="288">
      <c r="B288" s="459"/>
      <c r="C288" s="459"/>
      <c r="D288" s="459"/>
      <c r="E288" s="459"/>
      <c r="F288" s="459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9"/>
      <c r="Z288" s="459"/>
      <c r="AA288" s="459"/>
      <c r="AB288" s="459"/>
      <c r="AC288" s="459"/>
      <c r="AD288" s="459"/>
      <c r="AE288" s="459"/>
      <c r="AF288" s="459"/>
    </row>
    <row r="289">
      <c r="B289" s="459"/>
      <c r="C289" s="459"/>
      <c r="D289" s="459"/>
      <c r="E289" s="459"/>
      <c r="F289" s="459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9"/>
      <c r="Z289" s="459"/>
      <c r="AA289" s="459"/>
      <c r="AB289" s="459"/>
      <c r="AC289" s="459"/>
      <c r="AD289" s="459"/>
      <c r="AE289" s="459"/>
      <c r="AF289" s="459"/>
    </row>
    <row r="290">
      <c r="B290" s="459"/>
      <c r="C290" s="459"/>
      <c r="D290" s="459"/>
      <c r="E290" s="459"/>
      <c r="F290" s="459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9"/>
      <c r="Z290" s="459"/>
      <c r="AA290" s="459"/>
      <c r="AB290" s="459"/>
      <c r="AC290" s="459"/>
      <c r="AD290" s="459"/>
      <c r="AE290" s="459"/>
      <c r="AF290" s="459"/>
    </row>
    <row r="291">
      <c r="B291" s="459"/>
      <c r="C291" s="459"/>
      <c r="D291" s="459"/>
      <c r="E291" s="459"/>
      <c r="F291" s="459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9"/>
      <c r="Z291" s="459"/>
      <c r="AA291" s="459"/>
      <c r="AB291" s="459"/>
      <c r="AC291" s="459"/>
      <c r="AD291" s="459"/>
      <c r="AE291" s="459"/>
      <c r="AF291" s="459"/>
    </row>
    <row r="292">
      <c r="B292" s="459"/>
      <c r="C292" s="459"/>
      <c r="D292" s="459"/>
      <c r="E292" s="459"/>
      <c r="F292" s="459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9"/>
      <c r="Z292" s="459"/>
      <c r="AA292" s="459"/>
      <c r="AB292" s="459"/>
      <c r="AC292" s="459"/>
      <c r="AD292" s="459"/>
      <c r="AE292" s="459"/>
      <c r="AF292" s="459"/>
    </row>
    <row r="293">
      <c r="B293" s="459"/>
      <c r="C293" s="459"/>
      <c r="D293" s="459"/>
      <c r="E293" s="459"/>
      <c r="F293" s="459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9"/>
      <c r="Z293" s="459"/>
      <c r="AA293" s="459"/>
      <c r="AB293" s="459"/>
      <c r="AC293" s="459"/>
      <c r="AD293" s="459"/>
      <c r="AE293" s="459"/>
      <c r="AF293" s="459"/>
    </row>
    <row r="294">
      <c r="B294" s="459"/>
      <c r="C294" s="459"/>
      <c r="D294" s="459"/>
      <c r="E294" s="459"/>
      <c r="F294" s="459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9"/>
      <c r="Z294" s="459"/>
      <c r="AA294" s="459"/>
      <c r="AB294" s="459"/>
      <c r="AC294" s="459"/>
      <c r="AD294" s="459"/>
      <c r="AE294" s="459"/>
      <c r="AF294" s="459"/>
    </row>
    <row r="295">
      <c r="B295" s="459"/>
      <c r="C295" s="459"/>
      <c r="D295" s="459"/>
      <c r="E295" s="459"/>
      <c r="F295" s="459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9"/>
      <c r="Z295" s="459"/>
      <c r="AA295" s="459"/>
      <c r="AB295" s="459"/>
      <c r="AC295" s="459"/>
      <c r="AD295" s="459"/>
      <c r="AE295" s="459"/>
      <c r="AF295" s="459"/>
    </row>
    <row r="296">
      <c r="B296" s="459"/>
      <c r="C296" s="459"/>
      <c r="D296" s="459"/>
      <c r="E296" s="459"/>
      <c r="F296" s="459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9"/>
      <c r="Z296" s="459"/>
      <c r="AA296" s="459"/>
      <c r="AB296" s="459"/>
      <c r="AC296" s="459"/>
      <c r="AD296" s="459"/>
      <c r="AE296" s="459"/>
      <c r="AF296" s="459"/>
    </row>
    <row r="297">
      <c r="B297" s="459"/>
      <c r="C297" s="459"/>
      <c r="D297" s="459"/>
      <c r="E297" s="459"/>
      <c r="F297" s="459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9"/>
      <c r="Z297" s="459"/>
      <c r="AA297" s="459"/>
      <c r="AB297" s="459"/>
      <c r="AC297" s="459"/>
      <c r="AD297" s="459"/>
      <c r="AE297" s="459"/>
      <c r="AF297" s="459"/>
    </row>
    <row r="298">
      <c r="B298" s="459"/>
      <c r="C298" s="459"/>
      <c r="D298" s="459"/>
      <c r="E298" s="459"/>
      <c r="F298" s="459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9"/>
      <c r="Z298" s="459"/>
      <c r="AA298" s="459"/>
      <c r="AB298" s="459"/>
      <c r="AC298" s="459"/>
      <c r="AD298" s="459"/>
      <c r="AE298" s="459"/>
      <c r="AF298" s="459"/>
    </row>
    <row r="299">
      <c r="B299" s="459"/>
      <c r="C299" s="459"/>
      <c r="D299" s="459"/>
      <c r="E299" s="459"/>
      <c r="F299" s="459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9"/>
      <c r="Z299" s="459"/>
      <c r="AA299" s="459"/>
      <c r="AB299" s="459"/>
      <c r="AC299" s="459"/>
      <c r="AD299" s="459"/>
      <c r="AE299" s="459"/>
      <c r="AF299" s="459"/>
    </row>
    <row r="300">
      <c r="B300" s="459"/>
      <c r="C300" s="459"/>
      <c r="D300" s="459"/>
      <c r="E300" s="459"/>
      <c r="F300" s="459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9"/>
      <c r="Z300" s="459"/>
      <c r="AA300" s="459"/>
      <c r="AB300" s="459"/>
      <c r="AC300" s="459"/>
      <c r="AD300" s="459"/>
      <c r="AE300" s="459"/>
      <c r="AF300" s="459"/>
    </row>
    <row r="301">
      <c r="B301" s="459"/>
      <c r="C301" s="459"/>
      <c r="D301" s="459"/>
      <c r="E301" s="459"/>
      <c r="F301" s="459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9"/>
      <c r="Z301" s="459"/>
      <c r="AA301" s="459"/>
      <c r="AB301" s="459"/>
      <c r="AC301" s="459"/>
      <c r="AD301" s="459"/>
      <c r="AE301" s="459"/>
      <c r="AF301" s="459"/>
    </row>
    <row r="302">
      <c r="B302" s="459"/>
      <c r="C302" s="459"/>
      <c r="D302" s="459"/>
      <c r="E302" s="459"/>
      <c r="F302" s="459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9"/>
      <c r="Z302" s="459"/>
      <c r="AA302" s="459"/>
      <c r="AB302" s="459"/>
      <c r="AC302" s="459"/>
      <c r="AD302" s="459"/>
      <c r="AE302" s="459"/>
      <c r="AF302" s="459"/>
    </row>
    <row r="303">
      <c r="B303" s="459"/>
      <c r="C303" s="459"/>
      <c r="D303" s="459"/>
      <c r="E303" s="459"/>
      <c r="F303" s="459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9"/>
      <c r="Z303" s="459"/>
      <c r="AA303" s="459"/>
      <c r="AB303" s="459"/>
      <c r="AC303" s="459"/>
      <c r="AD303" s="459"/>
      <c r="AE303" s="459"/>
      <c r="AF303" s="459"/>
    </row>
    <row r="304">
      <c r="B304" s="459"/>
      <c r="C304" s="459"/>
      <c r="D304" s="459"/>
      <c r="E304" s="459"/>
      <c r="F304" s="459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9"/>
      <c r="Z304" s="459"/>
      <c r="AA304" s="459"/>
      <c r="AB304" s="459"/>
      <c r="AC304" s="459"/>
      <c r="AD304" s="459"/>
      <c r="AE304" s="459"/>
      <c r="AF304" s="459"/>
    </row>
    <row r="305">
      <c r="B305" s="459"/>
      <c r="C305" s="459"/>
      <c r="D305" s="459"/>
      <c r="E305" s="459"/>
      <c r="F305" s="459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9"/>
      <c r="Z305" s="459"/>
      <c r="AA305" s="459"/>
      <c r="AB305" s="459"/>
      <c r="AC305" s="459"/>
      <c r="AD305" s="459"/>
      <c r="AE305" s="459"/>
      <c r="AF305" s="459"/>
    </row>
    <row r="306">
      <c r="B306" s="459"/>
      <c r="C306" s="459"/>
      <c r="D306" s="459"/>
      <c r="E306" s="459"/>
      <c r="F306" s="459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9"/>
      <c r="Z306" s="459"/>
      <c r="AA306" s="459"/>
      <c r="AB306" s="459"/>
      <c r="AC306" s="459"/>
      <c r="AD306" s="459"/>
      <c r="AE306" s="459"/>
      <c r="AF306" s="459"/>
    </row>
    <row r="307">
      <c r="B307" s="459"/>
      <c r="C307" s="459"/>
      <c r="D307" s="459"/>
      <c r="E307" s="459"/>
      <c r="F307" s="459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9"/>
      <c r="Z307" s="459"/>
      <c r="AA307" s="459"/>
      <c r="AB307" s="459"/>
      <c r="AC307" s="459"/>
      <c r="AD307" s="459"/>
      <c r="AE307" s="459"/>
      <c r="AF307" s="459"/>
    </row>
    <row r="308">
      <c r="B308" s="459"/>
      <c r="C308" s="459"/>
      <c r="D308" s="459"/>
      <c r="E308" s="459"/>
      <c r="F308" s="459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9"/>
      <c r="Z308" s="459"/>
      <c r="AA308" s="459"/>
      <c r="AB308" s="459"/>
      <c r="AC308" s="459"/>
      <c r="AD308" s="459"/>
      <c r="AE308" s="459"/>
      <c r="AF308" s="459"/>
    </row>
    <row r="309">
      <c r="B309" s="459"/>
      <c r="C309" s="459"/>
      <c r="D309" s="459"/>
      <c r="E309" s="459"/>
      <c r="F309" s="459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9"/>
      <c r="Z309" s="459"/>
      <c r="AA309" s="459"/>
      <c r="AB309" s="459"/>
      <c r="AC309" s="459"/>
      <c r="AD309" s="459"/>
      <c r="AE309" s="459"/>
      <c r="AF309" s="459"/>
    </row>
    <row r="310">
      <c r="B310" s="459"/>
      <c r="C310" s="459"/>
      <c r="D310" s="459"/>
      <c r="E310" s="459"/>
      <c r="F310" s="459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9"/>
      <c r="Z310" s="459"/>
      <c r="AA310" s="459"/>
      <c r="AB310" s="459"/>
      <c r="AC310" s="459"/>
      <c r="AD310" s="459"/>
      <c r="AE310" s="459"/>
      <c r="AF310" s="459"/>
    </row>
    <row r="311">
      <c r="B311" s="459"/>
      <c r="C311" s="459"/>
      <c r="D311" s="459"/>
      <c r="E311" s="459"/>
      <c r="F311" s="459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9"/>
      <c r="Z311" s="459"/>
      <c r="AA311" s="459"/>
      <c r="AB311" s="459"/>
      <c r="AC311" s="459"/>
      <c r="AD311" s="459"/>
      <c r="AE311" s="459"/>
      <c r="AF311" s="459"/>
    </row>
    <row r="312">
      <c r="B312" s="459"/>
      <c r="C312" s="459"/>
      <c r="D312" s="459"/>
      <c r="E312" s="459"/>
      <c r="F312" s="459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9"/>
      <c r="Z312" s="459"/>
      <c r="AA312" s="459"/>
      <c r="AB312" s="459"/>
      <c r="AC312" s="459"/>
      <c r="AD312" s="459"/>
      <c r="AE312" s="459"/>
      <c r="AF312" s="459"/>
    </row>
    <row r="313">
      <c r="B313" s="459"/>
      <c r="C313" s="459"/>
      <c r="D313" s="459"/>
      <c r="E313" s="459"/>
      <c r="F313" s="459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9"/>
      <c r="Z313" s="459"/>
      <c r="AA313" s="459"/>
      <c r="AB313" s="459"/>
      <c r="AC313" s="459"/>
      <c r="AD313" s="459"/>
      <c r="AE313" s="459"/>
      <c r="AF313" s="459"/>
    </row>
    <row r="314">
      <c r="B314" s="459"/>
      <c r="C314" s="459"/>
      <c r="D314" s="459"/>
      <c r="E314" s="459"/>
      <c r="F314" s="459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9"/>
      <c r="Z314" s="459"/>
      <c r="AA314" s="459"/>
      <c r="AB314" s="459"/>
      <c r="AC314" s="459"/>
      <c r="AD314" s="459"/>
      <c r="AE314" s="459"/>
      <c r="AF314" s="459"/>
    </row>
    <row r="315">
      <c r="B315" s="459"/>
      <c r="C315" s="459"/>
      <c r="D315" s="459"/>
      <c r="E315" s="459"/>
      <c r="F315" s="459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9"/>
      <c r="Z315" s="459"/>
      <c r="AA315" s="459"/>
      <c r="AB315" s="459"/>
      <c r="AC315" s="459"/>
      <c r="AD315" s="459"/>
      <c r="AE315" s="459"/>
      <c r="AF315" s="459"/>
    </row>
    <row r="316">
      <c r="B316" s="459"/>
      <c r="C316" s="459"/>
      <c r="D316" s="459"/>
      <c r="E316" s="459"/>
      <c r="F316" s="459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9"/>
      <c r="Z316" s="459"/>
      <c r="AA316" s="459"/>
      <c r="AB316" s="459"/>
      <c r="AC316" s="459"/>
      <c r="AD316" s="459"/>
      <c r="AE316" s="459"/>
      <c r="AF316" s="459"/>
    </row>
    <row r="317">
      <c r="B317" s="459"/>
      <c r="C317" s="459"/>
      <c r="D317" s="459"/>
      <c r="E317" s="459"/>
      <c r="F317" s="459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9"/>
      <c r="Z317" s="459"/>
      <c r="AA317" s="459"/>
      <c r="AB317" s="459"/>
      <c r="AC317" s="459"/>
      <c r="AD317" s="459"/>
      <c r="AE317" s="459"/>
      <c r="AF317" s="459"/>
    </row>
    <row r="318">
      <c r="B318" s="459"/>
      <c r="C318" s="459"/>
      <c r="D318" s="459"/>
      <c r="E318" s="459"/>
      <c r="F318" s="459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9"/>
      <c r="Z318" s="459"/>
      <c r="AA318" s="459"/>
      <c r="AB318" s="459"/>
      <c r="AC318" s="459"/>
      <c r="AD318" s="459"/>
      <c r="AE318" s="459"/>
      <c r="AF318" s="459"/>
    </row>
    <row r="319">
      <c r="B319" s="459"/>
      <c r="C319" s="459"/>
      <c r="D319" s="459"/>
      <c r="E319" s="459"/>
      <c r="F319" s="459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9"/>
      <c r="Z319" s="459"/>
      <c r="AA319" s="459"/>
      <c r="AB319" s="459"/>
      <c r="AC319" s="459"/>
      <c r="AD319" s="459"/>
      <c r="AE319" s="459"/>
      <c r="AF319" s="459"/>
    </row>
    <row r="320">
      <c r="B320" s="459"/>
      <c r="C320" s="459"/>
      <c r="D320" s="459"/>
      <c r="E320" s="459"/>
      <c r="F320" s="459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9"/>
      <c r="Z320" s="459"/>
      <c r="AA320" s="459"/>
      <c r="AB320" s="459"/>
      <c r="AC320" s="459"/>
      <c r="AD320" s="459"/>
      <c r="AE320" s="459"/>
      <c r="AF320" s="459"/>
    </row>
    <row r="321">
      <c r="B321" s="459"/>
      <c r="C321" s="459"/>
      <c r="D321" s="459"/>
      <c r="E321" s="459"/>
      <c r="F321" s="459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9"/>
      <c r="Z321" s="459"/>
      <c r="AA321" s="459"/>
      <c r="AB321" s="459"/>
      <c r="AC321" s="459"/>
      <c r="AD321" s="459"/>
      <c r="AE321" s="459"/>
      <c r="AF321" s="459"/>
    </row>
    <row r="322">
      <c r="B322" s="459"/>
      <c r="C322" s="459"/>
      <c r="D322" s="459"/>
      <c r="E322" s="459"/>
      <c r="F322" s="459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9"/>
      <c r="Z322" s="459"/>
      <c r="AA322" s="459"/>
      <c r="AB322" s="459"/>
      <c r="AC322" s="459"/>
      <c r="AD322" s="459"/>
      <c r="AE322" s="459"/>
      <c r="AF322" s="459"/>
    </row>
    <row r="323">
      <c r="B323" s="459"/>
      <c r="C323" s="459"/>
      <c r="D323" s="459"/>
      <c r="E323" s="459"/>
      <c r="F323" s="459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9"/>
      <c r="Z323" s="459"/>
      <c r="AA323" s="459"/>
      <c r="AB323" s="459"/>
      <c r="AC323" s="459"/>
      <c r="AD323" s="459"/>
      <c r="AE323" s="459"/>
      <c r="AF323" s="459"/>
    </row>
    <row r="324">
      <c r="B324" s="459"/>
      <c r="C324" s="459"/>
      <c r="D324" s="459"/>
      <c r="E324" s="459"/>
      <c r="F324" s="459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9"/>
      <c r="Z324" s="459"/>
      <c r="AA324" s="459"/>
      <c r="AB324" s="459"/>
      <c r="AC324" s="459"/>
      <c r="AD324" s="459"/>
      <c r="AE324" s="459"/>
      <c r="AF324" s="459"/>
    </row>
    <row r="325">
      <c r="B325" s="459"/>
      <c r="C325" s="459"/>
      <c r="D325" s="459"/>
      <c r="E325" s="459"/>
      <c r="F325" s="459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9"/>
      <c r="Z325" s="459"/>
      <c r="AA325" s="459"/>
      <c r="AB325" s="459"/>
      <c r="AC325" s="459"/>
      <c r="AD325" s="459"/>
      <c r="AE325" s="459"/>
      <c r="AF325" s="459"/>
    </row>
    <row r="326">
      <c r="B326" s="459"/>
      <c r="C326" s="459"/>
      <c r="D326" s="459"/>
      <c r="E326" s="459"/>
      <c r="F326" s="459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9"/>
      <c r="Z326" s="459"/>
      <c r="AA326" s="459"/>
      <c r="AB326" s="459"/>
      <c r="AC326" s="459"/>
      <c r="AD326" s="459"/>
      <c r="AE326" s="459"/>
      <c r="AF326" s="459"/>
    </row>
    <row r="327">
      <c r="B327" s="459"/>
      <c r="C327" s="459"/>
      <c r="D327" s="459"/>
      <c r="E327" s="459"/>
      <c r="F327" s="459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9"/>
      <c r="Z327" s="459"/>
      <c r="AA327" s="459"/>
      <c r="AB327" s="459"/>
      <c r="AC327" s="459"/>
      <c r="AD327" s="459"/>
      <c r="AE327" s="459"/>
      <c r="AF327" s="459"/>
    </row>
    <row r="328">
      <c r="B328" s="459"/>
      <c r="C328" s="459"/>
      <c r="D328" s="459"/>
      <c r="E328" s="459"/>
      <c r="F328" s="459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9"/>
      <c r="Z328" s="459"/>
      <c r="AA328" s="459"/>
      <c r="AB328" s="459"/>
      <c r="AC328" s="459"/>
      <c r="AD328" s="459"/>
      <c r="AE328" s="459"/>
      <c r="AF328" s="459"/>
    </row>
    <row r="329">
      <c r="B329" s="459"/>
      <c r="C329" s="459"/>
      <c r="D329" s="459"/>
      <c r="E329" s="459"/>
      <c r="F329" s="459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9"/>
      <c r="Z329" s="459"/>
      <c r="AA329" s="459"/>
      <c r="AB329" s="459"/>
      <c r="AC329" s="459"/>
      <c r="AD329" s="459"/>
      <c r="AE329" s="459"/>
      <c r="AF329" s="459"/>
    </row>
    <row r="330">
      <c r="B330" s="459"/>
      <c r="C330" s="459"/>
      <c r="D330" s="459"/>
      <c r="E330" s="459"/>
      <c r="F330" s="459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9"/>
      <c r="Z330" s="459"/>
      <c r="AA330" s="459"/>
      <c r="AB330" s="459"/>
      <c r="AC330" s="459"/>
      <c r="AD330" s="459"/>
      <c r="AE330" s="459"/>
      <c r="AF330" s="459"/>
    </row>
    <row r="331">
      <c r="B331" s="459"/>
      <c r="C331" s="459"/>
      <c r="D331" s="459"/>
      <c r="E331" s="459"/>
      <c r="F331" s="459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9"/>
      <c r="Z331" s="459"/>
      <c r="AA331" s="459"/>
      <c r="AB331" s="459"/>
      <c r="AC331" s="459"/>
      <c r="AD331" s="459"/>
      <c r="AE331" s="459"/>
      <c r="AF331" s="459"/>
    </row>
    <row r="332">
      <c r="B332" s="459"/>
      <c r="C332" s="459"/>
      <c r="D332" s="459"/>
      <c r="E332" s="459"/>
      <c r="F332" s="459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9"/>
      <c r="Z332" s="459"/>
      <c r="AA332" s="459"/>
      <c r="AB332" s="459"/>
      <c r="AC332" s="459"/>
      <c r="AD332" s="459"/>
      <c r="AE332" s="459"/>
      <c r="AF332" s="459"/>
    </row>
    <row r="333">
      <c r="B333" s="459"/>
      <c r="C333" s="459"/>
      <c r="D333" s="459"/>
      <c r="E333" s="459"/>
      <c r="F333" s="459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9"/>
      <c r="Z333" s="459"/>
      <c r="AA333" s="459"/>
      <c r="AB333" s="459"/>
      <c r="AC333" s="459"/>
      <c r="AD333" s="459"/>
      <c r="AE333" s="459"/>
      <c r="AF333" s="459"/>
    </row>
    <row r="334">
      <c r="B334" s="459"/>
      <c r="C334" s="459"/>
      <c r="D334" s="459"/>
      <c r="E334" s="459"/>
      <c r="F334" s="459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9"/>
      <c r="Z334" s="459"/>
      <c r="AA334" s="459"/>
      <c r="AB334" s="459"/>
      <c r="AC334" s="459"/>
      <c r="AD334" s="459"/>
      <c r="AE334" s="459"/>
      <c r="AF334" s="459"/>
    </row>
    <row r="335">
      <c r="B335" s="459"/>
      <c r="C335" s="459"/>
      <c r="D335" s="459"/>
      <c r="E335" s="459"/>
      <c r="F335" s="459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9"/>
      <c r="Z335" s="459"/>
      <c r="AA335" s="459"/>
      <c r="AB335" s="459"/>
      <c r="AC335" s="459"/>
      <c r="AD335" s="459"/>
      <c r="AE335" s="459"/>
      <c r="AF335" s="459"/>
    </row>
    <row r="336">
      <c r="B336" s="459"/>
      <c r="C336" s="459"/>
      <c r="D336" s="459"/>
      <c r="E336" s="459"/>
      <c r="F336" s="459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9"/>
      <c r="Z336" s="459"/>
      <c r="AA336" s="459"/>
      <c r="AB336" s="459"/>
      <c r="AC336" s="459"/>
      <c r="AD336" s="459"/>
      <c r="AE336" s="459"/>
      <c r="AF336" s="459"/>
    </row>
    <row r="337">
      <c r="B337" s="459"/>
      <c r="C337" s="459"/>
      <c r="D337" s="459"/>
      <c r="E337" s="459"/>
      <c r="F337" s="459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9"/>
      <c r="Z337" s="459"/>
      <c r="AA337" s="459"/>
      <c r="AB337" s="459"/>
      <c r="AC337" s="459"/>
      <c r="AD337" s="459"/>
      <c r="AE337" s="459"/>
      <c r="AF337" s="459"/>
    </row>
    <row r="338">
      <c r="B338" s="459"/>
      <c r="C338" s="459"/>
      <c r="D338" s="459"/>
      <c r="E338" s="459"/>
      <c r="F338" s="459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9"/>
      <c r="Z338" s="459"/>
      <c r="AA338" s="459"/>
      <c r="AB338" s="459"/>
      <c r="AC338" s="459"/>
      <c r="AD338" s="459"/>
      <c r="AE338" s="459"/>
      <c r="AF338" s="459"/>
    </row>
    <row r="339">
      <c r="B339" s="459"/>
      <c r="C339" s="459"/>
      <c r="D339" s="459"/>
      <c r="E339" s="459"/>
      <c r="F339" s="459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9"/>
      <c r="Z339" s="459"/>
      <c r="AA339" s="459"/>
      <c r="AB339" s="459"/>
      <c r="AC339" s="459"/>
      <c r="AD339" s="459"/>
      <c r="AE339" s="459"/>
      <c r="AF339" s="459"/>
    </row>
    <row r="340">
      <c r="B340" s="459"/>
      <c r="C340" s="459"/>
      <c r="D340" s="459"/>
      <c r="E340" s="459"/>
      <c r="F340" s="459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9"/>
      <c r="Z340" s="459"/>
      <c r="AA340" s="459"/>
      <c r="AB340" s="459"/>
      <c r="AC340" s="459"/>
      <c r="AD340" s="459"/>
      <c r="AE340" s="459"/>
      <c r="AF340" s="459"/>
    </row>
    <row r="341">
      <c r="B341" s="459"/>
      <c r="C341" s="459"/>
      <c r="D341" s="459"/>
      <c r="E341" s="459"/>
      <c r="F341" s="459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9"/>
      <c r="Z341" s="459"/>
      <c r="AA341" s="459"/>
      <c r="AB341" s="459"/>
      <c r="AC341" s="459"/>
      <c r="AD341" s="459"/>
      <c r="AE341" s="459"/>
      <c r="AF341" s="459"/>
    </row>
    <row r="342">
      <c r="B342" s="459"/>
      <c r="C342" s="459"/>
      <c r="D342" s="459"/>
      <c r="E342" s="459"/>
      <c r="F342" s="459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9"/>
      <c r="Z342" s="459"/>
      <c r="AA342" s="459"/>
      <c r="AB342" s="459"/>
      <c r="AC342" s="459"/>
      <c r="AD342" s="459"/>
      <c r="AE342" s="459"/>
      <c r="AF342" s="459"/>
    </row>
    <row r="343">
      <c r="B343" s="459"/>
      <c r="C343" s="459"/>
      <c r="D343" s="459"/>
      <c r="E343" s="459"/>
      <c r="F343" s="459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9"/>
      <c r="Z343" s="459"/>
      <c r="AA343" s="459"/>
      <c r="AB343" s="459"/>
      <c r="AC343" s="459"/>
      <c r="AD343" s="459"/>
      <c r="AE343" s="459"/>
      <c r="AF343" s="459"/>
    </row>
    <row r="344">
      <c r="B344" s="459"/>
      <c r="C344" s="459"/>
      <c r="D344" s="459"/>
      <c r="E344" s="459"/>
      <c r="F344" s="459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9"/>
      <c r="Z344" s="459"/>
      <c r="AA344" s="459"/>
      <c r="AB344" s="459"/>
      <c r="AC344" s="459"/>
      <c r="AD344" s="459"/>
      <c r="AE344" s="459"/>
      <c r="AF344" s="459"/>
    </row>
    <row r="345">
      <c r="B345" s="459"/>
      <c r="C345" s="459"/>
      <c r="D345" s="459"/>
      <c r="E345" s="459"/>
      <c r="F345" s="459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9"/>
      <c r="Z345" s="459"/>
      <c r="AA345" s="459"/>
      <c r="AB345" s="459"/>
      <c r="AC345" s="459"/>
      <c r="AD345" s="459"/>
      <c r="AE345" s="459"/>
      <c r="AF345" s="459"/>
    </row>
    <row r="346">
      <c r="B346" s="459"/>
      <c r="C346" s="459"/>
      <c r="D346" s="459"/>
      <c r="E346" s="459"/>
      <c r="F346" s="459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9"/>
      <c r="Z346" s="459"/>
      <c r="AA346" s="459"/>
      <c r="AB346" s="459"/>
      <c r="AC346" s="459"/>
      <c r="AD346" s="459"/>
      <c r="AE346" s="459"/>
      <c r="AF346" s="459"/>
    </row>
    <row r="347">
      <c r="B347" s="459"/>
      <c r="C347" s="459"/>
      <c r="D347" s="459"/>
      <c r="E347" s="459"/>
      <c r="F347" s="459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9"/>
      <c r="Z347" s="459"/>
      <c r="AA347" s="459"/>
      <c r="AB347" s="459"/>
      <c r="AC347" s="459"/>
      <c r="AD347" s="459"/>
      <c r="AE347" s="459"/>
      <c r="AF347" s="459"/>
    </row>
    <row r="348">
      <c r="B348" s="459"/>
      <c r="C348" s="459"/>
      <c r="D348" s="459"/>
      <c r="E348" s="459"/>
      <c r="F348" s="459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9"/>
      <c r="Z348" s="459"/>
      <c r="AA348" s="459"/>
      <c r="AB348" s="459"/>
      <c r="AC348" s="459"/>
      <c r="AD348" s="459"/>
      <c r="AE348" s="459"/>
      <c r="AF348" s="459"/>
    </row>
    <row r="349">
      <c r="B349" s="459"/>
      <c r="C349" s="459"/>
      <c r="D349" s="459"/>
      <c r="E349" s="459"/>
      <c r="F349" s="459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9"/>
      <c r="Z349" s="459"/>
      <c r="AA349" s="459"/>
      <c r="AB349" s="459"/>
      <c r="AC349" s="459"/>
      <c r="AD349" s="459"/>
      <c r="AE349" s="459"/>
      <c r="AF349" s="459"/>
    </row>
    <row r="350">
      <c r="B350" s="459"/>
      <c r="C350" s="459"/>
      <c r="D350" s="459"/>
      <c r="E350" s="459"/>
      <c r="F350" s="459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9"/>
      <c r="Z350" s="459"/>
      <c r="AA350" s="459"/>
      <c r="AB350" s="459"/>
      <c r="AC350" s="459"/>
      <c r="AD350" s="459"/>
      <c r="AE350" s="459"/>
      <c r="AF350" s="459"/>
    </row>
    <row r="351">
      <c r="B351" s="459"/>
      <c r="C351" s="459"/>
      <c r="D351" s="459"/>
      <c r="E351" s="459"/>
      <c r="F351" s="459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9"/>
      <c r="Z351" s="459"/>
      <c r="AA351" s="459"/>
      <c r="AB351" s="459"/>
      <c r="AC351" s="459"/>
      <c r="AD351" s="459"/>
      <c r="AE351" s="459"/>
      <c r="AF351" s="459"/>
    </row>
    <row r="352">
      <c r="B352" s="459"/>
      <c r="C352" s="459"/>
      <c r="D352" s="459"/>
      <c r="E352" s="459"/>
      <c r="F352" s="459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9"/>
      <c r="Z352" s="459"/>
      <c r="AA352" s="459"/>
      <c r="AB352" s="459"/>
      <c r="AC352" s="459"/>
      <c r="AD352" s="459"/>
      <c r="AE352" s="459"/>
      <c r="AF352" s="459"/>
    </row>
    <row r="353">
      <c r="B353" s="459"/>
      <c r="C353" s="459"/>
      <c r="D353" s="459"/>
      <c r="E353" s="459"/>
      <c r="F353" s="459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9"/>
      <c r="Z353" s="459"/>
      <c r="AA353" s="459"/>
      <c r="AB353" s="459"/>
      <c r="AC353" s="459"/>
      <c r="AD353" s="459"/>
      <c r="AE353" s="459"/>
      <c r="AF353" s="459"/>
    </row>
    <row r="354">
      <c r="B354" s="459"/>
      <c r="C354" s="459"/>
      <c r="D354" s="459"/>
      <c r="E354" s="459"/>
      <c r="F354" s="459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9"/>
      <c r="Z354" s="459"/>
      <c r="AA354" s="459"/>
      <c r="AB354" s="459"/>
      <c r="AC354" s="459"/>
      <c r="AD354" s="459"/>
      <c r="AE354" s="459"/>
      <c r="AF354" s="459"/>
    </row>
    <row r="355">
      <c r="B355" s="459"/>
      <c r="C355" s="459"/>
      <c r="D355" s="459"/>
      <c r="E355" s="459"/>
      <c r="F355" s="459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9"/>
      <c r="Z355" s="459"/>
      <c r="AA355" s="459"/>
      <c r="AB355" s="459"/>
      <c r="AC355" s="459"/>
      <c r="AD355" s="459"/>
      <c r="AE355" s="459"/>
      <c r="AF355" s="459"/>
    </row>
    <row r="356">
      <c r="B356" s="459"/>
      <c r="C356" s="459"/>
      <c r="D356" s="459"/>
      <c r="E356" s="459"/>
      <c r="F356" s="459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9"/>
      <c r="Z356" s="459"/>
      <c r="AA356" s="459"/>
      <c r="AB356" s="459"/>
      <c r="AC356" s="459"/>
      <c r="AD356" s="459"/>
      <c r="AE356" s="459"/>
      <c r="AF356" s="459"/>
    </row>
    <row r="357">
      <c r="B357" s="459"/>
      <c r="C357" s="459"/>
      <c r="D357" s="459"/>
      <c r="E357" s="459"/>
      <c r="F357" s="459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9"/>
      <c r="Z357" s="459"/>
      <c r="AA357" s="459"/>
      <c r="AB357" s="459"/>
      <c r="AC357" s="459"/>
      <c r="AD357" s="459"/>
      <c r="AE357" s="459"/>
      <c r="AF357" s="459"/>
    </row>
    <row r="358">
      <c r="B358" s="459"/>
      <c r="C358" s="459"/>
      <c r="D358" s="459"/>
      <c r="E358" s="459"/>
      <c r="F358" s="459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9"/>
      <c r="Z358" s="459"/>
      <c r="AA358" s="459"/>
      <c r="AB358" s="459"/>
      <c r="AC358" s="459"/>
      <c r="AD358" s="459"/>
      <c r="AE358" s="459"/>
      <c r="AF358" s="459"/>
    </row>
    <row r="359">
      <c r="B359" s="459"/>
      <c r="C359" s="459"/>
      <c r="D359" s="459"/>
      <c r="E359" s="459"/>
      <c r="F359" s="459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9"/>
      <c r="Z359" s="459"/>
      <c r="AA359" s="459"/>
      <c r="AB359" s="459"/>
      <c r="AC359" s="459"/>
      <c r="AD359" s="459"/>
      <c r="AE359" s="459"/>
      <c r="AF359" s="459"/>
    </row>
    <row r="360">
      <c r="B360" s="459"/>
      <c r="C360" s="459"/>
      <c r="D360" s="459"/>
      <c r="E360" s="459"/>
      <c r="F360" s="459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9"/>
      <c r="Z360" s="459"/>
      <c r="AA360" s="459"/>
      <c r="AB360" s="459"/>
      <c r="AC360" s="459"/>
      <c r="AD360" s="459"/>
      <c r="AE360" s="459"/>
      <c r="AF360" s="459"/>
    </row>
    <row r="361">
      <c r="B361" s="459"/>
      <c r="C361" s="459"/>
      <c r="D361" s="459"/>
      <c r="E361" s="459"/>
      <c r="F361" s="459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9"/>
      <c r="Z361" s="459"/>
      <c r="AA361" s="459"/>
      <c r="AB361" s="459"/>
      <c r="AC361" s="459"/>
      <c r="AD361" s="459"/>
      <c r="AE361" s="459"/>
      <c r="AF361" s="459"/>
    </row>
    <row r="362">
      <c r="B362" s="459"/>
      <c r="C362" s="459"/>
      <c r="D362" s="459"/>
      <c r="E362" s="459"/>
      <c r="F362" s="459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9"/>
      <c r="Z362" s="459"/>
      <c r="AA362" s="459"/>
      <c r="AB362" s="459"/>
      <c r="AC362" s="459"/>
      <c r="AD362" s="459"/>
      <c r="AE362" s="459"/>
      <c r="AF362" s="459"/>
    </row>
    <row r="363">
      <c r="B363" s="459"/>
      <c r="C363" s="459"/>
      <c r="D363" s="459"/>
      <c r="E363" s="459"/>
      <c r="F363" s="459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9"/>
      <c r="Z363" s="459"/>
      <c r="AA363" s="459"/>
      <c r="AB363" s="459"/>
      <c r="AC363" s="459"/>
      <c r="AD363" s="459"/>
      <c r="AE363" s="459"/>
      <c r="AF363" s="459"/>
    </row>
    <row r="364">
      <c r="B364" s="459"/>
      <c r="C364" s="459"/>
      <c r="D364" s="459"/>
      <c r="E364" s="459"/>
      <c r="F364" s="459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9"/>
      <c r="Z364" s="459"/>
      <c r="AA364" s="459"/>
      <c r="AB364" s="459"/>
      <c r="AC364" s="459"/>
      <c r="AD364" s="459"/>
      <c r="AE364" s="459"/>
      <c r="AF364" s="459"/>
    </row>
    <row r="365">
      <c r="B365" s="459"/>
      <c r="C365" s="459"/>
      <c r="D365" s="459"/>
      <c r="E365" s="459"/>
      <c r="F365" s="459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9"/>
      <c r="Z365" s="459"/>
      <c r="AA365" s="459"/>
      <c r="AB365" s="459"/>
      <c r="AC365" s="459"/>
      <c r="AD365" s="459"/>
      <c r="AE365" s="459"/>
      <c r="AF365" s="459"/>
    </row>
    <row r="366">
      <c r="B366" s="459"/>
      <c r="C366" s="459"/>
      <c r="D366" s="459"/>
      <c r="E366" s="459"/>
      <c r="F366" s="459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9"/>
      <c r="Z366" s="459"/>
      <c r="AA366" s="459"/>
      <c r="AB366" s="459"/>
      <c r="AC366" s="459"/>
      <c r="AD366" s="459"/>
      <c r="AE366" s="459"/>
      <c r="AF366" s="459"/>
    </row>
    <row r="367">
      <c r="B367" s="459"/>
      <c r="C367" s="459"/>
      <c r="D367" s="459"/>
      <c r="E367" s="459"/>
      <c r="F367" s="459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9"/>
      <c r="Z367" s="459"/>
      <c r="AA367" s="459"/>
      <c r="AB367" s="459"/>
      <c r="AC367" s="459"/>
      <c r="AD367" s="459"/>
      <c r="AE367" s="459"/>
      <c r="AF367" s="459"/>
    </row>
    <row r="368">
      <c r="B368" s="459"/>
      <c r="C368" s="459"/>
      <c r="D368" s="459"/>
      <c r="E368" s="459"/>
      <c r="F368" s="459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9"/>
      <c r="Z368" s="459"/>
      <c r="AA368" s="459"/>
      <c r="AB368" s="459"/>
      <c r="AC368" s="459"/>
      <c r="AD368" s="459"/>
      <c r="AE368" s="459"/>
      <c r="AF368" s="459"/>
    </row>
    <row r="369">
      <c r="B369" s="459"/>
      <c r="C369" s="459"/>
      <c r="D369" s="459"/>
      <c r="E369" s="459"/>
      <c r="F369" s="459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9"/>
      <c r="Z369" s="459"/>
      <c r="AA369" s="459"/>
      <c r="AB369" s="459"/>
      <c r="AC369" s="459"/>
      <c r="AD369" s="459"/>
      <c r="AE369" s="459"/>
      <c r="AF369" s="459"/>
    </row>
    <row r="370">
      <c r="B370" s="459"/>
      <c r="C370" s="459"/>
      <c r="D370" s="459"/>
      <c r="E370" s="459"/>
      <c r="F370" s="459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9"/>
      <c r="Z370" s="459"/>
      <c r="AA370" s="459"/>
      <c r="AB370" s="459"/>
      <c r="AC370" s="459"/>
      <c r="AD370" s="459"/>
      <c r="AE370" s="459"/>
      <c r="AF370" s="459"/>
    </row>
    <row r="371">
      <c r="B371" s="459"/>
      <c r="C371" s="459"/>
      <c r="D371" s="459"/>
      <c r="E371" s="459"/>
      <c r="F371" s="459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9"/>
      <c r="Z371" s="459"/>
      <c r="AA371" s="459"/>
      <c r="AB371" s="459"/>
      <c r="AC371" s="459"/>
      <c r="AD371" s="459"/>
      <c r="AE371" s="459"/>
      <c r="AF371" s="459"/>
    </row>
    <row r="372">
      <c r="B372" s="459"/>
      <c r="C372" s="459"/>
      <c r="D372" s="459"/>
      <c r="E372" s="459"/>
      <c r="F372" s="459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9"/>
      <c r="Z372" s="459"/>
      <c r="AA372" s="459"/>
      <c r="AB372" s="459"/>
      <c r="AC372" s="459"/>
      <c r="AD372" s="459"/>
      <c r="AE372" s="459"/>
      <c r="AF372" s="459"/>
    </row>
    <row r="373">
      <c r="B373" s="459"/>
      <c r="C373" s="459"/>
      <c r="D373" s="459"/>
      <c r="E373" s="459"/>
      <c r="F373" s="459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9"/>
      <c r="Z373" s="459"/>
      <c r="AA373" s="459"/>
      <c r="AB373" s="459"/>
      <c r="AC373" s="459"/>
      <c r="AD373" s="459"/>
      <c r="AE373" s="459"/>
      <c r="AF373" s="459"/>
    </row>
    <row r="374">
      <c r="B374" s="459"/>
      <c r="C374" s="459"/>
      <c r="D374" s="459"/>
      <c r="E374" s="459"/>
      <c r="F374" s="459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9"/>
      <c r="Z374" s="459"/>
      <c r="AA374" s="459"/>
      <c r="AB374" s="459"/>
      <c r="AC374" s="459"/>
      <c r="AD374" s="459"/>
      <c r="AE374" s="459"/>
      <c r="AF374" s="459"/>
    </row>
    <row r="375">
      <c r="B375" s="459"/>
      <c r="C375" s="459"/>
      <c r="D375" s="459"/>
      <c r="E375" s="459"/>
      <c r="F375" s="459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9"/>
      <c r="Z375" s="459"/>
      <c r="AA375" s="459"/>
      <c r="AB375" s="459"/>
      <c r="AC375" s="459"/>
      <c r="AD375" s="459"/>
      <c r="AE375" s="459"/>
      <c r="AF375" s="459"/>
    </row>
    <row r="376">
      <c r="B376" s="459"/>
      <c r="C376" s="459"/>
      <c r="D376" s="459"/>
      <c r="E376" s="459"/>
      <c r="F376" s="459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9"/>
      <c r="Z376" s="459"/>
      <c r="AA376" s="459"/>
      <c r="AB376" s="459"/>
      <c r="AC376" s="459"/>
      <c r="AD376" s="459"/>
      <c r="AE376" s="459"/>
      <c r="AF376" s="459"/>
    </row>
    <row r="377">
      <c r="B377" s="459"/>
      <c r="C377" s="459"/>
      <c r="D377" s="459"/>
      <c r="E377" s="459"/>
      <c r="F377" s="459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9"/>
      <c r="Z377" s="459"/>
      <c r="AA377" s="459"/>
      <c r="AB377" s="459"/>
      <c r="AC377" s="459"/>
      <c r="AD377" s="459"/>
      <c r="AE377" s="459"/>
      <c r="AF377" s="459"/>
    </row>
    <row r="378">
      <c r="B378" s="459"/>
      <c r="C378" s="459"/>
      <c r="D378" s="459"/>
      <c r="E378" s="459"/>
      <c r="F378" s="459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9"/>
      <c r="Z378" s="459"/>
      <c r="AA378" s="459"/>
      <c r="AB378" s="459"/>
      <c r="AC378" s="459"/>
      <c r="AD378" s="459"/>
      <c r="AE378" s="459"/>
      <c r="AF378" s="459"/>
    </row>
    <row r="379">
      <c r="B379" s="459"/>
      <c r="C379" s="459"/>
      <c r="D379" s="459"/>
      <c r="E379" s="459"/>
      <c r="F379" s="459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9"/>
      <c r="Z379" s="459"/>
      <c r="AA379" s="459"/>
      <c r="AB379" s="459"/>
      <c r="AC379" s="459"/>
      <c r="AD379" s="459"/>
      <c r="AE379" s="459"/>
      <c r="AF379" s="459"/>
    </row>
    <row r="380">
      <c r="B380" s="459"/>
      <c r="C380" s="459"/>
      <c r="D380" s="459"/>
      <c r="E380" s="459"/>
      <c r="F380" s="459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9"/>
      <c r="Z380" s="459"/>
      <c r="AA380" s="459"/>
      <c r="AB380" s="459"/>
      <c r="AC380" s="459"/>
      <c r="AD380" s="459"/>
      <c r="AE380" s="459"/>
      <c r="AF380" s="459"/>
    </row>
    <row r="381">
      <c r="B381" s="459"/>
      <c r="C381" s="459"/>
      <c r="D381" s="459"/>
      <c r="E381" s="459"/>
      <c r="F381" s="459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9"/>
      <c r="Z381" s="459"/>
      <c r="AA381" s="459"/>
      <c r="AB381" s="459"/>
      <c r="AC381" s="459"/>
      <c r="AD381" s="459"/>
      <c r="AE381" s="459"/>
      <c r="AF381" s="459"/>
    </row>
    <row r="382">
      <c r="B382" s="459"/>
      <c r="C382" s="459"/>
      <c r="D382" s="459"/>
      <c r="E382" s="459"/>
      <c r="F382" s="459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9"/>
      <c r="Z382" s="459"/>
      <c r="AA382" s="459"/>
      <c r="AB382" s="459"/>
      <c r="AC382" s="459"/>
      <c r="AD382" s="459"/>
      <c r="AE382" s="459"/>
      <c r="AF382" s="459"/>
    </row>
    <row r="383">
      <c r="B383" s="459"/>
      <c r="C383" s="459"/>
      <c r="D383" s="459"/>
      <c r="E383" s="459"/>
      <c r="F383" s="459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9"/>
      <c r="Z383" s="459"/>
      <c r="AA383" s="459"/>
      <c r="AB383" s="459"/>
      <c r="AC383" s="459"/>
      <c r="AD383" s="459"/>
      <c r="AE383" s="459"/>
      <c r="AF383" s="459"/>
    </row>
    <row r="384">
      <c r="B384" s="459"/>
      <c r="C384" s="459"/>
      <c r="D384" s="459"/>
      <c r="E384" s="459"/>
      <c r="F384" s="459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9"/>
      <c r="Z384" s="459"/>
      <c r="AA384" s="459"/>
      <c r="AB384" s="459"/>
      <c r="AC384" s="459"/>
      <c r="AD384" s="459"/>
      <c r="AE384" s="459"/>
      <c r="AF384" s="459"/>
    </row>
    <row r="385">
      <c r="B385" s="459"/>
      <c r="C385" s="459"/>
      <c r="D385" s="459"/>
      <c r="E385" s="459"/>
      <c r="F385" s="459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9"/>
      <c r="Z385" s="459"/>
      <c r="AA385" s="459"/>
      <c r="AB385" s="459"/>
      <c r="AC385" s="459"/>
      <c r="AD385" s="459"/>
      <c r="AE385" s="459"/>
      <c r="AF385" s="459"/>
    </row>
    <row r="386">
      <c r="B386" s="459"/>
      <c r="C386" s="459"/>
      <c r="D386" s="459"/>
      <c r="E386" s="459"/>
      <c r="F386" s="459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9"/>
      <c r="Z386" s="459"/>
      <c r="AA386" s="459"/>
      <c r="AB386" s="459"/>
      <c r="AC386" s="459"/>
      <c r="AD386" s="459"/>
      <c r="AE386" s="459"/>
      <c r="AF386" s="459"/>
    </row>
    <row r="387">
      <c r="B387" s="459"/>
      <c r="C387" s="459"/>
      <c r="D387" s="459"/>
      <c r="E387" s="459"/>
      <c r="F387" s="459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9"/>
      <c r="Z387" s="459"/>
      <c r="AA387" s="459"/>
      <c r="AB387" s="459"/>
      <c r="AC387" s="459"/>
      <c r="AD387" s="459"/>
      <c r="AE387" s="459"/>
      <c r="AF387" s="459"/>
    </row>
    <row r="388">
      <c r="B388" s="459"/>
      <c r="C388" s="459"/>
      <c r="D388" s="459"/>
      <c r="E388" s="459"/>
      <c r="F388" s="459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9"/>
      <c r="Z388" s="459"/>
      <c r="AA388" s="459"/>
      <c r="AB388" s="459"/>
      <c r="AC388" s="459"/>
      <c r="AD388" s="459"/>
      <c r="AE388" s="459"/>
      <c r="AF388" s="459"/>
    </row>
    <row r="389">
      <c r="B389" s="459"/>
      <c r="C389" s="459"/>
      <c r="D389" s="459"/>
      <c r="E389" s="459"/>
      <c r="F389" s="459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9"/>
      <c r="Z389" s="459"/>
      <c r="AA389" s="459"/>
      <c r="AB389" s="459"/>
      <c r="AC389" s="459"/>
      <c r="AD389" s="459"/>
      <c r="AE389" s="459"/>
      <c r="AF389" s="459"/>
    </row>
    <row r="390">
      <c r="B390" s="459"/>
      <c r="C390" s="459"/>
      <c r="D390" s="459"/>
      <c r="E390" s="459"/>
      <c r="F390" s="459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9"/>
      <c r="Z390" s="459"/>
      <c r="AA390" s="459"/>
      <c r="AB390" s="459"/>
      <c r="AC390" s="459"/>
      <c r="AD390" s="459"/>
      <c r="AE390" s="459"/>
      <c r="AF390" s="459"/>
    </row>
    <row r="391">
      <c r="B391" s="459"/>
      <c r="C391" s="459"/>
      <c r="D391" s="459"/>
      <c r="E391" s="459"/>
      <c r="F391" s="459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9"/>
      <c r="Z391" s="459"/>
      <c r="AA391" s="459"/>
      <c r="AB391" s="459"/>
      <c r="AC391" s="459"/>
      <c r="AD391" s="459"/>
      <c r="AE391" s="459"/>
      <c r="AF391" s="459"/>
    </row>
    <row r="392">
      <c r="B392" s="459"/>
      <c r="C392" s="459"/>
      <c r="D392" s="459"/>
      <c r="E392" s="459"/>
      <c r="F392" s="459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9"/>
      <c r="Z392" s="459"/>
      <c r="AA392" s="459"/>
      <c r="AB392" s="459"/>
      <c r="AC392" s="459"/>
      <c r="AD392" s="459"/>
      <c r="AE392" s="459"/>
      <c r="AF392" s="459"/>
    </row>
    <row r="393">
      <c r="B393" s="459"/>
      <c r="C393" s="459"/>
      <c r="D393" s="459"/>
      <c r="E393" s="459"/>
      <c r="F393" s="459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9"/>
      <c r="Z393" s="459"/>
      <c r="AA393" s="459"/>
      <c r="AB393" s="459"/>
      <c r="AC393" s="459"/>
      <c r="AD393" s="459"/>
      <c r="AE393" s="459"/>
      <c r="AF393" s="459"/>
    </row>
    <row r="394">
      <c r="B394" s="459"/>
      <c r="C394" s="459"/>
      <c r="D394" s="459"/>
      <c r="E394" s="459"/>
      <c r="F394" s="459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9"/>
      <c r="Z394" s="459"/>
      <c r="AA394" s="459"/>
      <c r="AB394" s="459"/>
      <c r="AC394" s="459"/>
      <c r="AD394" s="459"/>
      <c r="AE394" s="459"/>
      <c r="AF394" s="459"/>
    </row>
    <row r="395">
      <c r="B395" s="459"/>
      <c r="C395" s="459"/>
      <c r="D395" s="459"/>
      <c r="E395" s="459"/>
      <c r="F395" s="459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9"/>
      <c r="Z395" s="459"/>
      <c r="AA395" s="459"/>
      <c r="AB395" s="459"/>
      <c r="AC395" s="459"/>
      <c r="AD395" s="459"/>
      <c r="AE395" s="459"/>
      <c r="AF395" s="459"/>
    </row>
    <row r="396">
      <c r="B396" s="459"/>
      <c r="C396" s="459"/>
      <c r="D396" s="459"/>
      <c r="E396" s="459"/>
      <c r="F396" s="459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9"/>
      <c r="Z396" s="459"/>
      <c r="AA396" s="459"/>
      <c r="AB396" s="459"/>
      <c r="AC396" s="459"/>
      <c r="AD396" s="459"/>
      <c r="AE396" s="459"/>
      <c r="AF396" s="459"/>
    </row>
    <row r="397">
      <c r="B397" s="459"/>
      <c r="C397" s="459"/>
      <c r="D397" s="459"/>
      <c r="E397" s="459"/>
      <c r="F397" s="459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9"/>
      <c r="Z397" s="459"/>
      <c r="AA397" s="459"/>
      <c r="AB397" s="459"/>
      <c r="AC397" s="459"/>
      <c r="AD397" s="459"/>
      <c r="AE397" s="459"/>
      <c r="AF397" s="459"/>
    </row>
    <row r="398">
      <c r="B398" s="459"/>
      <c r="C398" s="459"/>
      <c r="D398" s="459"/>
      <c r="E398" s="459"/>
      <c r="F398" s="459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9"/>
      <c r="Z398" s="459"/>
      <c r="AA398" s="459"/>
      <c r="AB398" s="459"/>
      <c r="AC398" s="459"/>
      <c r="AD398" s="459"/>
      <c r="AE398" s="459"/>
      <c r="AF398" s="459"/>
    </row>
    <row r="399">
      <c r="B399" s="459"/>
      <c r="C399" s="459"/>
      <c r="D399" s="459"/>
      <c r="E399" s="459"/>
      <c r="F399" s="459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9"/>
      <c r="Z399" s="459"/>
      <c r="AA399" s="459"/>
      <c r="AB399" s="459"/>
      <c r="AC399" s="459"/>
      <c r="AD399" s="459"/>
      <c r="AE399" s="459"/>
      <c r="AF399" s="459"/>
    </row>
    <row r="400">
      <c r="B400" s="459"/>
      <c r="C400" s="459"/>
      <c r="D400" s="459"/>
      <c r="E400" s="459"/>
      <c r="F400" s="459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9"/>
      <c r="Z400" s="459"/>
      <c r="AA400" s="459"/>
      <c r="AB400" s="459"/>
      <c r="AC400" s="459"/>
      <c r="AD400" s="459"/>
      <c r="AE400" s="459"/>
      <c r="AF400" s="459"/>
    </row>
    <row r="401">
      <c r="B401" s="459"/>
      <c r="C401" s="459"/>
      <c r="D401" s="459"/>
      <c r="E401" s="459"/>
      <c r="F401" s="459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9"/>
      <c r="Z401" s="459"/>
      <c r="AA401" s="459"/>
      <c r="AB401" s="459"/>
      <c r="AC401" s="459"/>
      <c r="AD401" s="459"/>
      <c r="AE401" s="459"/>
      <c r="AF401" s="459"/>
    </row>
    <row r="402">
      <c r="B402" s="459"/>
      <c r="C402" s="459"/>
      <c r="D402" s="459"/>
      <c r="E402" s="459"/>
      <c r="F402" s="459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9"/>
      <c r="Z402" s="459"/>
      <c r="AA402" s="459"/>
      <c r="AB402" s="459"/>
      <c r="AC402" s="459"/>
      <c r="AD402" s="459"/>
      <c r="AE402" s="459"/>
      <c r="AF402" s="459"/>
    </row>
    <row r="403">
      <c r="B403" s="459"/>
      <c r="C403" s="459"/>
      <c r="D403" s="459"/>
      <c r="E403" s="459"/>
      <c r="F403" s="459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9"/>
      <c r="Z403" s="459"/>
      <c r="AA403" s="459"/>
      <c r="AB403" s="459"/>
      <c r="AC403" s="459"/>
      <c r="AD403" s="459"/>
      <c r="AE403" s="459"/>
      <c r="AF403" s="459"/>
    </row>
    <row r="404">
      <c r="B404" s="459"/>
      <c r="C404" s="459"/>
      <c r="D404" s="459"/>
      <c r="E404" s="459"/>
      <c r="F404" s="459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9"/>
      <c r="Z404" s="459"/>
      <c r="AA404" s="459"/>
      <c r="AB404" s="459"/>
      <c r="AC404" s="459"/>
      <c r="AD404" s="459"/>
      <c r="AE404" s="459"/>
      <c r="AF404" s="459"/>
    </row>
    <row r="405">
      <c r="B405" s="459"/>
      <c r="C405" s="459"/>
      <c r="D405" s="459"/>
      <c r="E405" s="459"/>
      <c r="F405" s="459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9"/>
      <c r="Z405" s="459"/>
      <c r="AA405" s="459"/>
      <c r="AB405" s="459"/>
      <c r="AC405" s="459"/>
      <c r="AD405" s="459"/>
      <c r="AE405" s="459"/>
      <c r="AF405" s="459"/>
    </row>
    <row r="406">
      <c r="B406" s="459"/>
      <c r="C406" s="459"/>
      <c r="D406" s="459"/>
      <c r="E406" s="459"/>
      <c r="F406" s="459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9"/>
      <c r="Z406" s="459"/>
      <c r="AA406" s="459"/>
      <c r="AB406" s="459"/>
      <c r="AC406" s="459"/>
      <c r="AD406" s="459"/>
      <c r="AE406" s="459"/>
      <c r="AF406" s="459"/>
    </row>
    <row r="407">
      <c r="B407" s="459"/>
      <c r="C407" s="459"/>
      <c r="D407" s="459"/>
      <c r="E407" s="459"/>
      <c r="F407" s="459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9"/>
      <c r="Z407" s="459"/>
      <c r="AA407" s="459"/>
      <c r="AB407" s="459"/>
      <c r="AC407" s="459"/>
      <c r="AD407" s="459"/>
      <c r="AE407" s="459"/>
      <c r="AF407" s="459"/>
    </row>
    <row r="408">
      <c r="B408" s="459"/>
      <c r="C408" s="459"/>
      <c r="D408" s="459"/>
      <c r="E408" s="459"/>
      <c r="F408" s="459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9"/>
      <c r="Z408" s="459"/>
      <c r="AA408" s="459"/>
      <c r="AB408" s="459"/>
      <c r="AC408" s="459"/>
      <c r="AD408" s="459"/>
      <c r="AE408" s="459"/>
      <c r="AF408" s="459"/>
    </row>
    <row r="409">
      <c r="B409" s="459"/>
      <c r="C409" s="459"/>
      <c r="D409" s="459"/>
      <c r="E409" s="459"/>
      <c r="F409" s="459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9"/>
      <c r="Z409" s="459"/>
      <c r="AA409" s="459"/>
      <c r="AB409" s="459"/>
      <c r="AC409" s="459"/>
      <c r="AD409" s="459"/>
      <c r="AE409" s="459"/>
      <c r="AF409" s="459"/>
    </row>
    <row r="410">
      <c r="B410" s="459"/>
      <c r="C410" s="459"/>
      <c r="D410" s="459"/>
      <c r="E410" s="459"/>
      <c r="F410" s="459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9"/>
      <c r="Z410" s="459"/>
      <c r="AA410" s="459"/>
      <c r="AB410" s="459"/>
      <c r="AC410" s="459"/>
      <c r="AD410" s="459"/>
      <c r="AE410" s="459"/>
      <c r="AF410" s="459"/>
    </row>
    <row r="411">
      <c r="B411" s="459"/>
      <c r="C411" s="459"/>
      <c r="D411" s="459"/>
      <c r="E411" s="459"/>
      <c r="F411" s="459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9"/>
      <c r="Z411" s="459"/>
      <c r="AA411" s="459"/>
      <c r="AB411" s="459"/>
      <c r="AC411" s="459"/>
      <c r="AD411" s="459"/>
      <c r="AE411" s="459"/>
      <c r="AF411" s="459"/>
    </row>
    <row r="412">
      <c r="B412" s="459"/>
      <c r="C412" s="459"/>
      <c r="D412" s="459"/>
      <c r="E412" s="459"/>
      <c r="F412" s="459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9"/>
      <c r="Z412" s="459"/>
      <c r="AA412" s="459"/>
      <c r="AB412" s="459"/>
      <c r="AC412" s="459"/>
      <c r="AD412" s="459"/>
      <c r="AE412" s="459"/>
      <c r="AF412" s="459"/>
    </row>
    <row r="413">
      <c r="B413" s="459"/>
      <c r="C413" s="459"/>
      <c r="D413" s="459"/>
      <c r="E413" s="459"/>
      <c r="F413" s="459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9"/>
      <c r="Z413" s="459"/>
      <c r="AA413" s="459"/>
      <c r="AB413" s="459"/>
      <c r="AC413" s="459"/>
      <c r="AD413" s="459"/>
      <c r="AE413" s="459"/>
      <c r="AF413" s="459"/>
    </row>
    <row r="414">
      <c r="B414" s="459"/>
      <c r="C414" s="459"/>
      <c r="D414" s="459"/>
      <c r="E414" s="459"/>
      <c r="F414" s="459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9"/>
      <c r="Z414" s="459"/>
      <c r="AA414" s="459"/>
      <c r="AB414" s="459"/>
      <c r="AC414" s="459"/>
      <c r="AD414" s="459"/>
      <c r="AE414" s="459"/>
      <c r="AF414" s="459"/>
    </row>
    <row r="415">
      <c r="B415" s="459"/>
      <c r="C415" s="459"/>
      <c r="D415" s="459"/>
      <c r="E415" s="459"/>
      <c r="F415" s="459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9"/>
      <c r="Z415" s="459"/>
      <c r="AA415" s="459"/>
      <c r="AB415" s="459"/>
      <c r="AC415" s="459"/>
      <c r="AD415" s="459"/>
      <c r="AE415" s="459"/>
      <c r="AF415" s="459"/>
    </row>
    <row r="416">
      <c r="B416" s="459"/>
      <c r="C416" s="459"/>
      <c r="D416" s="459"/>
      <c r="E416" s="459"/>
      <c r="F416" s="459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9"/>
      <c r="Z416" s="459"/>
      <c r="AA416" s="459"/>
      <c r="AB416" s="459"/>
      <c r="AC416" s="459"/>
      <c r="AD416" s="459"/>
      <c r="AE416" s="459"/>
      <c r="AF416" s="459"/>
    </row>
    <row r="417">
      <c r="B417" s="459"/>
      <c r="C417" s="459"/>
      <c r="D417" s="459"/>
      <c r="E417" s="459"/>
      <c r="F417" s="459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9"/>
      <c r="Z417" s="459"/>
      <c r="AA417" s="459"/>
      <c r="AB417" s="459"/>
      <c r="AC417" s="459"/>
      <c r="AD417" s="459"/>
      <c r="AE417" s="459"/>
      <c r="AF417" s="459"/>
    </row>
    <row r="418">
      <c r="B418" s="459"/>
      <c r="C418" s="459"/>
      <c r="D418" s="459"/>
      <c r="E418" s="459"/>
      <c r="F418" s="459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9"/>
      <c r="Z418" s="459"/>
      <c r="AA418" s="459"/>
      <c r="AB418" s="459"/>
      <c r="AC418" s="459"/>
      <c r="AD418" s="459"/>
      <c r="AE418" s="459"/>
      <c r="AF418" s="459"/>
    </row>
    <row r="419">
      <c r="B419" s="459"/>
      <c r="C419" s="459"/>
      <c r="D419" s="459"/>
      <c r="E419" s="459"/>
      <c r="F419" s="459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9"/>
      <c r="Z419" s="459"/>
      <c r="AA419" s="459"/>
      <c r="AB419" s="459"/>
      <c r="AC419" s="459"/>
      <c r="AD419" s="459"/>
      <c r="AE419" s="459"/>
      <c r="AF419" s="459"/>
    </row>
    <row r="420">
      <c r="B420" s="459"/>
      <c r="C420" s="459"/>
      <c r="D420" s="459"/>
      <c r="E420" s="459"/>
      <c r="F420" s="459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9"/>
      <c r="Z420" s="459"/>
      <c r="AA420" s="459"/>
      <c r="AB420" s="459"/>
      <c r="AC420" s="459"/>
      <c r="AD420" s="459"/>
      <c r="AE420" s="459"/>
      <c r="AF420" s="459"/>
    </row>
    <row r="421">
      <c r="B421" s="459"/>
      <c r="C421" s="459"/>
      <c r="D421" s="459"/>
      <c r="E421" s="459"/>
      <c r="F421" s="459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9"/>
      <c r="Z421" s="459"/>
      <c r="AA421" s="459"/>
      <c r="AB421" s="459"/>
      <c r="AC421" s="459"/>
      <c r="AD421" s="459"/>
      <c r="AE421" s="459"/>
      <c r="AF421" s="459"/>
    </row>
    <row r="422">
      <c r="B422" s="459"/>
      <c r="C422" s="459"/>
      <c r="D422" s="459"/>
      <c r="E422" s="459"/>
      <c r="F422" s="459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9"/>
      <c r="Z422" s="459"/>
      <c r="AA422" s="459"/>
      <c r="AB422" s="459"/>
      <c r="AC422" s="459"/>
      <c r="AD422" s="459"/>
      <c r="AE422" s="459"/>
      <c r="AF422" s="459"/>
    </row>
    <row r="423">
      <c r="B423" s="459"/>
      <c r="C423" s="459"/>
      <c r="D423" s="459"/>
      <c r="E423" s="459"/>
      <c r="F423" s="459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9"/>
      <c r="Z423" s="459"/>
      <c r="AA423" s="459"/>
      <c r="AB423" s="459"/>
      <c r="AC423" s="459"/>
      <c r="AD423" s="459"/>
      <c r="AE423" s="459"/>
      <c r="AF423" s="459"/>
    </row>
    <row r="424">
      <c r="B424" s="459"/>
      <c r="C424" s="459"/>
      <c r="D424" s="459"/>
      <c r="E424" s="459"/>
      <c r="F424" s="459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9"/>
      <c r="Z424" s="459"/>
      <c r="AA424" s="459"/>
      <c r="AB424" s="459"/>
      <c r="AC424" s="459"/>
      <c r="AD424" s="459"/>
      <c r="AE424" s="459"/>
      <c r="AF424" s="459"/>
    </row>
    <row r="425">
      <c r="B425" s="459"/>
      <c r="C425" s="459"/>
      <c r="D425" s="459"/>
      <c r="E425" s="459"/>
      <c r="F425" s="459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9"/>
      <c r="Z425" s="459"/>
      <c r="AA425" s="459"/>
      <c r="AB425" s="459"/>
      <c r="AC425" s="459"/>
      <c r="AD425" s="459"/>
      <c r="AE425" s="459"/>
      <c r="AF425" s="459"/>
    </row>
    <row r="426">
      <c r="B426" s="459"/>
      <c r="C426" s="459"/>
      <c r="D426" s="459"/>
      <c r="E426" s="459"/>
      <c r="F426" s="459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9"/>
      <c r="Z426" s="459"/>
      <c r="AA426" s="459"/>
      <c r="AB426" s="459"/>
      <c r="AC426" s="459"/>
      <c r="AD426" s="459"/>
      <c r="AE426" s="459"/>
      <c r="AF426" s="459"/>
    </row>
    <row r="427">
      <c r="B427" s="459"/>
      <c r="C427" s="459"/>
      <c r="D427" s="459"/>
      <c r="E427" s="459"/>
      <c r="F427" s="459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9"/>
      <c r="Z427" s="459"/>
      <c r="AA427" s="459"/>
      <c r="AB427" s="459"/>
      <c r="AC427" s="459"/>
      <c r="AD427" s="459"/>
      <c r="AE427" s="459"/>
      <c r="AF427" s="459"/>
    </row>
    <row r="428">
      <c r="B428" s="459"/>
      <c r="C428" s="459"/>
      <c r="D428" s="459"/>
      <c r="E428" s="459"/>
      <c r="F428" s="459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9"/>
      <c r="Z428" s="459"/>
      <c r="AA428" s="459"/>
      <c r="AB428" s="459"/>
      <c r="AC428" s="459"/>
      <c r="AD428" s="459"/>
      <c r="AE428" s="459"/>
      <c r="AF428" s="459"/>
    </row>
    <row r="429">
      <c r="B429" s="459"/>
      <c r="C429" s="459"/>
      <c r="D429" s="459"/>
      <c r="E429" s="459"/>
      <c r="F429" s="459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9"/>
      <c r="Z429" s="459"/>
      <c r="AA429" s="459"/>
      <c r="AB429" s="459"/>
      <c r="AC429" s="459"/>
      <c r="AD429" s="459"/>
      <c r="AE429" s="459"/>
      <c r="AF429" s="459"/>
    </row>
    <row r="430">
      <c r="B430" s="459"/>
      <c r="C430" s="459"/>
      <c r="D430" s="459"/>
      <c r="E430" s="459"/>
      <c r="F430" s="459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9"/>
      <c r="Z430" s="459"/>
      <c r="AA430" s="459"/>
      <c r="AB430" s="459"/>
      <c r="AC430" s="459"/>
      <c r="AD430" s="459"/>
      <c r="AE430" s="459"/>
      <c r="AF430" s="459"/>
    </row>
    <row r="431">
      <c r="B431" s="459"/>
      <c r="C431" s="459"/>
      <c r="D431" s="459"/>
      <c r="E431" s="459"/>
      <c r="F431" s="459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9"/>
      <c r="Z431" s="459"/>
      <c r="AA431" s="459"/>
      <c r="AB431" s="459"/>
      <c r="AC431" s="459"/>
      <c r="AD431" s="459"/>
      <c r="AE431" s="459"/>
      <c r="AF431" s="459"/>
    </row>
    <row r="432">
      <c r="B432" s="459"/>
      <c r="C432" s="459"/>
      <c r="D432" s="459"/>
      <c r="E432" s="459"/>
      <c r="F432" s="459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9"/>
      <c r="Z432" s="459"/>
      <c r="AA432" s="459"/>
      <c r="AB432" s="459"/>
      <c r="AC432" s="459"/>
      <c r="AD432" s="459"/>
      <c r="AE432" s="459"/>
      <c r="AF432" s="459"/>
    </row>
    <row r="433">
      <c r="B433" s="459"/>
      <c r="C433" s="459"/>
      <c r="D433" s="459"/>
      <c r="E433" s="459"/>
      <c r="F433" s="459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9"/>
      <c r="Z433" s="459"/>
      <c r="AA433" s="459"/>
      <c r="AB433" s="459"/>
      <c r="AC433" s="459"/>
      <c r="AD433" s="459"/>
      <c r="AE433" s="459"/>
      <c r="AF433" s="459"/>
    </row>
    <row r="434">
      <c r="B434" s="459"/>
      <c r="C434" s="459"/>
      <c r="D434" s="459"/>
      <c r="E434" s="459"/>
      <c r="F434" s="459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9"/>
      <c r="Z434" s="459"/>
      <c r="AA434" s="459"/>
      <c r="AB434" s="459"/>
      <c r="AC434" s="459"/>
      <c r="AD434" s="459"/>
      <c r="AE434" s="459"/>
      <c r="AF434" s="459"/>
    </row>
    <row r="435">
      <c r="B435" s="459"/>
      <c r="C435" s="459"/>
      <c r="D435" s="459"/>
      <c r="E435" s="459"/>
      <c r="F435" s="459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9"/>
      <c r="Z435" s="459"/>
      <c r="AA435" s="459"/>
      <c r="AB435" s="459"/>
      <c r="AC435" s="459"/>
      <c r="AD435" s="459"/>
      <c r="AE435" s="459"/>
      <c r="AF435" s="459"/>
    </row>
    <row r="436">
      <c r="B436" s="459"/>
      <c r="C436" s="459"/>
      <c r="D436" s="459"/>
      <c r="E436" s="459"/>
      <c r="F436" s="459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9"/>
      <c r="Z436" s="459"/>
      <c r="AA436" s="459"/>
      <c r="AB436" s="459"/>
      <c r="AC436" s="459"/>
      <c r="AD436" s="459"/>
      <c r="AE436" s="459"/>
      <c r="AF436" s="459"/>
    </row>
    <row r="437">
      <c r="B437" s="459"/>
      <c r="C437" s="459"/>
      <c r="D437" s="459"/>
      <c r="E437" s="459"/>
      <c r="F437" s="459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9"/>
      <c r="Z437" s="459"/>
      <c r="AA437" s="459"/>
      <c r="AB437" s="459"/>
      <c r="AC437" s="459"/>
      <c r="AD437" s="459"/>
      <c r="AE437" s="459"/>
      <c r="AF437" s="459"/>
    </row>
    <row r="438">
      <c r="B438" s="459"/>
      <c r="C438" s="459"/>
      <c r="D438" s="459"/>
      <c r="E438" s="459"/>
      <c r="F438" s="459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9"/>
      <c r="Z438" s="459"/>
      <c r="AA438" s="459"/>
      <c r="AB438" s="459"/>
      <c r="AC438" s="459"/>
      <c r="AD438" s="459"/>
      <c r="AE438" s="459"/>
      <c r="AF438" s="459"/>
    </row>
    <row r="439">
      <c r="B439" s="459"/>
      <c r="C439" s="459"/>
      <c r="D439" s="459"/>
      <c r="E439" s="459"/>
      <c r="F439" s="459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9"/>
      <c r="Z439" s="459"/>
      <c r="AA439" s="459"/>
      <c r="AB439" s="459"/>
      <c r="AC439" s="459"/>
      <c r="AD439" s="459"/>
      <c r="AE439" s="459"/>
      <c r="AF439" s="459"/>
    </row>
    <row r="440">
      <c r="B440" s="459"/>
      <c r="C440" s="459"/>
      <c r="D440" s="459"/>
      <c r="E440" s="459"/>
      <c r="F440" s="459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9"/>
      <c r="Z440" s="459"/>
      <c r="AA440" s="459"/>
      <c r="AB440" s="459"/>
      <c r="AC440" s="459"/>
      <c r="AD440" s="459"/>
      <c r="AE440" s="459"/>
      <c r="AF440" s="459"/>
    </row>
    <row r="441">
      <c r="B441" s="459"/>
      <c r="C441" s="459"/>
      <c r="D441" s="459"/>
      <c r="E441" s="459"/>
      <c r="F441" s="459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9"/>
      <c r="Z441" s="459"/>
      <c r="AA441" s="459"/>
      <c r="AB441" s="459"/>
      <c r="AC441" s="459"/>
      <c r="AD441" s="459"/>
      <c r="AE441" s="459"/>
      <c r="AF441" s="459"/>
    </row>
    <row r="442">
      <c r="B442" s="459"/>
      <c r="C442" s="459"/>
      <c r="D442" s="459"/>
      <c r="E442" s="459"/>
      <c r="F442" s="459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9"/>
      <c r="Z442" s="459"/>
      <c r="AA442" s="459"/>
      <c r="AB442" s="459"/>
      <c r="AC442" s="459"/>
      <c r="AD442" s="459"/>
      <c r="AE442" s="459"/>
      <c r="AF442" s="459"/>
    </row>
    <row r="443">
      <c r="B443" s="459"/>
      <c r="C443" s="459"/>
      <c r="D443" s="459"/>
      <c r="E443" s="459"/>
      <c r="F443" s="459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9"/>
      <c r="Z443" s="459"/>
      <c r="AA443" s="459"/>
      <c r="AB443" s="459"/>
      <c r="AC443" s="459"/>
      <c r="AD443" s="459"/>
      <c r="AE443" s="459"/>
      <c r="AF443" s="459"/>
    </row>
    <row r="444">
      <c r="B444" s="459"/>
      <c r="C444" s="459"/>
      <c r="D444" s="459"/>
      <c r="E444" s="459"/>
      <c r="F444" s="459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9"/>
      <c r="Z444" s="459"/>
      <c r="AA444" s="459"/>
      <c r="AB444" s="459"/>
      <c r="AC444" s="459"/>
      <c r="AD444" s="459"/>
      <c r="AE444" s="459"/>
      <c r="AF444" s="459"/>
    </row>
    <row r="445">
      <c r="B445" s="459"/>
      <c r="C445" s="459"/>
      <c r="D445" s="459"/>
      <c r="E445" s="459"/>
      <c r="F445" s="459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9"/>
      <c r="Z445" s="459"/>
      <c r="AA445" s="459"/>
      <c r="AB445" s="459"/>
      <c r="AC445" s="459"/>
      <c r="AD445" s="459"/>
      <c r="AE445" s="459"/>
      <c r="AF445" s="459"/>
    </row>
    <row r="446">
      <c r="B446" s="459"/>
      <c r="C446" s="459"/>
      <c r="D446" s="459"/>
      <c r="E446" s="459"/>
      <c r="F446" s="459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9"/>
      <c r="Z446" s="459"/>
      <c r="AA446" s="459"/>
      <c r="AB446" s="459"/>
      <c r="AC446" s="459"/>
      <c r="AD446" s="459"/>
      <c r="AE446" s="459"/>
      <c r="AF446" s="459"/>
    </row>
    <row r="447">
      <c r="B447" s="459"/>
      <c r="C447" s="459"/>
      <c r="D447" s="459"/>
      <c r="E447" s="459"/>
      <c r="F447" s="459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9"/>
      <c r="Z447" s="459"/>
      <c r="AA447" s="459"/>
      <c r="AB447" s="459"/>
      <c r="AC447" s="459"/>
      <c r="AD447" s="459"/>
      <c r="AE447" s="459"/>
      <c r="AF447" s="459"/>
    </row>
    <row r="448">
      <c r="B448" s="459"/>
      <c r="C448" s="459"/>
      <c r="D448" s="459"/>
      <c r="E448" s="459"/>
      <c r="F448" s="459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9"/>
      <c r="Z448" s="459"/>
      <c r="AA448" s="459"/>
      <c r="AB448" s="459"/>
      <c r="AC448" s="459"/>
      <c r="AD448" s="459"/>
      <c r="AE448" s="459"/>
      <c r="AF448" s="459"/>
    </row>
    <row r="449">
      <c r="B449" s="459"/>
      <c r="C449" s="459"/>
      <c r="D449" s="459"/>
      <c r="E449" s="459"/>
      <c r="F449" s="459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9"/>
      <c r="Z449" s="459"/>
      <c r="AA449" s="459"/>
      <c r="AB449" s="459"/>
      <c r="AC449" s="459"/>
      <c r="AD449" s="459"/>
      <c r="AE449" s="459"/>
      <c r="AF449" s="459"/>
    </row>
    <row r="450">
      <c r="B450" s="459"/>
      <c r="C450" s="459"/>
      <c r="D450" s="459"/>
      <c r="E450" s="459"/>
      <c r="F450" s="459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9"/>
      <c r="Z450" s="459"/>
      <c r="AA450" s="459"/>
      <c r="AB450" s="459"/>
      <c r="AC450" s="459"/>
      <c r="AD450" s="459"/>
      <c r="AE450" s="459"/>
      <c r="AF450" s="459"/>
    </row>
    <row r="451">
      <c r="B451" s="459"/>
      <c r="C451" s="459"/>
      <c r="D451" s="459"/>
      <c r="E451" s="459"/>
      <c r="F451" s="459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9"/>
      <c r="Z451" s="459"/>
      <c r="AA451" s="459"/>
      <c r="AB451" s="459"/>
      <c r="AC451" s="459"/>
      <c r="AD451" s="459"/>
      <c r="AE451" s="459"/>
      <c r="AF451" s="459"/>
    </row>
    <row r="452">
      <c r="B452" s="459"/>
      <c r="C452" s="459"/>
      <c r="D452" s="459"/>
      <c r="E452" s="459"/>
      <c r="F452" s="459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9"/>
      <c r="Z452" s="459"/>
      <c r="AA452" s="459"/>
      <c r="AB452" s="459"/>
      <c r="AC452" s="459"/>
      <c r="AD452" s="459"/>
      <c r="AE452" s="459"/>
      <c r="AF452" s="459"/>
    </row>
    <row r="453">
      <c r="B453" s="459"/>
      <c r="C453" s="459"/>
      <c r="D453" s="459"/>
      <c r="E453" s="459"/>
      <c r="F453" s="459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9"/>
      <c r="Z453" s="459"/>
      <c r="AA453" s="459"/>
      <c r="AB453" s="459"/>
      <c r="AC453" s="459"/>
      <c r="AD453" s="459"/>
      <c r="AE453" s="459"/>
      <c r="AF453" s="459"/>
    </row>
    <row r="454">
      <c r="B454" s="459"/>
      <c r="C454" s="459"/>
      <c r="D454" s="459"/>
      <c r="E454" s="459"/>
      <c r="F454" s="459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9"/>
      <c r="Z454" s="459"/>
      <c r="AA454" s="459"/>
      <c r="AB454" s="459"/>
      <c r="AC454" s="459"/>
      <c r="AD454" s="459"/>
      <c r="AE454" s="459"/>
      <c r="AF454" s="459"/>
    </row>
    <row r="455">
      <c r="B455" s="459"/>
      <c r="C455" s="459"/>
      <c r="D455" s="459"/>
      <c r="E455" s="459"/>
      <c r="F455" s="459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9"/>
      <c r="Z455" s="459"/>
      <c r="AA455" s="459"/>
      <c r="AB455" s="459"/>
      <c r="AC455" s="459"/>
      <c r="AD455" s="459"/>
      <c r="AE455" s="459"/>
      <c r="AF455" s="459"/>
    </row>
    <row r="456">
      <c r="B456" s="459"/>
      <c r="C456" s="459"/>
      <c r="D456" s="459"/>
      <c r="E456" s="459"/>
      <c r="F456" s="459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9"/>
      <c r="Z456" s="459"/>
      <c r="AA456" s="459"/>
      <c r="AB456" s="459"/>
      <c r="AC456" s="459"/>
      <c r="AD456" s="459"/>
      <c r="AE456" s="459"/>
      <c r="AF456" s="459"/>
    </row>
    <row r="457">
      <c r="B457" s="459"/>
      <c r="C457" s="459"/>
      <c r="D457" s="459"/>
      <c r="E457" s="459"/>
      <c r="F457" s="459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9"/>
      <c r="Z457" s="459"/>
      <c r="AA457" s="459"/>
      <c r="AB457" s="459"/>
      <c r="AC457" s="459"/>
      <c r="AD457" s="459"/>
      <c r="AE457" s="459"/>
      <c r="AF457" s="459"/>
    </row>
    <row r="458">
      <c r="B458" s="459"/>
      <c r="C458" s="459"/>
      <c r="D458" s="459"/>
      <c r="E458" s="459"/>
      <c r="F458" s="459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9"/>
      <c r="Z458" s="459"/>
      <c r="AA458" s="459"/>
      <c r="AB458" s="459"/>
      <c r="AC458" s="459"/>
      <c r="AD458" s="459"/>
      <c r="AE458" s="459"/>
      <c r="AF458" s="459"/>
    </row>
    <row r="459">
      <c r="B459" s="459"/>
      <c r="C459" s="459"/>
      <c r="D459" s="459"/>
      <c r="E459" s="459"/>
      <c r="F459" s="459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9"/>
      <c r="Z459" s="459"/>
      <c r="AA459" s="459"/>
      <c r="AB459" s="459"/>
      <c r="AC459" s="459"/>
      <c r="AD459" s="459"/>
      <c r="AE459" s="459"/>
      <c r="AF459" s="459"/>
    </row>
    <row r="460">
      <c r="B460" s="459"/>
      <c r="C460" s="459"/>
      <c r="D460" s="459"/>
      <c r="E460" s="459"/>
      <c r="F460" s="459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9"/>
      <c r="Z460" s="459"/>
      <c r="AA460" s="459"/>
      <c r="AB460" s="459"/>
      <c r="AC460" s="459"/>
      <c r="AD460" s="459"/>
      <c r="AE460" s="459"/>
      <c r="AF460" s="459"/>
    </row>
    <row r="461">
      <c r="B461" s="459"/>
      <c r="C461" s="459"/>
      <c r="D461" s="459"/>
      <c r="E461" s="459"/>
      <c r="F461" s="459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9"/>
      <c r="Z461" s="459"/>
      <c r="AA461" s="459"/>
      <c r="AB461" s="459"/>
      <c r="AC461" s="459"/>
      <c r="AD461" s="459"/>
      <c r="AE461" s="459"/>
      <c r="AF461" s="459"/>
    </row>
    <row r="462">
      <c r="B462" s="459"/>
      <c r="C462" s="459"/>
      <c r="D462" s="459"/>
      <c r="E462" s="459"/>
      <c r="F462" s="459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9"/>
      <c r="Z462" s="459"/>
      <c r="AA462" s="459"/>
      <c r="AB462" s="459"/>
      <c r="AC462" s="459"/>
      <c r="AD462" s="459"/>
      <c r="AE462" s="459"/>
      <c r="AF462" s="459"/>
    </row>
    <row r="463">
      <c r="B463" s="459"/>
      <c r="C463" s="459"/>
      <c r="D463" s="459"/>
      <c r="E463" s="459"/>
      <c r="F463" s="459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9"/>
      <c r="Z463" s="459"/>
      <c r="AA463" s="459"/>
      <c r="AB463" s="459"/>
      <c r="AC463" s="459"/>
      <c r="AD463" s="459"/>
      <c r="AE463" s="459"/>
      <c r="AF463" s="459"/>
    </row>
    <row r="464">
      <c r="B464" s="459"/>
      <c r="C464" s="459"/>
      <c r="D464" s="459"/>
      <c r="E464" s="459"/>
      <c r="F464" s="459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9"/>
      <c r="Z464" s="459"/>
      <c r="AA464" s="459"/>
      <c r="AB464" s="459"/>
      <c r="AC464" s="459"/>
      <c r="AD464" s="459"/>
      <c r="AE464" s="459"/>
      <c r="AF464" s="459"/>
    </row>
    <row r="465">
      <c r="B465" s="459"/>
      <c r="C465" s="459"/>
      <c r="D465" s="459"/>
      <c r="E465" s="459"/>
      <c r="F465" s="459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9"/>
      <c r="Z465" s="459"/>
      <c r="AA465" s="459"/>
      <c r="AB465" s="459"/>
      <c r="AC465" s="459"/>
      <c r="AD465" s="459"/>
      <c r="AE465" s="459"/>
      <c r="AF465" s="459"/>
    </row>
    <row r="466">
      <c r="B466" s="459"/>
      <c r="C466" s="459"/>
      <c r="D466" s="459"/>
      <c r="E466" s="459"/>
      <c r="F466" s="459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9"/>
      <c r="Z466" s="459"/>
      <c r="AA466" s="459"/>
      <c r="AB466" s="459"/>
      <c r="AC466" s="459"/>
      <c r="AD466" s="459"/>
      <c r="AE466" s="459"/>
      <c r="AF466" s="459"/>
    </row>
    <row r="467">
      <c r="B467" s="459"/>
      <c r="C467" s="459"/>
      <c r="D467" s="459"/>
      <c r="E467" s="459"/>
      <c r="F467" s="459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9"/>
      <c r="Z467" s="459"/>
      <c r="AA467" s="459"/>
      <c r="AB467" s="459"/>
      <c r="AC467" s="459"/>
      <c r="AD467" s="459"/>
      <c r="AE467" s="459"/>
      <c r="AF467" s="459"/>
    </row>
    <row r="468">
      <c r="B468" s="459"/>
      <c r="C468" s="459"/>
      <c r="D468" s="459"/>
      <c r="E468" s="459"/>
      <c r="F468" s="459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9"/>
      <c r="Z468" s="459"/>
      <c r="AA468" s="459"/>
      <c r="AB468" s="459"/>
      <c r="AC468" s="459"/>
      <c r="AD468" s="459"/>
      <c r="AE468" s="459"/>
      <c r="AF468" s="459"/>
    </row>
    <row r="469">
      <c r="B469" s="459"/>
      <c r="C469" s="459"/>
      <c r="D469" s="459"/>
      <c r="E469" s="459"/>
      <c r="F469" s="459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9"/>
      <c r="Z469" s="459"/>
      <c r="AA469" s="459"/>
      <c r="AB469" s="459"/>
      <c r="AC469" s="459"/>
      <c r="AD469" s="459"/>
      <c r="AE469" s="459"/>
      <c r="AF469" s="459"/>
    </row>
    <row r="470">
      <c r="B470" s="459"/>
      <c r="C470" s="459"/>
      <c r="D470" s="459"/>
      <c r="E470" s="459"/>
      <c r="F470" s="459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9"/>
      <c r="Z470" s="459"/>
      <c r="AA470" s="459"/>
      <c r="AB470" s="459"/>
      <c r="AC470" s="459"/>
      <c r="AD470" s="459"/>
      <c r="AE470" s="459"/>
      <c r="AF470" s="459"/>
    </row>
    <row r="471">
      <c r="B471" s="459"/>
      <c r="C471" s="459"/>
      <c r="D471" s="459"/>
      <c r="E471" s="459"/>
      <c r="F471" s="459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9"/>
      <c r="Z471" s="459"/>
      <c r="AA471" s="459"/>
      <c r="AB471" s="459"/>
      <c r="AC471" s="459"/>
      <c r="AD471" s="459"/>
      <c r="AE471" s="459"/>
      <c r="AF471" s="459"/>
    </row>
    <row r="472">
      <c r="B472" s="459"/>
      <c r="C472" s="459"/>
      <c r="D472" s="459"/>
      <c r="E472" s="459"/>
      <c r="F472" s="459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9"/>
      <c r="Z472" s="459"/>
      <c r="AA472" s="459"/>
      <c r="AB472" s="459"/>
      <c r="AC472" s="459"/>
      <c r="AD472" s="459"/>
      <c r="AE472" s="459"/>
      <c r="AF472" s="459"/>
    </row>
    <row r="473">
      <c r="B473" s="459"/>
      <c r="C473" s="459"/>
      <c r="D473" s="459"/>
      <c r="E473" s="459"/>
      <c r="F473" s="459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9"/>
      <c r="Z473" s="459"/>
      <c r="AA473" s="459"/>
      <c r="AB473" s="459"/>
      <c r="AC473" s="459"/>
      <c r="AD473" s="459"/>
      <c r="AE473" s="459"/>
      <c r="AF473" s="459"/>
    </row>
    <row r="474">
      <c r="B474" s="459"/>
      <c r="C474" s="459"/>
      <c r="D474" s="459"/>
      <c r="E474" s="459"/>
      <c r="F474" s="459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9"/>
      <c r="Z474" s="459"/>
      <c r="AA474" s="459"/>
      <c r="AB474" s="459"/>
      <c r="AC474" s="459"/>
      <c r="AD474" s="459"/>
      <c r="AE474" s="459"/>
      <c r="AF474" s="459"/>
    </row>
    <row r="475">
      <c r="B475" s="459"/>
      <c r="C475" s="459"/>
      <c r="D475" s="459"/>
      <c r="E475" s="459"/>
      <c r="F475" s="459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9"/>
      <c r="Z475" s="459"/>
      <c r="AA475" s="459"/>
      <c r="AB475" s="459"/>
      <c r="AC475" s="459"/>
      <c r="AD475" s="459"/>
      <c r="AE475" s="459"/>
      <c r="AF475" s="459"/>
    </row>
    <row r="476">
      <c r="B476" s="459"/>
      <c r="C476" s="459"/>
      <c r="D476" s="459"/>
      <c r="E476" s="459"/>
      <c r="F476" s="459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9"/>
      <c r="Z476" s="459"/>
      <c r="AA476" s="459"/>
      <c r="AB476" s="459"/>
      <c r="AC476" s="459"/>
      <c r="AD476" s="459"/>
      <c r="AE476" s="459"/>
      <c r="AF476" s="459"/>
    </row>
    <row r="477">
      <c r="B477" s="459"/>
      <c r="C477" s="459"/>
      <c r="D477" s="459"/>
      <c r="E477" s="459"/>
      <c r="F477" s="459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9"/>
      <c r="Z477" s="459"/>
      <c r="AA477" s="459"/>
      <c r="AB477" s="459"/>
      <c r="AC477" s="459"/>
      <c r="AD477" s="459"/>
      <c r="AE477" s="459"/>
      <c r="AF477" s="459"/>
    </row>
    <row r="478">
      <c r="B478" s="459"/>
      <c r="C478" s="459"/>
      <c r="D478" s="459"/>
      <c r="E478" s="459"/>
      <c r="F478" s="459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9"/>
      <c r="Z478" s="459"/>
      <c r="AA478" s="459"/>
      <c r="AB478" s="459"/>
      <c r="AC478" s="459"/>
      <c r="AD478" s="459"/>
      <c r="AE478" s="459"/>
      <c r="AF478" s="459"/>
    </row>
    <row r="479">
      <c r="B479" s="459"/>
      <c r="C479" s="459"/>
      <c r="D479" s="459"/>
      <c r="E479" s="459"/>
      <c r="F479" s="459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9"/>
      <c r="Z479" s="459"/>
      <c r="AA479" s="459"/>
      <c r="AB479" s="459"/>
      <c r="AC479" s="459"/>
      <c r="AD479" s="459"/>
      <c r="AE479" s="459"/>
      <c r="AF479" s="459"/>
    </row>
    <row r="480">
      <c r="B480" s="459"/>
      <c r="C480" s="459"/>
      <c r="D480" s="459"/>
      <c r="E480" s="459"/>
      <c r="F480" s="459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9"/>
      <c r="Z480" s="459"/>
      <c r="AA480" s="459"/>
      <c r="AB480" s="459"/>
      <c r="AC480" s="459"/>
      <c r="AD480" s="459"/>
      <c r="AE480" s="459"/>
      <c r="AF480" s="459"/>
    </row>
    <row r="481">
      <c r="B481" s="459"/>
      <c r="C481" s="459"/>
      <c r="D481" s="459"/>
      <c r="E481" s="459"/>
      <c r="F481" s="459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9"/>
      <c r="Z481" s="459"/>
      <c r="AA481" s="459"/>
      <c r="AB481" s="459"/>
      <c r="AC481" s="459"/>
      <c r="AD481" s="459"/>
      <c r="AE481" s="459"/>
      <c r="AF481" s="459"/>
    </row>
    <row r="482">
      <c r="B482" s="459"/>
      <c r="C482" s="459"/>
      <c r="D482" s="459"/>
      <c r="E482" s="459"/>
      <c r="F482" s="459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9"/>
      <c r="Z482" s="459"/>
      <c r="AA482" s="459"/>
      <c r="AB482" s="459"/>
      <c r="AC482" s="459"/>
      <c r="AD482" s="459"/>
      <c r="AE482" s="459"/>
      <c r="AF482" s="459"/>
    </row>
    <row r="483">
      <c r="B483" s="459"/>
      <c r="C483" s="459"/>
      <c r="D483" s="459"/>
      <c r="E483" s="459"/>
      <c r="F483" s="459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9"/>
      <c r="Z483" s="459"/>
      <c r="AA483" s="459"/>
      <c r="AB483" s="459"/>
      <c r="AC483" s="459"/>
      <c r="AD483" s="459"/>
      <c r="AE483" s="459"/>
      <c r="AF483" s="459"/>
    </row>
    <row r="484">
      <c r="B484" s="459"/>
      <c r="C484" s="459"/>
      <c r="D484" s="459"/>
      <c r="E484" s="459"/>
      <c r="F484" s="459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9"/>
      <c r="Z484" s="459"/>
      <c r="AA484" s="459"/>
      <c r="AB484" s="459"/>
      <c r="AC484" s="459"/>
      <c r="AD484" s="459"/>
      <c r="AE484" s="459"/>
      <c r="AF484" s="459"/>
    </row>
    <row r="485">
      <c r="B485" s="459"/>
      <c r="C485" s="459"/>
      <c r="D485" s="459"/>
      <c r="E485" s="459"/>
      <c r="F485" s="459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9"/>
      <c r="Z485" s="459"/>
      <c r="AA485" s="459"/>
      <c r="AB485" s="459"/>
      <c r="AC485" s="459"/>
      <c r="AD485" s="459"/>
      <c r="AE485" s="459"/>
      <c r="AF485" s="459"/>
    </row>
    <row r="486">
      <c r="B486" s="459"/>
      <c r="C486" s="459"/>
      <c r="D486" s="459"/>
      <c r="E486" s="459"/>
      <c r="F486" s="459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9"/>
      <c r="Z486" s="459"/>
      <c r="AA486" s="459"/>
      <c r="AB486" s="459"/>
      <c r="AC486" s="459"/>
      <c r="AD486" s="459"/>
      <c r="AE486" s="459"/>
      <c r="AF486" s="459"/>
    </row>
    <row r="487">
      <c r="B487" s="459"/>
      <c r="C487" s="459"/>
      <c r="D487" s="459"/>
      <c r="E487" s="459"/>
      <c r="F487" s="459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9"/>
      <c r="Z487" s="459"/>
      <c r="AA487" s="459"/>
      <c r="AB487" s="459"/>
      <c r="AC487" s="459"/>
      <c r="AD487" s="459"/>
      <c r="AE487" s="459"/>
      <c r="AF487" s="459"/>
    </row>
    <row r="488">
      <c r="B488" s="459"/>
      <c r="C488" s="459"/>
      <c r="D488" s="459"/>
      <c r="E488" s="459"/>
      <c r="F488" s="459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9"/>
      <c r="Z488" s="459"/>
      <c r="AA488" s="459"/>
      <c r="AB488" s="459"/>
      <c r="AC488" s="459"/>
      <c r="AD488" s="459"/>
      <c r="AE488" s="459"/>
      <c r="AF488" s="459"/>
    </row>
    <row r="489">
      <c r="B489" s="459"/>
      <c r="C489" s="459"/>
      <c r="D489" s="459"/>
      <c r="E489" s="459"/>
      <c r="F489" s="459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9"/>
      <c r="Z489" s="459"/>
      <c r="AA489" s="459"/>
      <c r="AB489" s="459"/>
      <c r="AC489" s="459"/>
      <c r="AD489" s="459"/>
      <c r="AE489" s="459"/>
      <c r="AF489" s="459"/>
    </row>
    <row r="490">
      <c r="B490" s="459"/>
      <c r="C490" s="459"/>
      <c r="D490" s="459"/>
      <c r="E490" s="459"/>
      <c r="F490" s="459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9"/>
      <c r="Z490" s="459"/>
      <c r="AA490" s="459"/>
      <c r="AB490" s="459"/>
      <c r="AC490" s="459"/>
      <c r="AD490" s="459"/>
      <c r="AE490" s="459"/>
      <c r="AF490" s="459"/>
    </row>
    <row r="491">
      <c r="B491" s="459"/>
      <c r="C491" s="459"/>
      <c r="D491" s="459"/>
      <c r="E491" s="459"/>
      <c r="F491" s="459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9"/>
      <c r="Z491" s="459"/>
      <c r="AA491" s="459"/>
      <c r="AB491" s="459"/>
      <c r="AC491" s="459"/>
      <c r="AD491" s="459"/>
      <c r="AE491" s="459"/>
      <c r="AF491" s="459"/>
    </row>
    <row r="492">
      <c r="B492" s="459"/>
      <c r="C492" s="459"/>
      <c r="D492" s="459"/>
      <c r="E492" s="459"/>
      <c r="F492" s="459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9"/>
      <c r="Z492" s="459"/>
      <c r="AA492" s="459"/>
      <c r="AB492" s="459"/>
      <c r="AC492" s="459"/>
      <c r="AD492" s="459"/>
      <c r="AE492" s="459"/>
      <c r="AF492" s="459"/>
    </row>
    <row r="493">
      <c r="B493" s="459"/>
      <c r="C493" s="459"/>
      <c r="D493" s="459"/>
      <c r="E493" s="459"/>
      <c r="F493" s="459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9"/>
      <c r="Z493" s="459"/>
      <c r="AA493" s="459"/>
      <c r="AB493" s="459"/>
      <c r="AC493" s="459"/>
      <c r="AD493" s="459"/>
      <c r="AE493" s="459"/>
      <c r="AF493" s="459"/>
    </row>
    <row r="494">
      <c r="B494" s="459"/>
      <c r="C494" s="459"/>
      <c r="D494" s="459"/>
      <c r="E494" s="459"/>
      <c r="F494" s="459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9"/>
      <c r="Z494" s="459"/>
      <c r="AA494" s="459"/>
      <c r="AB494" s="459"/>
      <c r="AC494" s="459"/>
      <c r="AD494" s="459"/>
      <c r="AE494" s="459"/>
      <c r="AF494" s="459"/>
    </row>
    <row r="495">
      <c r="B495" s="459"/>
      <c r="C495" s="459"/>
      <c r="D495" s="459"/>
      <c r="E495" s="459"/>
      <c r="F495" s="459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9"/>
      <c r="Z495" s="459"/>
      <c r="AA495" s="459"/>
      <c r="AB495" s="459"/>
      <c r="AC495" s="459"/>
      <c r="AD495" s="459"/>
      <c r="AE495" s="459"/>
      <c r="AF495" s="459"/>
    </row>
    <row r="496">
      <c r="B496" s="459"/>
      <c r="C496" s="459"/>
      <c r="D496" s="459"/>
      <c r="E496" s="459"/>
      <c r="F496" s="459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9"/>
      <c r="Z496" s="459"/>
      <c r="AA496" s="459"/>
      <c r="AB496" s="459"/>
      <c r="AC496" s="459"/>
      <c r="AD496" s="459"/>
      <c r="AE496" s="459"/>
      <c r="AF496" s="459"/>
    </row>
    <row r="497">
      <c r="B497" s="459"/>
      <c r="C497" s="459"/>
      <c r="D497" s="459"/>
      <c r="E497" s="459"/>
      <c r="F497" s="459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9"/>
      <c r="Z497" s="459"/>
      <c r="AA497" s="459"/>
      <c r="AB497" s="459"/>
      <c r="AC497" s="459"/>
      <c r="AD497" s="459"/>
      <c r="AE497" s="459"/>
      <c r="AF497" s="459"/>
    </row>
    <row r="498">
      <c r="B498" s="459"/>
      <c r="C498" s="459"/>
      <c r="D498" s="459"/>
      <c r="E498" s="459"/>
      <c r="F498" s="459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9"/>
      <c r="Z498" s="459"/>
      <c r="AA498" s="459"/>
      <c r="AB498" s="459"/>
      <c r="AC498" s="459"/>
      <c r="AD498" s="459"/>
      <c r="AE498" s="459"/>
      <c r="AF498" s="459"/>
    </row>
    <row r="499">
      <c r="B499" s="459"/>
      <c r="C499" s="459"/>
      <c r="D499" s="459"/>
      <c r="E499" s="459"/>
      <c r="F499" s="459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9"/>
      <c r="Z499" s="459"/>
      <c r="AA499" s="459"/>
      <c r="AB499" s="459"/>
      <c r="AC499" s="459"/>
      <c r="AD499" s="459"/>
      <c r="AE499" s="459"/>
      <c r="AF499" s="459"/>
    </row>
    <row r="500">
      <c r="B500" s="459"/>
      <c r="C500" s="459"/>
      <c r="D500" s="459"/>
      <c r="E500" s="459"/>
      <c r="F500" s="459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9"/>
      <c r="Z500" s="459"/>
      <c r="AA500" s="459"/>
      <c r="AB500" s="459"/>
      <c r="AC500" s="459"/>
      <c r="AD500" s="459"/>
      <c r="AE500" s="459"/>
      <c r="AF500" s="459"/>
    </row>
    <row r="501">
      <c r="B501" s="459"/>
      <c r="C501" s="459"/>
      <c r="D501" s="459"/>
      <c r="E501" s="459"/>
      <c r="F501" s="459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9"/>
      <c r="Z501" s="459"/>
      <c r="AA501" s="459"/>
      <c r="AB501" s="459"/>
      <c r="AC501" s="459"/>
      <c r="AD501" s="459"/>
      <c r="AE501" s="459"/>
      <c r="AF501" s="459"/>
    </row>
    <row r="502">
      <c r="B502" s="459"/>
      <c r="C502" s="459"/>
      <c r="D502" s="459"/>
      <c r="E502" s="459"/>
      <c r="F502" s="459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9"/>
      <c r="Z502" s="459"/>
      <c r="AA502" s="459"/>
      <c r="AB502" s="459"/>
      <c r="AC502" s="459"/>
      <c r="AD502" s="459"/>
      <c r="AE502" s="459"/>
      <c r="AF502" s="459"/>
    </row>
    <row r="503">
      <c r="B503" s="459"/>
      <c r="C503" s="459"/>
      <c r="D503" s="459"/>
      <c r="E503" s="459"/>
      <c r="F503" s="459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9"/>
      <c r="Z503" s="459"/>
      <c r="AA503" s="459"/>
      <c r="AB503" s="459"/>
      <c r="AC503" s="459"/>
      <c r="AD503" s="459"/>
      <c r="AE503" s="459"/>
      <c r="AF503" s="459"/>
    </row>
    <row r="504">
      <c r="B504" s="459"/>
      <c r="C504" s="459"/>
      <c r="D504" s="459"/>
      <c r="E504" s="459"/>
      <c r="F504" s="459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9"/>
      <c r="Z504" s="459"/>
      <c r="AA504" s="459"/>
      <c r="AB504" s="459"/>
      <c r="AC504" s="459"/>
      <c r="AD504" s="459"/>
      <c r="AE504" s="459"/>
      <c r="AF504" s="459"/>
    </row>
    <row r="505">
      <c r="B505" s="459"/>
      <c r="C505" s="459"/>
      <c r="D505" s="459"/>
      <c r="E505" s="459"/>
      <c r="F505" s="459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9"/>
      <c r="Z505" s="459"/>
      <c r="AA505" s="459"/>
      <c r="AB505" s="459"/>
      <c r="AC505" s="459"/>
      <c r="AD505" s="459"/>
      <c r="AE505" s="459"/>
      <c r="AF505" s="459"/>
    </row>
    <row r="506">
      <c r="B506" s="459"/>
      <c r="C506" s="459"/>
      <c r="D506" s="459"/>
      <c r="E506" s="459"/>
      <c r="F506" s="459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9"/>
      <c r="Z506" s="459"/>
      <c r="AA506" s="459"/>
      <c r="AB506" s="459"/>
      <c r="AC506" s="459"/>
      <c r="AD506" s="459"/>
      <c r="AE506" s="459"/>
      <c r="AF506" s="459"/>
    </row>
    <row r="507">
      <c r="B507" s="459"/>
      <c r="C507" s="459"/>
      <c r="D507" s="459"/>
      <c r="E507" s="459"/>
      <c r="F507" s="459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9"/>
      <c r="Z507" s="459"/>
      <c r="AA507" s="459"/>
      <c r="AB507" s="459"/>
      <c r="AC507" s="459"/>
      <c r="AD507" s="459"/>
      <c r="AE507" s="459"/>
      <c r="AF507" s="459"/>
    </row>
    <row r="508">
      <c r="B508" s="459"/>
      <c r="C508" s="459"/>
      <c r="D508" s="459"/>
      <c r="E508" s="459"/>
      <c r="F508" s="459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9"/>
      <c r="Z508" s="459"/>
      <c r="AA508" s="459"/>
      <c r="AB508" s="459"/>
      <c r="AC508" s="459"/>
      <c r="AD508" s="459"/>
      <c r="AE508" s="459"/>
      <c r="AF508" s="459"/>
    </row>
    <row r="509">
      <c r="B509" s="459"/>
      <c r="C509" s="459"/>
      <c r="D509" s="459"/>
      <c r="E509" s="459"/>
      <c r="F509" s="459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9"/>
      <c r="Z509" s="459"/>
      <c r="AA509" s="459"/>
      <c r="AB509" s="459"/>
      <c r="AC509" s="459"/>
      <c r="AD509" s="459"/>
      <c r="AE509" s="459"/>
      <c r="AF509" s="459"/>
    </row>
    <row r="510">
      <c r="B510" s="459"/>
      <c r="C510" s="459"/>
      <c r="D510" s="459"/>
      <c r="E510" s="459"/>
      <c r="F510" s="459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9"/>
      <c r="Z510" s="459"/>
      <c r="AA510" s="459"/>
      <c r="AB510" s="459"/>
      <c r="AC510" s="459"/>
      <c r="AD510" s="459"/>
      <c r="AE510" s="459"/>
      <c r="AF510" s="459"/>
    </row>
    <row r="511">
      <c r="B511" s="459"/>
      <c r="C511" s="459"/>
      <c r="D511" s="459"/>
      <c r="E511" s="459"/>
      <c r="F511" s="459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9"/>
      <c r="Z511" s="459"/>
      <c r="AA511" s="459"/>
      <c r="AB511" s="459"/>
      <c r="AC511" s="459"/>
      <c r="AD511" s="459"/>
      <c r="AE511" s="459"/>
      <c r="AF511" s="459"/>
    </row>
    <row r="512">
      <c r="B512" s="459"/>
      <c r="C512" s="459"/>
      <c r="D512" s="459"/>
      <c r="E512" s="459"/>
      <c r="F512" s="459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9"/>
      <c r="Z512" s="459"/>
      <c r="AA512" s="459"/>
      <c r="AB512" s="459"/>
      <c r="AC512" s="459"/>
      <c r="AD512" s="459"/>
      <c r="AE512" s="459"/>
      <c r="AF512" s="459"/>
    </row>
    <row r="513">
      <c r="B513" s="459"/>
      <c r="C513" s="459"/>
      <c r="D513" s="459"/>
      <c r="E513" s="459"/>
      <c r="F513" s="459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9"/>
      <c r="Z513" s="459"/>
      <c r="AA513" s="459"/>
      <c r="AB513" s="459"/>
      <c r="AC513" s="459"/>
      <c r="AD513" s="459"/>
      <c r="AE513" s="459"/>
      <c r="AF513" s="459"/>
    </row>
    <row r="514">
      <c r="B514" s="459"/>
      <c r="C514" s="459"/>
      <c r="D514" s="459"/>
      <c r="E514" s="459"/>
      <c r="F514" s="459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9"/>
      <c r="Z514" s="459"/>
      <c r="AA514" s="459"/>
      <c r="AB514" s="459"/>
      <c r="AC514" s="459"/>
      <c r="AD514" s="459"/>
      <c r="AE514" s="459"/>
      <c r="AF514" s="459"/>
    </row>
    <row r="515">
      <c r="B515" s="459"/>
      <c r="C515" s="459"/>
      <c r="D515" s="459"/>
      <c r="E515" s="459"/>
      <c r="F515" s="459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9"/>
      <c r="Z515" s="459"/>
      <c r="AA515" s="459"/>
      <c r="AB515" s="459"/>
      <c r="AC515" s="459"/>
      <c r="AD515" s="459"/>
      <c r="AE515" s="459"/>
      <c r="AF515" s="459"/>
    </row>
    <row r="516">
      <c r="B516" s="459"/>
      <c r="C516" s="459"/>
      <c r="D516" s="459"/>
      <c r="E516" s="459"/>
      <c r="F516" s="459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9"/>
      <c r="Z516" s="459"/>
      <c r="AA516" s="459"/>
      <c r="AB516" s="459"/>
      <c r="AC516" s="459"/>
      <c r="AD516" s="459"/>
      <c r="AE516" s="459"/>
      <c r="AF516" s="459"/>
    </row>
    <row r="517">
      <c r="B517" s="459"/>
      <c r="C517" s="459"/>
      <c r="D517" s="459"/>
      <c r="E517" s="459"/>
      <c r="F517" s="459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9"/>
      <c r="Z517" s="459"/>
      <c r="AA517" s="459"/>
      <c r="AB517" s="459"/>
      <c r="AC517" s="459"/>
      <c r="AD517" s="459"/>
      <c r="AE517" s="459"/>
      <c r="AF517" s="459"/>
    </row>
    <row r="518">
      <c r="B518" s="459"/>
      <c r="C518" s="459"/>
      <c r="D518" s="459"/>
      <c r="E518" s="459"/>
      <c r="F518" s="459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9"/>
      <c r="Z518" s="459"/>
      <c r="AA518" s="459"/>
      <c r="AB518" s="459"/>
      <c r="AC518" s="459"/>
      <c r="AD518" s="459"/>
      <c r="AE518" s="459"/>
      <c r="AF518" s="459"/>
    </row>
    <row r="519">
      <c r="B519" s="459"/>
      <c r="C519" s="459"/>
      <c r="D519" s="459"/>
      <c r="E519" s="459"/>
      <c r="F519" s="459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9"/>
      <c r="Z519" s="459"/>
      <c r="AA519" s="459"/>
      <c r="AB519" s="459"/>
      <c r="AC519" s="459"/>
      <c r="AD519" s="459"/>
      <c r="AE519" s="459"/>
      <c r="AF519" s="459"/>
    </row>
    <row r="520">
      <c r="B520" s="459"/>
      <c r="C520" s="459"/>
      <c r="D520" s="459"/>
      <c r="E520" s="459"/>
      <c r="F520" s="459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9"/>
      <c r="Z520" s="459"/>
      <c r="AA520" s="459"/>
      <c r="AB520" s="459"/>
      <c r="AC520" s="459"/>
      <c r="AD520" s="459"/>
      <c r="AE520" s="459"/>
      <c r="AF520" s="459"/>
    </row>
    <row r="521">
      <c r="B521" s="459"/>
      <c r="C521" s="459"/>
      <c r="D521" s="459"/>
      <c r="E521" s="459"/>
      <c r="F521" s="459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9"/>
      <c r="Z521" s="459"/>
      <c r="AA521" s="459"/>
      <c r="AB521" s="459"/>
      <c r="AC521" s="459"/>
      <c r="AD521" s="459"/>
      <c r="AE521" s="459"/>
      <c r="AF521" s="459"/>
    </row>
    <row r="522">
      <c r="B522" s="459"/>
      <c r="C522" s="459"/>
      <c r="D522" s="459"/>
      <c r="E522" s="459"/>
      <c r="F522" s="459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9"/>
      <c r="Z522" s="459"/>
      <c r="AA522" s="459"/>
      <c r="AB522" s="459"/>
      <c r="AC522" s="459"/>
      <c r="AD522" s="459"/>
      <c r="AE522" s="459"/>
      <c r="AF522" s="459"/>
    </row>
    <row r="523">
      <c r="B523" s="459"/>
      <c r="C523" s="459"/>
      <c r="D523" s="459"/>
      <c r="E523" s="459"/>
      <c r="F523" s="459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9"/>
      <c r="Z523" s="459"/>
      <c r="AA523" s="459"/>
      <c r="AB523" s="459"/>
      <c r="AC523" s="459"/>
      <c r="AD523" s="459"/>
      <c r="AE523" s="459"/>
      <c r="AF523" s="459"/>
    </row>
    <row r="524">
      <c r="B524" s="459"/>
      <c r="C524" s="459"/>
      <c r="D524" s="459"/>
      <c r="E524" s="459"/>
      <c r="F524" s="459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9"/>
      <c r="Z524" s="459"/>
      <c r="AA524" s="459"/>
      <c r="AB524" s="459"/>
      <c r="AC524" s="459"/>
      <c r="AD524" s="459"/>
      <c r="AE524" s="459"/>
      <c r="AF524" s="459"/>
    </row>
    <row r="525">
      <c r="B525" s="459"/>
      <c r="C525" s="459"/>
      <c r="D525" s="459"/>
      <c r="E525" s="459"/>
      <c r="F525" s="459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9"/>
      <c r="Z525" s="459"/>
      <c r="AA525" s="459"/>
      <c r="AB525" s="459"/>
      <c r="AC525" s="459"/>
      <c r="AD525" s="459"/>
      <c r="AE525" s="459"/>
      <c r="AF525" s="459"/>
    </row>
    <row r="526">
      <c r="B526" s="459"/>
      <c r="C526" s="459"/>
      <c r="D526" s="459"/>
      <c r="E526" s="459"/>
      <c r="F526" s="459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9"/>
      <c r="Z526" s="459"/>
      <c r="AA526" s="459"/>
      <c r="AB526" s="459"/>
      <c r="AC526" s="459"/>
      <c r="AD526" s="459"/>
      <c r="AE526" s="459"/>
      <c r="AF526" s="459"/>
    </row>
    <row r="527">
      <c r="B527" s="459"/>
      <c r="C527" s="459"/>
      <c r="D527" s="459"/>
      <c r="E527" s="459"/>
      <c r="F527" s="459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9"/>
      <c r="Z527" s="459"/>
      <c r="AA527" s="459"/>
      <c r="AB527" s="459"/>
      <c r="AC527" s="459"/>
      <c r="AD527" s="459"/>
      <c r="AE527" s="459"/>
      <c r="AF527" s="459"/>
    </row>
    <row r="528">
      <c r="B528" s="459"/>
      <c r="C528" s="459"/>
      <c r="D528" s="459"/>
      <c r="E528" s="459"/>
      <c r="F528" s="459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9"/>
      <c r="Z528" s="459"/>
      <c r="AA528" s="459"/>
      <c r="AB528" s="459"/>
      <c r="AC528" s="459"/>
      <c r="AD528" s="459"/>
      <c r="AE528" s="459"/>
      <c r="AF528" s="459"/>
    </row>
    <row r="529">
      <c r="B529" s="459"/>
      <c r="C529" s="459"/>
      <c r="D529" s="459"/>
      <c r="E529" s="459"/>
      <c r="F529" s="459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9"/>
      <c r="Z529" s="459"/>
      <c r="AA529" s="459"/>
      <c r="AB529" s="459"/>
      <c r="AC529" s="459"/>
      <c r="AD529" s="459"/>
      <c r="AE529" s="459"/>
      <c r="AF529" s="459"/>
    </row>
    <row r="530">
      <c r="B530" s="459"/>
      <c r="C530" s="459"/>
      <c r="D530" s="459"/>
      <c r="E530" s="459"/>
      <c r="F530" s="459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9"/>
      <c r="Z530" s="459"/>
      <c r="AA530" s="459"/>
      <c r="AB530" s="459"/>
      <c r="AC530" s="459"/>
      <c r="AD530" s="459"/>
      <c r="AE530" s="459"/>
      <c r="AF530" s="459"/>
    </row>
    <row r="531">
      <c r="B531" s="459"/>
      <c r="C531" s="459"/>
      <c r="D531" s="459"/>
      <c r="E531" s="459"/>
      <c r="F531" s="459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9"/>
      <c r="Z531" s="459"/>
      <c r="AA531" s="459"/>
      <c r="AB531" s="459"/>
      <c r="AC531" s="459"/>
      <c r="AD531" s="459"/>
      <c r="AE531" s="459"/>
      <c r="AF531" s="459"/>
    </row>
    <row r="532">
      <c r="B532" s="459"/>
      <c r="C532" s="459"/>
      <c r="D532" s="459"/>
      <c r="E532" s="459"/>
      <c r="F532" s="459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9"/>
      <c r="Z532" s="459"/>
      <c r="AA532" s="459"/>
      <c r="AB532" s="459"/>
      <c r="AC532" s="459"/>
      <c r="AD532" s="459"/>
      <c r="AE532" s="459"/>
      <c r="AF532" s="459"/>
    </row>
    <row r="533">
      <c r="B533" s="459"/>
      <c r="C533" s="459"/>
      <c r="D533" s="459"/>
      <c r="E533" s="459"/>
      <c r="F533" s="459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9"/>
      <c r="Z533" s="459"/>
      <c r="AA533" s="459"/>
      <c r="AB533" s="459"/>
      <c r="AC533" s="459"/>
      <c r="AD533" s="459"/>
      <c r="AE533" s="459"/>
      <c r="AF533" s="459"/>
    </row>
    <row r="534">
      <c r="B534" s="459"/>
      <c r="C534" s="459"/>
      <c r="D534" s="459"/>
      <c r="E534" s="459"/>
      <c r="F534" s="459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9"/>
      <c r="Z534" s="459"/>
      <c r="AA534" s="459"/>
      <c r="AB534" s="459"/>
      <c r="AC534" s="459"/>
      <c r="AD534" s="459"/>
      <c r="AE534" s="459"/>
      <c r="AF534" s="459"/>
    </row>
    <row r="535">
      <c r="B535" s="459"/>
      <c r="C535" s="459"/>
      <c r="D535" s="459"/>
      <c r="E535" s="459"/>
      <c r="F535" s="459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9"/>
      <c r="Z535" s="459"/>
      <c r="AA535" s="459"/>
      <c r="AB535" s="459"/>
      <c r="AC535" s="459"/>
      <c r="AD535" s="459"/>
      <c r="AE535" s="459"/>
      <c r="AF535" s="459"/>
    </row>
    <row r="536">
      <c r="B536" s="459"/>
      <c r="C536" s="459"/>
      <c r="D536" s="459"/>
      <c r="E536" s="459"/>
      <c r="F536" s="459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9"/>
      <c r="Z536" s="459"/>
      <c r="AA536" s="459"/>
      <c r="AB536" s="459"/>
      <c r="AC536" s="459"/>
      <c r="AD536" s="459"/>
      <c r="AE536" s="459"/>
      <c r="AF536" s="459"/>
    </row>
    <row r="537">
      <c r="B537" s="459"/>
      <c r="C537" s="459"/>
      <c r="D537" s="459"/>
      <c r="E537" s="459"/>
      <c r="F537" s="459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9"/>
      <c r="Z537" s="459"/>
      <c r="AA537" s="459"/>
      <c r="AB537" s="459"/>
      <c r="AC537" s="459"/>
      <c r="AD537" s="459"/>
      <c r="AE537" s="459"/>
      <c r="AF537" s="459"/>
    </row>
    <row r="538">
      <c r="B538" s="459"/>
      <c r="C538" s="459"/>
      <c r="D538" s="459"/>
      <c r="E538" s="459"/>
      <c r="F538" s="459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9"/>
      <c r="Z538" s="459"/>
      <c r="AA538" s="459"/>
      <c r="AB538" s="459"/>
      <c r="AC538" s="459"/>
      <c r="AD538" s="459"/>
      <c r="AE538" s="459"/>
      <c r="AF538" s="459"/>
    </row>
    <row r="539">
      <c r="B539" s="459"/>
      <c r="C539" s="459"/>
      <c r="D539" s="459"/>
      <c r="E539" s="459"/>
      <c r="F539" s="459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9"/>
      <c r="Z539" s="459"/>
      <c r="AA539" s="459"/>
      <c r="AB539" s="459"/>
      <c r="AC539" s="459"/>
      <c r="AD539" s="459"/>
      <c r="AE539" s="459"/>
      <c r="AF539" s="459"/>
    </row>
    <row r="540">
      <c r="B540" s="459"/>
      <c r="C540" s="459"/>
      <c r="D540" s="459"/>
      <c r="E540" s="459"/>
      <c r="F540" s="459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9"/>
      <c r="Z540" s="459"/>
      <c r="AA540" s="459"/>
      <c r="AB540" s="459"/>
      <c r="AC540" s="459"/>
      <c r="AD540" s="459"/>
      <c r="AE540" s="459"/>
      <c r="AF540" s="459"/>
    </row>
    <row r="541">
      <c r="B541" s="459"/>
      <c r="C541" s="459"/>
      <c r="D541" s="459"/>
      <c r="E541" s="459"/>
      <c r="F541" s="459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9"/>
      <c r="Z541" s="459"/>
      <c r="AA541" s="459"/>
      <c r="AB541" s="459"/>
      <c r="AC541" s="459"/>
      <c r="AD541" s="459"/>
      <c r="AE541" s="459"/>
      <c r="AF541" s="459"/>
    </row>
    <row r="542">
      <c r="B542" s="459"/>
      <c r="C542" s="459"/>
      <c r="D542" s="459"/>
      <c r="E542" s="459"/>
      <c r="F542" s="459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9"/>
      <c r="Z542" s="459"/>
      <c r="AA542" s="459"/>
      <c r="AB542" s="459"/>
      <c r="AC542" s="459"/>
      <c r="AD542" s="459"/>
      <c r="AE542" s="459"/>
      <c r="AF542" s="459"/>
    </row>
    <row r="543">
      <c r="B543" s="459"/>
      <c r="C543" s="459"/>
      <c r="D543" s="459"/>
      <c r="E543" s="459"/>
      <c r="F543" s="459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9"/>
      <c r="Z543" s="459"/>
      <c r="AA543" s="459"/>
      <c r="AB543" s="459"/>
      <c r="AC543" s="459"/>
      <c r="AD543" s="459"/>
      <c r="AE543" s="459"/>
      <c r="AF543" s="459"/>
    </row>
    <row r="544">
      <c r="B544" s="459"/>
      <c r="C544" s="459"/>
      <c r="D544" s="459"/>
      <c r="E544" s="459"/>
      <c r="F544" s="459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9"/>
      <c r="Z544" s="459"/>
      <c r="AA544" s="459"/>
      <c r="AB544" s="459"/>
      <c r="AC544" s="459"/>
      <c r="AD544" s="459"/>
      <c r="AE544" s="459"/>
      <c r="AF544" s="459"/>
    </row>
    <row r="545">
      <c r="B545" s="459"/>
      <c r="C545" s="459"/>
      <c r="D545" s="459"/>
      <c r="E545" s="459"/>
      <c r="F545" s="459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9"/>
      <c r="Z545" s="459"/>
      <c r="AA545" s="459"/>
      <c r="AB545" s="459"/>
      <c r="AC545" s="459"/>
      <c r="AD545" s="459"/>
      <c r="AE545" s="459"/>
      <c r="AF545" s="459"/>
    </row>
    <row r="546">
      <c r="B546" s="459"/>
      <c r="C546" s="459"/>
      <c r="D546" s="459"/>
      <c r="E546" s="459"/>
      <c r="F546" s="459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9"/>
      <c r="Z546" s="459"/>
      <c r="AA546" s="459"/>
      <c r="AB546" s="459"/>
      <c r="AC546" s="459"/>
      <c r="AD546" s="459"/>
      <c r="AE546" s="459"/>
      <c r="AF546" s="459"/>
    </row>
    <row r="547">
      <c r="B547" s="459"/>
      <c r="C547" s="459"/>
      <c r="D547" s="459"/>
      <c r="E547" s="459"/>
      <c r="F547" s="459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9"/>
      <c r="Z547" s="459"/>
      <c r="AA547" s="459"/>
      <c r="AB547" s="459"/>
      <c r="AC547" s="459"/>
      <c r="AD547" s="459"/>
      <c r="AE547" s="459"/>
      <c r="AF547" s="459"/>
    </row>
    <row r="548">
      <c r="B548" s="459"/>
      <c r="C548" s="459"/>
      <c r="D548" s="459"/>
      <c r="E548" s="459"/>
      <c r="F548" s="459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9"/>
      <c r="Z548" s="459"/>
      <c r="AA548" s="459"/>
      <c r="AB548" s="459"/>
      <c r="AC548" s="459"/>
      <c r="AD548" s="459"/>
      <c r="AE548" s="459"/>
      <c r="AF548" s="459"/>
    </row>
    <row r="549">
      <c r="B549" s="459"/>
      <c r="C549" s="459"/>
      <c r="D549" s="459"/>
      <c r="E549" s="459"/>
      <c r="F549" s="459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9"/>
      <c r="Z549" s="459"/>
      <c r="AA549" s="459"/>
      <c r="AB549" s="459"/>
      <c r="AC549" s="459"/>
      <c r="AD549" s="459"/>
      <c r="AE549" s="459"/>
      <c r="AF549" s="459"/>
    </row>
    <row r="550">
      <c r="B550" s="459"/>
      <c r="C550" s="459"/>
      <c r="D550" s="459"/>
      <c r="E550" s="459"/>
      <c r="F550" s="459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9"/>
      <c r="Z550" s="459"/>
      <c r="AA550" s="459"/>
      <c r="AB550" s="459"/>
      <c r="AC550" s="459"/>
      <c r="AD550" s="459"/>
      <c r="AE550" s="459"/>
      <c r="AF550" s="459"/>
    </row>
    <row r="551">
      <c r="B551" s="459"/>
      <c r="C551" s="459"/>
      <c r="D551" s="459"/>
      <c r="E551" s="459"/>
      <c r="F551" s="459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9"/>
      <c r="Z551" s="459"/>
      <c r="AA551" s="459"/>
      <c r="AB551" s="459"/>
      <c r="AC551" s="459"/>
      <c r="AD551" s="459"/>
      <c r="AE551" s="459"/>
      <c r="AF551" s="459"/>
    </row>
    <row r="552">
      <c r="B552" s="459"/>
      <c r="C552" s="459"/>
      <c r="D552" s="459"/>
      <c r="E552" s="459"/>
      <c r="F552" s="459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9"/>
      <c r="Z552" s="459"/>
      <c r="AA552" s="459"/>
      <c r="AB552" s="459"/>
      <c r="AC552" s="459"/>
      <c r="AD552" s="459"/>
      <c r="AE552" s="459"/>
      <c r="AF552" s="459"/>
    </row>
    <row r="553">
      <c r="B553" s="459"/>
      <c r="C553" s="459"/>
      <c r="D553" s="459"/>
      <c r="E553" s="459"/>
      <c r="F553" s="459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9"/>
      <c r="Z553" s="459"/>
      <c r="AA553" s="459"/>
      <c r="AB553" s="459"/>
      <c r="AC553" s="459"/>
      <c r="AD553" s="459"/>
      <c r="AE553" s="459"/>
      <c r="AF553" s="459"/>
    </row>
    <row r="554">
      <c r="B554" s="459"/>
      <c r="C554" s="459"/>
      <c r="D554" s="459"/>
      <c r="E554" s="459"/>
      <c r="F554" s="459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9"/>
      <c r="Z554" s="459"/>
      <c r="AA554" s="459"/>
      <c r="AB554" s="459"/>
      <c r="AC554" s="459"/>
      <c r="AD554" s="459"/>
      <c r="AE554" s="459"/>
      <c r="AF554" s="459"/>
    </row>
    <row r="555">
      <c r="B555" s="459"/>
      <c r="C555" s="459"/>
      <c r="D555" s="459"/>
      <c r="E555" s="459"/>
      <c r="F555" s="459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9"/>
      <c r="Z555" s="459"/>
      <c r="AA555" s="459"/>
      <c r="AB555" s="459"/>
      <c r="AC555" s="459"/>
      <c r="AD555" s="459"/>
      <c r="AE555" s="459"/>
      <c r="AF555" s="459"/>
    </row>
    <row r="556">
      <c r="B556" s="459"/>
      <c r="C556" s="459"/>
      <c r="D556" s="459"/>
      <c r="E556" s="459"/>
      <c r="F556" s="459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9"/>
      <c r="Z556" s="459"/>
      <c r="AA556" s="459"/>
      <c r="AB556" s="459"/>
      <c r="AC556" s="459"/>
      <c r="AD556" s="459"/>
      <c r="AE556" s="459"/>
      <c r="AF556" s="459"/>
    </row>
    <row r="557">
      <c r="B557" s="459"/>
      <c r="C557" s="459"/>
      <c r="D557" s="459"/>
      <c r="E557" s="459"/>
      <c r="F557" s="459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9"/>
      <c r="Z557" s="459"/>
      <c r="AA557" s="459"/>
      <c r="AB557" s="459"/>
      <c r="AC557" s="459"/>
      <c r="AD557" s="459"/>
      <c r="AE557" s="459"/>
      <c r="AF557" s="459"/>
    </row>
    <row r="558">
      <c r="B558" s="459"/>
      <c r="C558" s="459"/>
      <c r="D558" s="459"/>
      <c r="E558" s="459"/>
      <c r="F558" s="459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9"/>
      <c r="Z558" s="459"/>
      <c r="AA558" s="459"/>
      <c r="AB558" s="459"/>
      <c r="AC558" s="459"/>
      <c r="AD558" s="459"/>
      <c r="AE558" s="459"/>
      <c r="AF558" s="459"/>
    </row>
    <row r="559">
      <c r="B559" s="459"/>
      <c r="C559" s="459"/>
      <c r="D559" s="459"/>
      <c r="E559" s="459"/>
      <c r="F559" s="459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9"/>
      <c r="Z559" s="459"/>
      <c r="AA559" s="459"/>
      <c r="AB559" s="459"/>
      <c r="AC559" s="459"/>
      <c r="AD559" s="459"/>
      <c r="AE559" s="459"/>
      <c r="AF559" s="459"/>
    </row>
    <row r="560">
      <c r="B560" s="459"/>
      <c r="C560" s="459"/>
      <c r="D560" s="459"/>
      <c r="E560" s="459"/>
      <c r="F560" s="459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9"/>
      <c r="Z560" s="459"/>
      <c r="AA560" s="459"/>
      <c r="AB560" s="459"/>
      <c r="AC560" s="459"/>
      <c r="AD560" s="459"/>
      <c r="AE560" s="459"/>
      <c r="AF560" s="459"/>
    </row>
    <row r="561">
      <c r="B561" s="459"/>
      <c r="C561" s="459"/>
      <c r="D561" s="459"/>
      <c r="E561" s="459"/>
      <c r="F561" s="459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9"/>
      <c r="Z561" s="459"/>
      <c r="AA561" s="459"/>
      <c r="AB561" s="459"/>
      <c r="AC561" s="459"/>
      <c r="AD561" s="459"/>
      <c r="AE561" s="459"/>
      <c r="AF561" s="459"/>
    </row>
    <row r="562">
      <c r="B562" s="459"/>
      <c r="C562" s="459"/>
      <c r="D562" s="459"/>
      <c r="E562" s="459"/>
      <c r="F562" s="459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9"/>
      <c r="Z562" s="459"/>
      <c r="AA562" s="459"/>
      <c r="AB562" s="459"/>
      <c r="AC562" s="459"/>
      <c r="AD562" s="459"/>
      <c r="AE562" s="459"/>
      <c r="AF562" s="459"/>
    </row>
    <row r="563">
      <c r="B563" s="459"/>
      <c r="C563" s="459"/>
      <c r="D563" s="459"/>
      <c r="E563" s="459"/>
      <c r="F563" s="459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9"/>
      <c r="Z563" s="459"/>
      <c r="AA563" s="459"/>
      <c r="AB563" s="459"/>
      <c r="AC563" s="459"/>
      <c r="AD563" s="459"/>
      <c r="AE563" s="459"/>
      <c r="AF563" s="459"/>
    </row>
    <row r="564">
      <c r="B564" s="459"/>
      <c r="C564" s="459"/>
      <c r="D564" s="459"/>
      <c r="E564" s="459"/>
      <c r="F564" s="459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9"/>
      <c r="Z564" s="459"/>
      <c r="AA564" s="459"/>
      <c r="AB564" s="459"/>
      <c r="AC564" s="459"/>
      <c r="AD564" s="459"/>
      <c r="AE564" s="459"/>
      <c r="AF564" s="459"/>
    </row>
    <row r="565">
      <c r="B565" s="459"/>
      <c r="C565" s="459"/>
      <c r="D565" s="459"/>
      <c r="E565" s="459"/>
      <c r="F565" s="459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9"/>
      <c r="Z565" s="459"/>
      <c r="AA565" s="459"/>
      <c r="AB565" s="459"/>
      <c r="AC565" s="459"/>
      <c r="AD565" s="459"/>
      <c r="AE565" s="459"/>
      <c r="AF565" s="459"/>
    </row>
    <row r="566">
      <c r="B566" s="459"/>
      <c r="C566" s="459"/>
      <c r="D566" s="459"/>
      <c r="E566" s="459"/>
      <c r="F566" s="459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9"/>
      <c r="Z566" s="459"/>
      <c r="AA566" s="459"/>
      <c r="AB566" s="459"/>
      <c r="AC566" s="459"/>
      <c r="AD566" s="459"/>
      <c r="AE566" s="459"/>
      <c r="AF566" s="459"/>
    </row>
    <row r="567">
      <c r="B567" s="459"/>
      <c r="C567" s="459"/>
      <c r="D567" s="459"/>
      <c r="E567" s="459"/>
      <c r="F567" s="459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9"/>
      <c r="Z567" s="459"/>
      <c r="AA567" s="459"/>
      <c r="AB567" s="459"/>
      <c r="AC567" s="459"/>
      <c r="AD567" s="459"/>
      <c r="AE567" s="459"/>
      <c r="AF567" s="459"/>
    </row>
    <row r="568">
      <c r="B568" s="459"/>
      <c r="C568" s="459"/>
      <c r="D568" s="459"/>
      <c r="E568" s="459"/>
      <c r="F568" s="459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9"/>
      <c r="Z568" s="459"/>
      <c r="AA568" s="459"/>
      <c r="AB568" s="459"/>
      <c r="AC568" s="459"/>
      <c r="AD568" s="459"/>
      <c r="AE568" s="459"/>
      <c r="AF568" s="459"/>
    </row>
    <row r="569">
      <c r="B569" s="459"/>
      <c r="C569" s="459"/>
      <c r="D569" s="459"/>
      <c r="E569" s="459"/>
      <c r="F569" s="459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9"/>
      <c r="Z569" s="459"/>
      <c r="AA569" s="459"/>
      <c r="AB569" s="459"/>
      <c r="AC569" s="459"/>
      <c r="AD569" s="459"/>
      <c r="AE569" s="459"/>
      <c r="AF569" s="459"/>
    </row>
    <row r="570">
      <c r="B570" s="459"/>
      <c r="C570" s="459"/>
      <c r="D570" s="459"/>
      <c r="E570" s="459"/>
      <c r="F570" s="459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9"/>
      <c r="Z570" s="459"/>
      <c r="AA570" s="459"/>
      <c r="AB570" s="459"/>
      <c r="AC570" s="459"/>
      <c r="AD570" s="459"/>
      <c r="AE570" s="459"/>
      <c r="AF570" s="459"/>
    </row>
    <row r="571">
      <c r="B571" s="459"/>
      <c r="C571" s="459"/>
      <c r="D571" s="459"/>
      <c r="E571" s="459"/>
      <c r="F571" s="459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9"/>
      <c r="Z571" s="459"/>
      <c r="AA571" s="459"/>
      <c r="AB571" s="459"/>
      <c r="AC571" s="459"/>
      <c r="AD571" s="459"/>
      <c r="AE571" s="459"/>
      <c r="AF571" s="459"/>
    </row>
    <row r="572">
      <c r="B572" s="459"/>
      <c r="C572" s="459"/>
      <c r="D572" s="459"/>
      <c r="E572" s="459"/>
      <c r="F572" s="459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9"/>
      <c r="Z572" s="459"/>
      <c r="AA572" s="459"/>
      <c r="AB572" s="459"/>
      <c r="AC572" s="459"/>
      <c r="AD572" s="459"/>
      <c r="AE572" s="459"/>
      <c r="AF572" s="459"/>
    </row>
    <row r="573">
      <c r="B573" s="459"/>
      <c r="C573" s="459"/>
      <c r="D573" s="459"/>
      <c r="E573" s="459"/>
      <c r="F573" s="459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9"/>
      <c r="Z573" s="459"/>
      <c r="AA573" s="459"/>
      <c r="AB573" s="459"/>
      <c r="AC573" s="459"/>
      <c r="AD573" s="459"/>
      <c r="AE573" s="459"/>
      <c r="AF573" s="459"/>
    </row>
    <row r="574">
      <c r="B574" s="459"/>
      <c r="C574" s="459"/>
      <c r="D574" s="459"/>
      <c r="E574" s="459"/>
      <c r="F574" s="459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9"/>
      <c r="Z574" s="459"/>
      <c r="AA574" s="459"/>
      <c r="AB574" s="459"/>
      <c r="AC574" s="459"/>
      <c r="AD574" s="459"/>
      <c r="AE574" s="459"/>
      <c r="AF574" s="459"/>
    </row>
    <row r="575">
      <c r="B575" s="459"/>
      <c r="C575" s="459"/>
      <c r="D575" s="459"/>
      <c r="E575" s="459"/>
      <c r="F575" s="459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9"/>
      <c r="Z575" s="459"/>
      <c r="AA575" s="459"/>
      <c r="AB575" s="459"/>
      <c r="AC575" s="459"/>
      <c r="AD575" s="459"/>
      <c r="AE575" s="459"/>
      <c r="AF575" s="459"/>
    </row>
    <row r="576">
      <c r="B576" s="459"/>
      <c r="C576" s="459"/>
      <c r="D576" s="459"/>
      <c r="E576" s="459"/>
      <c r="F576" s="459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9"/>
      <c r="Z576" s="459"/>
      <c r="AA576" s="459"/>
      <c r="AB576" s="459"/>
      <c r="AC576" s="459"/>
      <c r="AD576" s="459"/>
      <c r="AE576" s="459"/>
      <c r="AF576" s="459"/>
    </row>
    <row r="577">
      <c r="B577" s="459"/>
      <c r="C577" s="459"/>
      <c r="D577" s="459"/>
      <c r="E577" s="459"/>
      <c r="F577" s="459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9"/>
      <c r="Z577" s="459"/>
      <c r="AA577" s="459"/>
      <c r="AB577" s="459"/>
      <c r="AC577" s="459"/>
      <c r="AD577" s="459"/>
      <c r="AE577" s="459"/>
      <c r="AF577" s="459"/>
    </row>
    <row r="578">
      <c r="B578" s="459"/>
      <c r="C578" s="459"/>
      <c r="D578" s="459"/>
      <c r="E578" s="459"/>
      <c r="F578" s="459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9"/>
      <c r="Z578" s="459"/>
      <c r="AA578" s="459"/>
      <c r="AB578" s="459"/>
      <c r="AC578" s="459"/>
      <c r="AD578" s="459"/>
      <c r="AE578" s="459"/>
      <c r="AF578" s="459"/>
    </row>
    <row r="579">
      <c r="B579" s="459"/>
      <c r="C579" s="459"/>
      <c r="D579" s="459"/>
      <c r="E579" s="459"/>
      <c r="F579" s="459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9"/>
      <c r="Z579" s="459"/>
      <c r="AA579" s="459"/>
      <c r="AB579" s="459"/>
      <c r="AC579" s="459"/>
      <c r="AD579" s="459"/>
      <c r="AE579" s="459"/>
      <c r="AF579" s="459"/>
    </row>
    <row r="580">
      <c r="B580" s="459"/>
      <c r="C580" s="459"/>
      <c r="D580" s="459"/>
      <c r="E580" s="459"/>
      <c r="F580" s="459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9"/>
      <c r="Z580" s="459"/>
      <c r="AA580" s="459"/>
      <c r="AB580" s="459"/>
      <c r="AC580" s="459"/>
      <c r="AD580" s="459"/>
      <c r="AE580" s="459"/>
      <c r="AF580" s="459"/>
    </row>
    <row r="581">
      <c r="B581" s="459"/>
      <c r="C581" s="459"/>
      <c r="D581" s="459"/>
      <c r="E581" s="459"/>
      <c r="F581" s="459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9"/>
      <c r="Z581" s="459"/>
      <c r="AA581" s="459"/>
      <c r="AB581" s="459"/>
      <c r="AC581" s="459"/>
      <c r="AD581" s="459"/>
      <c r="AE581" s="459"/>
      <c r="AF581" s="459"/>
    </row>
    <row r="582">
      <c r="B582" s="459"/>
      <c r="C582" s="459"/>
      <c r="D582" s="459"/>
      <c r="E582" s="459"/>
      <c r="F582" s="459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9"/>
      <c r="Z582" s="459"/>
      <c r="AA582" s="459"/>
      <c r="AB582" s="459"/>
      <c r="AC582" s="459"/>
      <c r="AD582" s="459"/>
      <c r="AE582" s="459"/>
      <c r="AF582" s="459"/>
    </row>
    <row r="583">
      <c r="B583" s="459"/>
      <c r="C583" s="459"/>
      <c r="D583" s="459"/>
      <c r="E583" s="459"/>
      <c r="F583" s="459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9"/>
      <c r="Z583" s="459"/>
      <c r="AA583" s="459"/>
      <c r="AB583" s="459"/>
      <c r="AC583" s="459"/>
      <c r="AD583" s="459"/>
      <c r="AE583" s="459"/>
      <c r="AF583" s="459"/>
    </row>
    <row r="584">
      <c r="B584" s="459"/>
      <c r="C584" s="459"/>
      <c r="D584" s="459"/>
      <c r="E584" s="459"/>
      <c r="F584" s="459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9"/>
      <c r="Z584" s="459"/>
      <c r="AA584" s="459"/>
      <c r="AB584" s="459"/>
      <c r="AC584" s="459"/>
      <c r="AD584" s="459"/>
      <c r="AE584" s="459"/>
      <c r="AF584" s="459"/>
    </row>
    <row r="585">
      <c r="B585" s="459"/>
      <c r="C585" s="459"/>
      <c r="D585" s="459"/>
      <c r="E585" s="459"/>
      <c r="F585" s="459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9"/>
      <c r="Z585" s="459"/>
      <c r="AA585" s="459"/>
      <c r="AB585" s="459"/>
      <c r="AC585" s="459"/>
      <c r="AD585" s="459"/>
      <c r="AE585" s="459"/>
      <c r="AF585" s="459"/>
    </row>
    <row r="586">
      <c r="B586" s="459"/>
      <c r="C586" s="459"/>
      <c r="D586" s="459"/>
      <c r="E586" s="459"/>
      <c r="F586" s="459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9"/>
      <c r="Z586" s="459"/>
      <c r="AA586" s="459"/>
      <c r="AB586" s="459"/>
      <c r="AC586" s="459"/>
      <c r="AD586" s="459"/>
      <c r="AE586" s="459"/>
      <c r="AF586" s="459"/>
    </row>
    <row r="587">
      <c r="B587" s="459"/>
      <c r="C587" s="459"/>
      <c r="D587" s="459"/>
      <c r="E587" s="459"/>
      <c r="F587" s="459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9"/>
      <c r="Z587" s="459"/>
      <c r="AA587" s="459"/>
      <c r="AB587" s="459"/>
      <c r="AC587" s="459"/>
      <c r="AD587" s="459"/>
      <c r="AE587" s="459"/>
      <c r="AF587" s="459"/>
    </row>
    <row r="588">
      <c r="B588" s="459"/>
      <c r="C588" s="459"/>
      <c r="D588" s="459"/>
      <c r="E588" s="459"/>
      <c r="F588" s="459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9"/>
      <c r="Z588" s="459"/>
      <c r="AA588" s="459"/>
      <c r="AB588" s="459"/>
      <c r="AC588" s="459"/>
      <c r="AD588" s="459"/>
      <c r="AE588" s="459"/>
      <c r="AF588" s="459"/>
    </row>
    <row r="589">
      <c r="B589" s="459"/>
      <c r="C589" s="459"/>
      <c r="D589" s="459"/>
      <c r="E589" s="459"/>
      <c r="F589" s="459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9"/>
      <c r="Z589" s="459"/>
      <c r="AA589" s="459"/>
      <c r="AB589" s="459"/>
      <c r="AC589" s="459"/>
      <c r="AD589" s="459"/>
      <c r="AE589" s="459"/>
      <c r="AF589" s="459"/>
    </row>
    <row r="590">
      <c r="B590" s="459"/>
      <c r="C590" s="459"/>
      <c r="D590" s="459"/>
      <c r="E590" s="459"/>
      <c r="F590" s="459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9"/>
      <c r="Z590" s="459"/>
      <c r="AA590" s="459"/>
      <c r="AB590" s="459"/>
      <c r="AC590" s="459"/>
      <c r="AD590" s="459"/>
      <c r="AE590" s="459"/>
      <c r="AF590" s="459"/>
    </row>
    <row r="591">
      <c r="B591" s="459"/>
      <c r="C591" s="459"/>
      <c r="D591" s="459"/>
      <c r="E591" s="459"/>
      <c r="F591" s="459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9"/>
      <c r="Z591" s="459"/>
      <c r="AA591" s="459"/>
      <c r="AB591" s="459"/>
      <c r="AC591" s="459"/>
      <c r="AD591" s="459"/>
      <c r="AE591" s="459"/>
      <c r="AF591" s="459"/>
    </row>
    <row r="592">
      <c r="B592" s="459"/>
      <c r="C592" s="459"/>
      <c r="D592" s="459"/>
      <c r="E592" s="459"/>
      <c r="F592" s="459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9"/>
      <c r="Z592" s="459"/>
      <c r="AA592" s="459"/>
      <c r="AB592" s="459"/>
      <c r="AC592" s="459"/>
      <c r="AD592" s="459"/>
      <c r="AE592" s="459"/>
      <c r="AF592" s="459"/>
    </row>
    <row r="593">
      <c r="B593" s="459"/>
      <c r="C593" s="459"/>
      <c r="D593" s="459"/>
      <c r="E593" s="459"/>
      <c r="F593" s="459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9"/>
      <c r="Z593" s="459"/>
      <c r="AA593" s="459"/>
      <c r="AB593" s="459"/>
      <c r="AC593" s="459"/>
      <c r="AD593" s="459"/>
      <c r="AE593" s="459"/>
      <c r="AF593" s="459"/>
    </row>
    <row r="594">
      <c r="B594" s="459"/>
      <c r="C594" s="459"/>
      <c r="D594" s="459"/>
      <c r="E594" s="459"/>
      <c r="F594" s="459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9"/>
      <c r="Z594" s="459"/>
      <c r="AA594" s="459"/>
      <c r="AB594" s="459"/>
      <c r="AC594" s="459"/>
      <c r="AD594" s="459"/>
      <c r="AE594" s="459"/>
      <c r="AF594" s="459"/>
    </row>
    <row r="595">
      <c r="B595" s="459"/>
      <c r="C595" s="459"/>
      <c r="D595" s="459"/>
      <c r="E595" s="459"/>
      <c r="F595" s="459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9"/>
      <c r="Z595" s="459"/>
      <c r="AA595" s="459"/>
      <c r="AB595" s="459"/>
      <c r="AC595" s="459"/>
      <c r="AD595" s="459"/>
      <c r="AE595" s="459"/>
      <c r="AF595" s="459"/>
    </row>
    <row r="596">
      <c r="B596" s="459"/>
      <c r="C596" s="459"/>
      <c r="D596" s="459"/>
      <c r="E596" s="459"/>
      <c r="F596" s="459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9"/>
      <c r="Z596" s="459"/>
      <c r="AA596" s="459"/>
      <c r="AB596" s="459"/>
      <c r="AC596" s="459"/>
      <c r="AD596" s="459"/>
      <c r="AE596" s="459"/>
      <c r="AF596" s="459"/>
    </row>
    <row r="597">
      <c r="B597" s="459"/>
      <c r="C597" s="459"/>
      <c r="D597" s="459"/>
      <c r="E597" s="459"/>
      <c r="F597" s="459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9"/>
      <c r="Z597" s="459"/>
      <c r="AA597" s="459"/>
      <c r="AB597" s="459"/>
      <c r="AC597" s="459"/>
      <c r="AD597" s="459"/>
      <c r="AE597" s="459"/>
      <c r="AF597" s="459"/>
    </row>
    <row r="598">
      <c r="B598" s="459"/>
      <c r="C598" s="459"/>
      <c r="D598" s="459"/>
      <c r="E598" s="459"/>
      <c r="F598" s="459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9"/>
      <c r="Z598" s="459"/>
      <c r="AA598" s="459"/>
      <c r="AB598" s="459"/>
      <c r="AC598" s="459"/>
      <c r="AD598" s="459"/>
      <c r="AE598" s="459"/>
      <c r="AF598" s="459"/>
    </row>
    <row r="599">
      <c r="B599" s="459"/>
      <c r="C599" s="459"/>
      <c r="D599" s="459"/>
      <c r="E599" s="459"/>
      <c r="F599" s="459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9"/>
      <c r="Z599" s="459"/>
      <c r="AA599" s="459"/>
      <c r="AB599" s="459"/>
      <c r="AC599" s="459"/>
      <c r="AD599" s="459"/>
      <c r="AE599" s="459"/>
      <c r="AF599" s="459"/>
    </row>
    <row r="600">
      <c r="B600" s="459"/>
      <c r="C600" s="459"/>
      <c r="D600" s="459"/>
      <c r="E600" s="459"/>
      <c r="F600" s="459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9"/>
      <c r="Z600" s="459"/>
      <c r="AA600" s="459"/>
      <c r="AB600" s="459"/>
      <c r="AC600" s="459"/>
      <c r="AD600" s="459"/>
      <c r="AE600" s="459"/>
      <c r="AF600" s="459"/>
    </row>
    <row r="601">
      <c r="B601" s="459"/>
      <c r="C601" s="459"/>
      <c r="D601" s="459"/>
      <c r="E601" s="459"/>
      <c r="F601" s="459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9"/>
      <c r="Z601" s="459"/>
      <c r="AA601" s="459"/>
      <c r="AB601" s="459"/>
      <c r="AC601" s="459"/>
      <c r="AD601" s="459"/>
      <c r="AE601" s="459"/>
      <c r="AF601" s="459"/>
    </row>
    <row r="602">
      <c r="B602" s="459"/>
      <c r="C602" s="459"/>
      <c r="D602" s="459"/>
      <c r="E602" s="459"/>
      <c r="F602" s="459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9"/>
      <c r="Z602" s="459"/>
      <c r="AA602" s="459"/>
      <c r="AB602" s="459"/>
      <c r="AC602" s="459"/>
      <c r="AD602" s="459"/>
      <c r="AE602" s="459"/>
      <c r="AF602" s="459"/>
    </row>
    <row r="603">
      <c r="B603" s="459"/>
      <c r="C603" s="459"/>
      <c r="D603" s="459"/>
      <c r="E603" s="459"/>
      <c r="F603" s="459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9"/>
      <c r="Z603" s="459"/>
      <c r="AA603" s="459"/>
      <c r="AB603" s="459"/>
      <c r="AC603" s="459"/>
      <c r="AD603" s="459"/>
      <c r="AE603" s="459"/>
      <c r="AF603" s="459"/>
    </row>
    <row r="604">
      <c r="B604" s="459"/>
      <c r="C604" s="459"/>
      <c r="D604" s="459"/>
      <c r="E604" s="459"/>
      <c r="F604" s="459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9"/>
      <c r="Z604" s="459"/>
      <c r="AA604" s="459"/>
      <c r="AB604" s="459"/>
      <c r="AC604" s="459"/>
      <c r="AD604" s="459"/>
      <c r="AE604" s="459"/>
      <c r="AF604" s="459"/>
    </row>
    <row r="605">
      <c r="B605" s="459"/>
      <c r="C605" s="459"/>
      <c r="D605" s="459"/>
      <c r="E605" s="459"/>
      <c r="F605" s="459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9"/>
      <c r="Z605" s="459"/>
      <c r="AA605" s="459"/>
      <c r="AB605" s="459"/>
      <c r="AC605" s="459"/>
      <c r="AD605" s="459"/>
      <c r="AE605" s="459"/>
      <c r="AF605" s="459"/>
    </row>
    <row r="606">
      <c r="B606" s="459"/>
      <c r="C606" s="459"/>
      <c r="D606" s="459"/>
      <c r="E606" s="459"/>
      <c r="F606" s="459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9"/>
      <c r="Z606" s="459"/>
      <c r="AA606" s="459"/>
      <c r="AB606" s="459"/>
      <c r="AC606" s="459"/>
      <c r="AD606" s="459"/>
      <c r="AE606" s="459"/>
      <c r="AF606" s="459"/>
    </row>
    <row r="607">
      <c r="B607" s="459"/>
      <c r="C607" s="459"/>
      <c r="D607" s="459"/>
      <c r="E607" s="459"/>
      <c r="F607" s="459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9"/>
      <c r="Z607" s="459"/>
      <c r="AA607" s="459"/>
      <c r="AB607" s="459"/>
      <c r="AC607" s="459"/>
      <c r="AD607" s="459"/>
      <c r="AE607" s="459"/>
      <c r="AF607" s="459"/>
    </row>
    <row r="608">
      <c r="B608" s="459"/>
      <c r="C608" s="459"/>
      <c r="D608" s="459"/>
      <c r="E608" s="459"/>
      <c r="F608" s="459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9"/>
      <c r="Z608" s="459"/>
      <c r="AA608" s="459"/>
      <c r="AB608" s="459"/>
      <c r="AC608" s="459"/>
      <c r="AD608" s="459"/>
      <c r="AE608" s="459"/>
      <c r="AF608" s="459"/>
    </row>
    <row r="609">
      <c r="B609" s="459"/>
      <c r="C609" s="459"/>
      <c r="D609" s="459"/>
      <c r="E609" s="459"/>
      <c r="F609" s="459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9"/>
      <c r="Z609" s="459"/>
      <c r="AA609" s="459"/>
      <c r="AB609" s="459"/>
      <c r="AC609" s="459"/>
      <c r="AD609" s="459"/>
      <c r="AE609" s="459"/>
      <c r="AF609" s="459"/>
    </row>
    <row r="610">
      <c r="B610" s="459"/>
      <c r="C610" s="459"/>
      <c r="D610" s="459"/>
      <c r="E610" s="459"/>
      <c r="F610" s="459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9"/>
      <c r="Z610" s="459"/>
      <c r="AA610" s="459"/>
      <c r="AB610" s="459"/>
      <c r="AC610" s="459"/>
      <c r="AD610" s="459"/>
      <c r="AE610" s="459"/>
      <c r="AF610" s="459"/>
    </row>
    <row r="611">
      <c r="B611" s="459"/>
      <c r="C611" s="459"/>
      <c r="D611" s="459"/>
      <c r="E611" s="459"/>
      <c r="F611" s="459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9"/>
      <c r="Z611" s="459"/>
      <c r="AA611" s="459"/>
      <c r="AB611" s="459"/>
      <c r="AC611" s="459"/>
      <c r="AD611" s="459"/>
      <c r="AE611" s="459"/>
      <c r="AF611" s="459"/>
    </row>
    <row r="612">
      <c r="B612" s="459"/>
      <c r="C612" s="459"/>
      <c r="D612" s="459"/>
      <c r="E612" s="459"/>
      <c r="F612" s="459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9"/>
      <c r="Z612" s="459"/>
      <c r="AA612" s="459"/>
      <c r="AB612" s="459"/>
      <c r="AC612" s="459"/>
      <c r="AD612" s="459"/>
      <c r="AE612" s="459"/>
      <c r="AF612" s="459"/>
    </row>
    <row r="613">
      <c r="B613" s="459"/>
      <c r="C613" s="459"/>
      <c r="D613" s="459"/>
      <c r="E613" s="459"/>
      <c r="F613" s="459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9"/>
      <c r="Z613" s="459"/>
      <c r="AA613" s="459"/>
      <c r="AB613" s="459"/>
      <c r="AC613" s="459"/>
      <c r="AD613" s="459"/>
      <c r="AE613" s="459"/>
      <c r="AF613" s="459"/>
    </row>
    <row r="614">
      <c r="B614" s="459"/>
      <c r="C614" s="459"/>
      <c r="D614" s="459"/>
      <c r="E614" s="459"/>
      <c r="F614" s="459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9"/>
      <c r="Z614" s="459"/>
      <c r="AA614" s="459"/>
      <c r="AB614" s="459"/>
      <c r="AC614" s="459"/>
      <c r="AD614" s="459"/>
      <c r="AE614" s="459"/>
      <c r="AF614" s="459"/>
    </row>
    <row r="615">
      <c r="B615" s="459"/>
      <c r="C615" s="459"/>
      <c r="D615" s="459"/>
      <c r="E615" s="459"/>
      <c r="F615" s="459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9"/>
      <c r="Z615" s="459"/>
      <c r="AA615" s="459"/>
      <c r="AB615" s="459"/>
      <c r="AC615" s="459"/>
      <c r="AD615" s="459"/>
      <c r="AE615" s="459"/>
      <c r="AF615" s="459"/>
    </row>
    <row r="616">
      <c r="B616" s="459"/>
      <c r="C616" s="459"/>
      <c r="D616" s="459"/>
      <c r="E616" s="459"/>
      <c r="F616" s="459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9"/>
      <c r="Z616" s="459"/>
      <c r="AA616" s="459"/>
      <c r="AB616" s="459"/>
      <c r="AC616" s="459"/>
      <c r="AD616" s="459"/>
      <c r="AE616" s="459"/>
      <c r="AF616" s="459"/>
    </row>
    <row r="617">
      <c r="B617" s="459"/>
      <c r="C617" s="459"/>
      <c r="D617" s="459"/>
      <c r="E617" s="459"/>
      <c r="F617" s="459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9"/>
      <c r="Z617" s="459"/>
      <c r="AA617" s="459"/>
      <c r="AB617" s="459"/>
      <c r="AC617" s="459"/>
      <c r="AD617" s="459"/>
      <c r="AE617" s="459"/>
      <c r="AF617" s="459"/>
    </row>
    <row r="618">
      <c r="B618" s="459"/>
      <c r="C618" s="459"/>
      <c r="D618" s="459"/>
      <c r="E618" s="459"/>
      <c r="F618" s="459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9"/>
      <c r="Z618" s="459"/>
      <c r="AA618" s="459"/>
      <c r="AB618" s="459"/>
      <c r="AC618" s="459"/>
      <c r="AD618" s="459"/>
      <c r="AE618" s="459"/>
      <c r="AF618" s="459"/>
    </row>
    <row r="619">
      <c r="B619" s="459"/>
      <c r="C619" s="459"/>
      <c r="D619" s="459"/>
      <c r="E619" s="459"/>
      <c r="F619" s="459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9"/>
      <c r="Z619" s="459"/>
      <c r="AA619" s="459"/>
      <c r="AB619" s="459"/>
      <c r="AC619" s="459"/>
      <c r="AD619" s="459"/>
      <c r="AE619" s="459"/>
      <c r="AF619" s="459"/>
    </row>
    <row r="620">
      <c r="B620" s="459"/>
      <c r="C620" s="459"/>
      <c r="D620" s="459"/>
      <c r="E620" s="459"/>
      <c r="F620" s="459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9"/>
      <c r="Z620" s="459"/>
      <c r="AA620" s="459"/>
      <c r="AB620" s="459"/>
      <c r="AC620" s="459"/>
      <c r="AD620" s="459"/>
      <c r="AE620" s="459"/>
      <c r="AF620" s="459"/>
    </row>
    <row r="621">
      <c r="B621" s="459"/>
      <c r="C621" s="459"/>
      <c r="D621" s="459"/>
      <c r="E621" s="459"/>
      <c r="F621" s="459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9"/>
      <c r="Z621" s="459"/>
      <c r="AA621" s="459"/>
      <c r="AB621" s="459"/>
      <c r="AC621" s="459"/>
      <c r="AD621" s="459"/>
      <c r="AE621" s="459"/>
      <c r="AF621" s="459"/>
    </row>
    <row r="622">
      <c r="B622" s="459"/>
      <c r="C622" s="459"/>
      <c r="D622" s="459"/>
      <c r="E622" s="459"/>
      <c r="F622" s="459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9"/>
      <c r="Z622" s="459"/>
      <c r="AA622" s="459"/>
      <c r="AB622" s="459"/>
      <c r="AC622" s="459"/>
      <c r="AD622" s="459"/>
      <c r="AE622" s="459"/>
      <c r="AF622" s="459"/>
    </row>
    <row r="623">
      <c r="B623" s="459"/>
      <c r="C623" s="459"/>
      <c r="D623" s="459"/>
      <c r="E623" s="459"/>
      <c r="F623" s="459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9"/>
      <c r="Z623" s="459"/>
      <c r="AA623" s="459"/>
      <c r="AB623" s="459"/>
      <c r="AC623" s="459"/>
      <c r="AD623" s="459"/>
      <c r="AE623" s="459"/>
      <c r="AF623" s="459"/>
    </row>
    <row r="624">
      <c r="B624" s="459"/>
      <c r="C624" s="459"/>
      <c r="D624" s="459"/>
      <c r="E624" s="459"/>
      <c r="F624" s="459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9"/>
      <c r="Z624" s="459"/>
      <c r="AA624" s="459"/>
      <c r="AB624" s="459"/>
      <c r="AC624" s="459"/>
      <c r="AD624" s="459"/>
      <c r="AE624" s="459"/>
      <c r="AF624" s="459"/>
    </row>
    <row r="625">
      <c r="B625" s="459"/>
      <c r="C625" s="459"/>
      <c r="D625" s="459"/>
      <c r="E625" s="459"/>
      <c r="F625" s="459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9"/>
      <c r="Z625" s="459"/>
      <c r="AA625" s="459"/>
      <c r="AB625" s="459"/>
      <c r="AC625" s="459"/>
      <c r="AD625" s="459"/>
      <c r="AE625" s="459"/>
      <c r="AF625" s="459"/>
    </row>
    <row r="626">
      <c r="B626" s="459"/>
      <c r="C626" s="459"/>
      <c r="D626" s="459"/>
      <c r="E626" s="459"/>
      <c r="F626" s="459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9"/>
      <c r="Z626" s="459"/>
      <c r="AA626" s="459"/>
      <c r="AB626" s="459"/>
      <c r="AC626" s="459"/>
      <c r="AD626" s="459"/>
      <c r="AE626" s="459"/>
      <c r="AF626" s="459"/>
    </row>
    <row r="627">
      <c r="B627" s="459"/>
      <c r="C627" s="459"/>
      <c r="D627" s="459"/>
      <c r="E627" s="459"/>
      <c r="F627" s="459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9"/>
      <c r="Z627" s="459"/>
      <c r="AA627" s="459"/>
      <c r="AB627" s="459"/>
      <c r="AC627" s="459"/>
      <c r="AD627" s="459"/>
      <c r="AE627" s="459"/>
      <c r="AF627" s="459"/>
    </row>
    <row r="628">
      <c r="B628" s="459"/>
      <c r="C628" s="459"/>
      <c r="D628" s="459"/>
      <c r="E628" s="459"/>
      <c r="F628" s="459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9"/>
      <c r="Z628" s="459"/>
      <c r="AA628" s="459"/>
      <c r="AB628" s="459"/>
      <c r="AC628" s="459"/>
      <c r="AD628" s="459"/>
      <c r="AE628" s="459"/>
      <c r="AF628" s="459"/>
    </row>
    <row r="629">
      <c r="B629" s="459"/>
      <c r="C629" s="459"/>
      <c r="D629" s="459"/>
      <c r="E629" s="459"/>
      <c r="F629" s="459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9"/>
      <c r="Z629" s="459"/>
      <c r="AA629" s="459"/>
      <c r="AB629" s="459"/>
      <c r="AC629" s="459"/>
      <c r="AD629" s="459"/>
      <c r="AE629" s="459"/>
      <c r="AF629" s="459"/>
    </row>
    <row r="630">
      <c r="B630" s="459"/>
      <c r="C630" s="459"/>
      <c r="D630" s="459"/>
      <c r="E630" s="459"/>
      <c r="F630" s="459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9"/>
      <c r="Z630" s="459"/>
      <c r="AA630" s="459"/>
      <c r="AB630" s="459"/>
      <c r="AC630" s="459"/>
      <c r="AD630" s="459"/>
      <c r="AE630" s="459"/>
      <c r="AF630" s="459"/>
    </row>
    <row r="631">
      <c r="B631" s="459"/>
      <c r="C631" s="459"/>
      <c r="D631" s="459"/>
      <c r="E631" s="459"/>
      <c r="F631" s="459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9"/>
      <c r="Z631" s="459"/>
      <c r="AA631" s="459"/>
      <c r="AB631" s="459"/>
      <c r="AC631" s="459"/>
      <c r="AD631" s="459"/>
      <c r="AE631" s="459"/>
      <c r="AF631" s="459"/>
    </row>
    <row r="632">
      <c r="B632" s="459"/>
      <c r="C632" s="459"/>
      <c r="D632" s="459"/>
      <c r="E632" s="459"/>
      <c r="F632" s="459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9"/>
      <c r="Z632" s="459"/>
      <c r="AA632" s="459"/>
      <c r="AB632" s="459"/>
      <c r="AC632" s="459"/>
      <c r="AD632" s="459"/>
      <c r="AE632" s="459"/>
      <c r="AF632" s="459"/>
    </row>
    <row r="633">
      <c r="B633" s="459"/>
      <c r="C633" s="459"/>
      <c r="D633" s="459"/>
      <c r="E633" s="459"/>
      <c r="F633" s="459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9"/>
      <c r="Z633" s="459"/>
      <c r="AA633" s="459"/>
      <c r="AB633" s="459"/>
      <c r="AC633" s="459"/>
      <c r="AD633" s="459"/>
      <c r="AE633" s="459"/>
      <c r="AF633" s="459"/>
    </row>
    <row r="634">
      <c r="B634" s="459"/>
      <c r="C634" s="459"/>
      <c r="D634" s="459"/>
      <c r="E634" s="459"/>
      <c r="F634" s="459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9"/>
      <c r="Z634" s="459"/>
      <c r="AA634" s="459"/>
      <c r="AB634" s="459"/>
      <c r="AC634" s="459"/>
      <c r="AD634" s="459"/>
      <c r="AE634" s="459"/>
      <c r="AF634" s="459"/>
    </row>
    <row r="635">
      <c r="B635" s="459"/>
      <c r="C635" s="459"/>
      <c r="D635" s="459"/>
      <c r="E635" s="459"/>
      <c r="F635" s="459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9"/>
      <c r="Z635" s="459"/>
      <c r="AA635" s="459"/>
      <c r="AB635" s="459"/>
      <c r="AC635" s="459"/>
      <c r="AD635" s="459"/>
      <c r="AE635" s="459"/>
      <c r="AF635" s="459"/>
    </row>
    <row r="636">
      <c r="B636" s="459"/>
      <c r="C636" s="459"/>
      <c r="D636" s="459"/>
      <c r="E636" s="459"/>
      <c r="F636" s="459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9"/>
      <c r="Z636" s="459"/>
      <c r="AA636" s="459"/>
      <c r="AB636" s="459"/>
      <c r="AC636" s="459"/>
      <c r="AD636" s="459"/>
      <c r="AE636" s="459"/>
      <c r="AF636" s="459"/>
    </row>
    <row r="637">
      <c r="B637" s="459"/>
      <c r="C637" s="459"/>
      <c r="D637" s="459"/>
      <c r="E637" s="459"/>
      <c r="F637" s="459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9"/>
      <c r="Z637" s="459"/>
      <c r="AA637" s="459"/>
      <c r="AB637" s="459"/>
      <c r="AC637" s="459"/>
      <c r="AD637" s="459"/>
      <c r="AE637" s="459"/>
      <c r="AF637" s="459"/>
    </row>
    <row r="638">
      <c r="B638" s="459"/>
      <c r="C638" s="459"/>
      <c r="D638" s="459"/>
      <c r="E638" s="459"/>
      <c r="F638" s="459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9"/>
      <c r="Z638" s="459"/>
      <c r="AA638" s="459"/>
      <c r="AB638" s="459"/>
      <c r="AC638" s="459"/>
      <c r="AD638" s="459"/>
      <c r="AE638" s="459"/>
      <c r="AF638" s="459"/>
    </row>
    <row r="639">
      <c r="B639" s="459"/>
      <c r="C639" s="459"/>
      <c r="D639" s="459"/>
      <c r="E639" s="459"/>
      <c r="F639" s="459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9"/>
      <c r="Z639" s="459"/>
      <c r="AA639" s="459"/>
      <c r="AB639" s="459"/>
      <c r="AC639" s="459"/>
      <c r="AD639" s="459"/>
      <c r="AE639" s="459"/>
      <c r="AF639" s="459"/>
    </row>
    <row r="640">
      <c r="B640" s="459"/>
      <c r="C640" s="459"/>
      <c r="D640" s="459"/>
      <c r="E640" s="459"/>
      <c r="F640" s="459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9"/>
      <c r="Z640" s="459"/>
      <c r="AA640" s="459"/>
      <c r="AB640" s="459"/>
      <c r="AC640" s="459"/>
      <c r="AD640" s="459"/>
      <c r="AE640" s="459"/>
      <c r="AF640" s="459"/>
    </row>
    <row r="641">
      <c r="B641" s="459"/>
      <c r="C641" s="459"/>
      <c r="D641" s="459"/>
      <c r="E641" s="459"/>
      <c r="F641" s="459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9"/>
      <c r="Z641" s="459"/>
      <c r="AA641" s="459"/>
      <c r="AB641" s="459"/>
      <c r="AC641" s="459"/>
      <c r="AD641" s="459"/>
      <c r="AE641" s="459"/>
      <c r="AF641" s="459"/>
    </row>
    <row r="642">
      <c r="B642" s="459"/>
      <c r="C642" s="459"/>
      <c r="D642" s="459"/>
      <c r="E642" s="459"/>
      <c r="F642" s="459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9"/>
      <c r="Z642" s="459"/>
      <c r="AA642" s="459"/>
      <c r="AB642" s="459"/>
      <c r="AC642" s="459"/>
      <c r="AD642" s="459"/>
      <c r="AE642" s="459"/>
      <c r="AF642" s="459"/>
    </row>
    <row r="643">
      <c r="B643" s="459"/>
      <c r="C643" s="459"/>
      <c r="D643" s="459"/>
      <c r="E643" s="459"/>
      <c r="F643" s="459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9"/>
      <c r="Z643" s="459"/>
      <c r="AA643" s="459"/>
      <c r="AB643" s="459"/>
      <c r="AC643" s="459"/>
      <c r="AD643" s="459"/>
      <c r="AE643" s="459"/>
      <c r="AF643" s="459"/>
    </row>
    <row r="644">
      <c r="B644" s="459"/>
      <c r="C644" s="459"/>
      <c r="D644" s="459"/>
      <c r="E644" s="459"/>
      <c r="F644" s="459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9"/>
      <c r="Z644" s="459"/>
      <c r="AA644" s="459"/>
      <c r="AB644" s="459"/>
      <c r="AC644" s="459"/>
      <c r="AD644" s="459"/>
      <c r="AE644" s="459"/>
      <c r="AF644" s="459"/>
    </row>
    <row r="645">
      <c r="B645" s="459"/>
      <c r="C645" s="459"/>
      <c r="D645" s="459"/>
      <c r="E645" s="459"/>
      <c r="F645" s="459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9"/>
      <c r="Z645" s="459"/>
      <c r="AA645" s="459"/>
      <c r="AB645" s="459"/>
      <c r="AC645" s="459"/>
      <c r="AD645" s="459"/>
      <c r="AE645" s="459"/>
      <c r="AF645" s="459"/>
    </row>
    <row r="646">
      <c r="B646" s="459"/>
      <c r="C646" s="459"/>
      <c r="D646" s="459"/>
      <c r="E646" s="459"/>
      <c r="F646" s="459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9"/>
      <c r="Z646" s="459"/>
      <c r="AA646" s="459"/>
      <c r="AB646" s="459"/>
      <c r="AC646" s="459"/>
      <c r="AD646" s="459"/>
      <c r="AE646" s="459"/>
      <c r="AF646" s="459"/>
    </row>
    <row r="647">
      <c r="B647" s="459"/>
      <c r="C647" s="459"/>
      <c r="D647" s="459"/>
      <c r="E647" s="459"/>
      <c r="F647" s="459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9"/>
      <c r="Z647" s="459"/>
      <c r="AA647" s="459"/>
      <c r="AB647" s="459"/>
      <c r="AC647" s="459"/>
      <c r="AD647" s="459"/>
      <c r="AE647" s="459"/>
      <c r="AF647" s="459"/>
    </row>
    <row r="648">
      <c r="B648" s="459"/>
      <c r="C648" s="459"/>
      <c r="D648" s="459"/>
      <c r="E648" s="459"/>
      <c r="F648" s="459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9"/>
      <c r="Z648" s="459"/>
      <c r="AA648" s="459"/>
      <c r="AB648" s="459"/>
      <c r="AC648" s="459"/>
      <c r="AD648" s="459"/>
      <c r="AE648" s="459"/>
      <c r="AF648" s="459"/>
    </row>
    <row r="649">
      <c r="B649" s="459"/>
      <c r="C649" s="459"/>
      <c r="D649" s="459"/>
      <c r="E649" s="459"/>
      <c r="F649" s="459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9"/>
      <c r="Z649" s="459"/>
      <c r="AA649" s="459"/>
      <c r="AB649" s="459"/>
      <c r="AC649" s="459"/>
      <c r="AD649" s="459"/>
      <c r="AE649" s="459"/>
      <c r="AF649" s="459"/>
    </row>
    <row r="650">
      <c r="B650" s="459"/>
      <c r="C650" s="459"/>
      <c r="D650" s="459"/>
      <c r="E650" s="459"/>
      <c r="F650" s="459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9"/>
      <c r="Z650" s="459"/>
      <c r="AA650" s="459"/>
      <c r="AB650" s="459"/>
      <c r="AC650" s="459"/>
      <c r="AD650" s="459"/>
      <c r="AE650" s="459"/>
      <c r="AF650" s="459"/>
    </row>
    <row r="651">
      <c r="B651" s="459"/>
      <c r="C651" s="459"/>
      <c r="D651" s="459"/>
      <c r="E651" s="459"/>
      <c r="F651" s="459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9"/>
      <c r="Z651" s="459"/>
      <c r="AA651" s="459"/>
      <c r="AB651" s="459"/>
      <c r="AC651" s="459"/>
      <c r="AD651" s="459"/>
      <c r="AE651" s="459"/>
      <c r="AF651" s="459"/>
    </row>
    <row r="652">
      <c r="B652" s="459"/>
      <c r="C652" s="459"/>
      <c r="D652" s="459"/>
      <c r="E652" s="459"/>
      <c r="F652" s="459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9"/>
      <c r="Z652" s="459"/>
      <c r="AA652" s="459"/>
      <c r="AB652" s="459"/>
      <c r="AC652" s="459"/>
      <c r="AD652" s="459"/>
      <c r="AE652" s="459"/>
      <c r="AF652" s="459"/>
    </row>
    <row r="653">
      <c r="B653" s="459"/>
      <c r="C653" s="459"/>
      <c r="D653" s="459"/>
      <c r="E653" s="459"/>
      <c r="F653" s="459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9"/>
      <c r="Z653" s="459"/>
      <c r="AA653" s="459"/>
      <c r="AB653" s="459"/>
      <c r="AC653" s="459"/>
      <c r="AD653" s="459"/>
      <c r="AE653" s="459"/>
      <c r="AF653" s="459"/>
    </row>
    <row r="654">
      <c r="B654" s="459"/>
      <c r="C654" s="459"/>
      <c r="D654" s="459"/>
      <c r="E654" s="459"/>
      <c r="F654" s="459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9"/>
      <c r="Z654" s="459"/>
      <c r="AA654" s="459"/>
      <c r="AB654" s="459"/>
      <c r="AC654" s="459"/>
      <c r="AD654" s="459"/>
      <c r="AE654" s="459"/>
      <c r="AF654" s="459"/>
    </row>
    <row r="655">
      <c r="B655" s="459"/>
      <c r="C655" s="459"/>
      <c r="D655" s="459"/>
      <c r="E655" s="459"/>
      <c r="F655" s="459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9"/>
      <c r="Z655" s="459"/>
      <c r="AA655" s="459"/>
      <c r="AB655" s="459"/>
      <c r="AC655" s="459"/>
      <c r="AD655" s="459"/>
      <c r="AE655" s="459"/>
      <c r="AF655" s="459"/>
    </row>
    <row r="656">
      <c r="B656" s="459"/>
      <c r="C656" s="459"/>
      <c r="D656" s="459"/>
      <c r="E656" s="459"/>
      <c r="F656" s="459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9"/>
      <c r="Z656" s="459"/>
      <c r="AA656" s="459"/>
      <c r="AB656" s="459"/>
      <c r="AC656" s="459"/>
      <c r="AD656" s="459"/>
      <c r="AE656" s="459"/>
      <c r="AF656" s="459"/>
    </row>
    <row r="657">
      <c r="B657" s="459"/>
      <c r="C657" s="459"/>
      <c r="D657" s="459"/>
      <c r="E657" s="459"/>
      <c r="F657" s="459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9"/>
      <c r="Z657" s="459"/>
      <c r="AA657" s="459"/>
      <c r="AB657" s="459"/>
      <c r="AC657" s="459"/>
      <c r="AD657" s="459"/>
      <c r="AE657" s="459"/>
      <c r="AF657" s="459"/>
    </row>
    <row r="658">
      <c r="B658" s="459"/>
      <c r="C658" s="459"/>
      <c r="D658" s="459"/>
      <c r="E658" s="459"/>
      <c r="F658" s="459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9"/>
      <c r="Z658" s="459"/>
      <c r="AA658" s="459"/>
      <c r="AB658" s="459"/>
      <c r="AC658" s="459"/>
      <c r="AD658" s="459"/>
      <c r="AE658" s="459"/>
      <c r="AF658" s="459"/>
    </row>
    <row r="659">
      <c r="B659" s="459"/>
      <c r="C659" s="459"/>
      <c r="D659" s="459"/>
      <c r="E659" s="459"/>
      <c r="F659" s="459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9"/>
      <c r="Z659" s="459"/>
      <c r="AA659" s="459"/>
      <c r="AB659" s="459"/>
      <c r="AC659" s="459"/>
      <c r="AD659" s="459"/>
      <c r="AE659" s="459"/>
      <c r="AF659" s="459"/>
    </row>
    <row r="660">
      <c r="B660" s="459"/>
      <c r="C660" s="459"/>
      <c r="D660" s="459"/>
      <c r="E660" s="459"/>
      <c r="F660" s="459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9"/>
      <c r="Z660" s="459"/>
      <c r="AA660" s="459"/>
      <c r="AB660" s="459"/>
      <c r="AC660" s="459"/>
      <c r="AD660" s="459"/>
      <c r="AE660" s="459"/>
      <c r="AF660" s="459"/>
    </row>
    <row r="661">
      <c r="B661" s="459"/>
      <c r="C661" s="459"/>
      <c r="D661" s="459"/>
      <c r="E661" s="459"/>
      <c r="F661" s="459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9"/>
      <c r="Z661" s="459"/>
      <c r="AA661" s="459"/>
      <c r="AB661" s="459"/>
      <c r="AC661" s="459"/>
      <c r="AD661" s="459"/>
      <c r="AE661" s="459"/>
      <c r="AF661" s="459"/>
    </row>
    <row r="662">
      <c r="B662" s="459"/>
      <c r="C662" s="459"/>
      <c r="D662" s="459"/>
      <c r="E662" s="459"/>
      <c r="F662" s="459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9"/>
      <c r="Z662" s="459"/>
      <c r="AA662" s="459"/>
      <c r="AB662" s="459"/>
      <c r="AC662" s="459"/>
      <c r="AD662" s="459"/>
      <c r="AE662" s="459"/>
      <c r="AF662" s="459"/>
    </row>
    <row r="663">
      <c r="B663" s="459"/>
      <c r="C663" s="459"/>
      <c r="D663" s="459"/>
      <c r="E663" s="459"/>
      <c r="F663" s="459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9"/>
      <c r="Z663" s="459"/>
      <c r="AA663" s="459"/>
      <c r="AB663" s="459"/>
      <c r="AC663" s="459"/>
      <c r="AD663" s="459"/>
      <c r="AE663" s="459"/>
      <c r="AF663" s="459"/>
    </row>
    <row r="664">
      <c r="B664" s="459"/>
      <c r="C664" s="459"/>
      <c r="D664" s="459"/>
      <c r="E664" s="459"/>
      <c r="F664" s="459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9"/>
      <c r="Z664" s="459"/>
      <c r="AA664" s="459"/>
      <c r="AB664" s="459"/>
      <c r="AC664" s="459"/>
      <c r="AD664" s="459"/>
      <c r="AE664" s="459"/>
      <c r="AF664" s="459"/>
    </row>
    <row r="665">
      <c r="B665" s="459"/>
      <c r="C665" s="459"/>
      <c r="D665" s="459"/>
      <c r="E665" s="459"/>
      <c r="F665" s="459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9"/>
      <c r="Z665" s="459"/>
      <c r="AA665" s="459"/>
      <c r="AB665" s="459"/>
      <c r="AC665" s="459"/>
      <c r="AD665" s="459"/>
      <c r="AE665" s="459"/>
      <c r="AF665" s="459"/>
    </row>
    <row r="666">
      <c r="B666" s="459"/>
      <c r="C666" s="459"/>
      <c r="D666" s="459"/>
      <c r="E666" s="459"/>
      <c r="F666" s="459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9"/>
      <c r="Z666" s="459"/>
      <c r="AA666" s="459"/>
      <c r="AB666" s="459"/>
      <c r="AC666" s="459"/>
      <c r="AD666" s="459"/>
      <c r="AE666" s="459"/>
      <c r="AF666" s="459"/>
    </row>
    <row r="667">
      <c r="B667" s="459"/>
      <c r="C667" s="459"/>
      <c r="D667" s="459"/>
      <c r="E667" s="459"/>
      <c r="F667" s="459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9"/>
      <c r="Z667" s="459"/>
      <c r="AA667" s="459"/>
      <c r="AB667" s="459"/>
      <c r="AC667" s="459"/>
      <c r="AD667" s="459"/>
      <c r="AE667" s="459"/>
      <c r="AF667" s="459"/>
    </row>
    <row r="668">
      <c r="B668" s="459"/>
      <c r="C668" s="459"/>
      <c r="D668" s="459"/>
      <c r="E668" s="459"/>
      <c r="F668" s="459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9"/>
      <c r="Z668" s="459"/>
      <c r="AA668" s="459"/>
      <c r="AB668" s="459"/>
      <c r="AC668" s="459"/>
      <c r="AD668" s="459"/>
      <c r="AE668" s="459"/>
      <c r="AF668" s="459"/>
    </row>
    <row r="669">
      <c r="B669" s="459"/>
      <c r="C669" s="459"/>
      <c r="D669" s="459"/>
      <c r="E669" s="459"/>
      <c r="F669" s="459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9"/>
      <c r="Z669" s="459"/>
      <c r="AA669" s="459"/>
      <c r="AB669" s="459"/>
      <c r="AC669" s="459"/>
      <c r="AD669" s="459"/>
      <c r="AE669" s="459"/>
      <c r="AF669" s="459"/>
    </row>
    <row r="670">
      <c r="B670" s="459"/>
      <c r="C670" s="459"/>
      <c r="D670" s="459"/>
      <c r="E670" s="459"/>
      <c r="F670" s="459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9"/>
      <c r="Z670" s="459"/>
      <c r="AA670" s="459"/>
      <c r="AB670" s="459"/>
      <c r="AC670" s="459"/>
      <c r="AD670" s="459"/>
      <c r="AE670" s="459"/>
      <c r="AF670" s="459"/>
    </row>
    <row r="671">
      <c r="B671" s="459"/>
      <c r="C671" s="459"/>
      <c r="D671" s="459"/>
      <c r="E671" s="459"/>
      <c r="F671" s="459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9"/>
      <c r="Z671" s="459"/>
      <c r="AA671" s="459"/>
      <c r="AB671" s="459"/>
      <c r="AC671" s="459"/>
      <c r="AD671" s="459"/>
      <c r="AE671" s="459"/>
      <c r="AF671" s="459"/>
    </row>
    <row r="672">
      <c r="B672" s="459"/>
      <c r="C672" s="459"/>
      <c r="D672" s="459"/>
      <c r="E672" s="459"/>
      <c r="F672" s="459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9"/>
      <c r="Z672" s="459"/>
      <c r="AA672" s="459"/>
      <c r="AB672" s="459"/>
      <c r="AC672" s="459"/>
      <c r="AD672" s="459"/>
      <c r="AE672" s="459"/>
      <c r="AF672" s="459"/>
    </row>
    <row r="673">
      <c r="B673" s="459"/>
      <c r="C673" s="459"/>
      <c r="D673" s="459"/>
      <c r="E673" s="459"/>
      <c r="F673" s="459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9"/>
      <c r="Z673" s="459"/>
      <c r="AA673" s="459"/>
      <c r="AB673" s="459"/>
      <c r="AC673" s="459"/>
      <c r="AD673" s="459"/>
      <c r="AE673" s="459"/>
      <c r="AF673" s="459"/>
    </row>
    <row r="674">
      <c r="B674" s="459"/>
      <c r="C674" s="459"/>
      <c r="D674" s="459"/>
      <c r="E674" s="459"/>
      <c r="F674" s="459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9"/>
      <c r="Z674" s="459"/>
      <c r="AA674" s="459"/>
      <c r="AB674" s="459"/>
      <c r="AC674" s="459"/>
      <c r="AD674" s="459"/>
      <c r="AE674" s="459"/>
      <c r="AF674" s="459"/>
    </row>
    <row r="675">
      <c r="B675" s="459"/>
      <c r="C675" s="459"/>
      <c r="D675" s="459"/>
      <c r="E675" s="459"/>
      <c r="F675" s="459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9"/>
      <c r="Z675" s="459"/>
      <c r="AA675" s="459"/>
      <c r="AB675" s="459"/>
      <c r="AC675" s="459"/>
      <c r="AD675" s="459"/>
      <c r="AE675" s="459"/>
      <c r="AF675" s="459"/>
    </row>
    <row r="676">
      <c r="B676" s="459"/>
      <c r="C676" s="459"/>
      <c r="D676" s="459"/>
      <c r="E676" s="459"/>
      <c r="F676" s="459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9"/>
      <c r="Z676" s="459"/>
      <c r="AA676" s="459"/>
      <c r="AB676" s="459"/>
      <c r="AC676" s="459"/>
      <c r="AD676" s="459"/>
      <c r="AE676" s="459"/>
      <c r="AF676" s="459"/>
    </row>
    <row r="677">
      <c r="B677" s="459"/>
      <c r="C677" s="459"/>
      <c r="D677" s="459"/>
      <c r="E677" s="459"/>
      <c r="F677" s="459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9"/>
      <c r="Z677" s="459"/>
      <c r="AA677" s="459"/>
      <c r="AB677" s="459"/>
      <c r="AC677" s="459"/>
      <c r="AD677" s="459"/>
      <c r="AE677" s="459"/>
      <c r="AF677" s="459"/>
    </row>
    <row r="678">
      <c r="B678" s="459"/>
      <c r="C678" s="459"/>
      <c r="D678" s="459"/>
      <c r="E678" s="459"/>
      <c r="F678" s="459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9"/>
      <c r="Z678" s="459"/>
      <c r="AA678" s="459"/>
      <c r="AB678" s="459"/>
      <c r="AC678" s="459"/>
      <c r="AD678" s="459"/>
      <c r="AE678" s="459"/>
      <c r="AF678" s="459"/>
    </row>
    <row r="679">
      <c r="B679" s="459"/>
      <c r="C679" s="459"/>
      <c r="D679" s="459"/>
      <c r="E679" s="459"/>
      <c r="F679" s="459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9"/>
      <c r="Z679" s="459"/>
      <c r="AA679" s="459"/>
      <c r="AB679" s="459"/>
      <c r="AC679" s="459"/>
      <c r="AD679" s="459"/>
      <c r="AE679" s="459"/>
      <c r="AF679" s="459"/>
    </row>
    <row r="680">
      <c r="B680" s="459"/>
      <c r="C680" s="459"/>
      <c r="D680" s="459"/>
      <c r="E680" s="459"/>
      <c r="F680" s="459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9"/>
      <c r="Z680" s="459"/>
      <c r="AA680" s="459"/>
      <c r="AB680" s="459"/>
      <c r="AC680" s="459"/>
      <c r="AD680" s="459"/>
      <c r="AE680" s="459"/>
      <c r="AF680" s="459"/>
    </row>
    <row r="681">
      <c r="B681" s="459"/>
      <c r="C681" s="459"/>
      <c r="D681" s="459"/>
      <c r="E681" s="459"/>
      <c r="F681" s="459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9"/>
      <c r="Z681" s="459"/>
      <c r="AA681" s="459"/>
      <c r="AB681" s="459"/>
      <c r="AC681" s="459"/>
      <c r="AD681" s="459"/>
      <c r="AE681" s="459"/>
      <c r="AF681" s="459"/>
    </row>
    <row r="682">
      <c r="B682" s="459"/>
      <c r="C682" s="459"/>
      <c r="D682" s="459"/>
      <c r="E682" s="459"/>
      <c r="F682" s="459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9"/>
      <c r="Z682" s="459"/>
      <c r="AA682" s="459"/>
      <c r="AB682" s="459"/>
      <c r="AC682" s="459"/>
      <c r="AD682" s="459"/>
      <c r="AE682" s="459"/>
      <c r="AF682" s="459"/>
    </row>
    <row r="683">
      <c r="B683" s="459"/>
      <c r="C683" s="459"/>
      <c r="D683" s="459"/>
      <c r="E683" s="459"/>
      <c r="F683" s="459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9"/>
      <c r="Z683" s="459"/>
      <c r="AA683" s="459"/>
      <c r="AB683" s="459"/>
      <c r="AC683" s="459"/>
      <c r="AD683" s="459"/>
      <c r="AE683" s="459"/>
      <c r="AF683" s="459"/>
    </row>
    <row r="684">
      <c r="B684" s="459"/>
      <c r="C684" s="459"/>
      <c r="D684" s="459"/>
      <c r="E684" s="459"/>
      <c r="F684" s="459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9"/>
      <c r="Z684" s="459"/>
      <c r="AA684" s="459"/>
      <c r="AB684" s="459"/>
      <c r="AC684" s="459"/>
      <c r="AD684" s="459"/>
      <c r="AE684" s="459"/>
      <c r="AF684" s="459"/>
    </row>
    <row r="685">
      <c r="B685" s="459"/>
      <c r="C685" s="459"/>
      <c r="D685" s="459"/>
      <c r="E685" s="459"/>
      <c r="F685" s="459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9"/>
      <c r="Z685" s="459"/>
      <c r="AA685" s="459"/>
      <c r="AB685" s="459"/>
      <c r="AC685" s="459"/>
      <c r="AD685" s="459"/>
      <c r="AE685" s="459"/>
      <c r="AF685" s="459"/>
    </row>
    <row r="686">
      <c r="B686" s="459"/>
      <c r="C686" s="459"/>
      <c r="D686" s="459"/>
      <c r="E686" s="459"/>
      <c r="F686" s="459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9"/>
      <c r="Z686" s="459"/>
      <c r="AA686" s="459"/>
      <c r="AB686" s="459"/>
      <c r="AC686" s="459"/>
      <c r="AD686" s="459"/>
      <c r="AE686" s="459"/>
      <c r="AF686" s="459"/>
    </row>
    <row r="687">
      <c r="B687" s="459"/>
      <c r="C687" s="459"/>
      <c r="D687" s="459"/>
      <c r="E687" s="459"/>
      <c r="F687" s="459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9"/>
      <c r="Z687" s="459"/>
      <c r="AA687" s="459"/>
      <c r="AB687" s="459"/>
      <c r="AC687" s="459"/>
      <c r="AD687" s="459"/>
      <c r="AE687" s="459"/>
      <c r="AF687" s="459"/>
    </row>
    <row r="688">
      <c r="B688" s="459"/>
      <c r="C688" s="459"/>
      <c r="D688" s="459"/>
      <c r="E688" s="459"/>
      <c r="F688" s="459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9"/>
      <c r="Z688" s="459"/>
      <c r="AA688" s="459"/>
      <c r="AB688" s="459"/>
      <c r="AC688" s="459"/>
      <c r="AD688" s="459"/>
      <c r="AE688" s="459"/>
      <c r="AF688" s="459"/>
    </row>
    <row r="689">
      <c r="B689" s="459"/>
      <c r="C689" s="459"/>
      <c r="D689" s="459"/>
      <c r="E689" s="459"/>
      <c r="F689" s="459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9"/>
      <c r="Z689" s="459"/>
      <c r="AA689" s="459"/>
      <c r="AB689" s="459"/>
      <c r="AC689" s="459"/>
      <c r="AD689" s="459"/>
      <c r="AE689" s="459"/>
      <c r="AF689" s="459"/>
    </row>
    <row r="690">
      <c r="B690" s="459"/>
      <c r="C690" s="459"/>
      <c r="D690" s="459"/>
      <c r="E690" s="459"/>
      <c r="F690" s="459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9"/>
      <c r="Z690" s="459"/>
      <c r="AA690" s="459"/>
      <c r="AB690" s="459"/>
      <c r="AC690" s="459"/>
      <c r="AD690" s="459"/>
      <c r="AE690" s="459"/>
      <c r="AF690" s="459"/>
    </row>
    <row r="691">
      <c r="B691" s="459"/>
      <c r="C691" s="459"/>
      <c r="D691" s="459"/>
      <c r="E691" s="459"/>
      <c r="F691" s="459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9"/>
      <c r="Z691" s="459"/>
      <c r="AA691" s="459"/>
      <c r="AB691" s="459"/>
      <c r="AC691" s="459"/>
      <c r="AD691" s="459"/>
      <c r="AE691" s="459"/>
      <c r="AF691" s="459"/>
    </row>
    <row r="692">
      <c r="B692" s="459"/>
      <c r="C692" s="459"/>
      <c r="D692" s="459"/>
      <c r="E692" s="459"/>
      <c r="F692" s="459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9"/>
      <c r="Z692" s="459"/>
      <c r="AA692" s="459"/>
      <c r="AB692" s="459"/>
      <c r="AC692" s="459"/>
      <c r="AD692" s="459"/>
      <c r="AE692" s="459"/>
      <c r="AF692" s="459"/>
    </row>
    <row r="693">
      <c r="B693" s="459"/>
      <c r="C693" s="459"/>
      <c r="D693" s="459"/>
      <c r="E693" s="459"/>
      <c r="F693" s="459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9"/>
      <c r="Z693" s="459"/>
      <c r="AA693" s="459"/>
      <c r="AB693" s="459"/>
      <c r="AC693" s="459"/>
      <c r="AD693" s="459"/>
      <c r="AE693" s="459"/>
      <c r="AF693" s="459"/>
    </row>
    <row r="694">
      <c r="B694" s="459"/>
      <c r="C694" s="459"/>
      <c r="D694" s="459"/>
      <c r="E694" s="459"/>
      <c r="F694" s="459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9"/>
      <c r="Z694" s="459"/>
      <c r="AA694" s="459"/>
      <c r="AB694" s="459"/>
      <c r="AC694" s="459"/>
      <c r="AD694" s="459"/>
      <c r="AE694" s="459"/>
      <c r="AF694" s="459"/>
    </row>
    <row r="695">
      <c r="B695" s="459"/>
      <c r="C695" s="459"/>
      <c r="D695" s="459"/>
      <c r="E695" s="459"/>
      <c r="F695" s="459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9"/>
      <c r="Z695" s="459"/>
      <c r="AA695" s="459"/>
      <c r="AB695" s="459"/>
      <c r="AC695" s="459"/>
      <c r="AD695" s="459"/>
      <c r="AE695" s="459"/>
      <c r="AF695" s="459"/>
    </row>
    <row r="696">
      <c r="B696" s="459"/>
      <c r="C696" s="459"/>
      <c r="D696" s="459"/>
      <c r="E696" s="459"/>
      <c r="F696" s="459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9"/>
      <c r="Z696" s="459"/>
      <c r="AA696" s="459"/>
      <c r="AB696" s="459"/>
      <c r="AC696" s="459"/>
      <c r="AD696" s="459"/>
      <c r="AE696" s="459"/>
      <c r="AF696" s="459"/>
    </row>
    <row r="697">
      <c r="B697" s="459"/>
      <c r="C697" s="459"/>
      <c r="D697" s="459"/>
      <c r="E697" s="459"/>
      <c r="F697" s="459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9"/>
      <c r="Z697" s="459"/>
      <c r="AA697" s="459"/>
      <c r="AB697" s="459"/>
      <c r="AC697" s="459"/>
      <c r="AD697" s="459"/>
      <c r="AE697" s="459"/>
      <c r="AF697" s="459"/>
    </row>
    <row r="698">
      <c r="B698" s="459"/>
      <c r="C698" s="459"/>
      <c r="D698" s="459"/>
      <c r="E698" s="459"/>
      <c r="F698" s="459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9"/>
      <c r="Z698" s="459"/>
      <c r="AA698" s="459"/>
      <c r="AB698" s="459"/>
      <c r="AC698" s="459"/>
      <c r="AD698" s="459"/>
      <c r="AE698" s="459"/>
      <c r="AF698" s="459"/>
    </row>
    <row r="699">
      <c r="B699" s="459"/>
      <c r="C699" s="459"/>
      <c r="D699" s="459"/>
      <c r="E699" s="459"/>
      <c r="F699" s="459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9"/>
      <c r="Z699" s="459"/>
      <c r="AA699" s="459"/>
      <c r="AB699" s="459"/>
      <c r="AC699" s="459"/>
      <c r="AD699" s="459"/>
      <c r="AE699" s="459"/>
      <c r="AF699" s="459"/>
    </row>
    <row r="700">
      <c r="B700" s="459"/>
      <c r="C700" s="459"/>
      <c r="D700" s="459"/>
      <c r="E700" s="459"/>
      <c r="F700" s="459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9"/>
      <c r="Z700" s="459"/>
      <c r="AA700" s="459"/>
      <c r="AB700" s="459"/>
      <c r="AC700" s="459"/>
      <c r="AD700" s="459"/>
      <c r="AE700" s="459"/>
      <c r="AF700" s="459"/>
    </row>
    <row r="701">
      <c r="B701" s="459"/>
      <c r="C701" s="459"/>
      <c r="D701" s="459"/>
      <c r="E701" s="459"/>
      <c r="F701" s="459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9"/>
      <c r="Z701" s="459"/>
      <c r="AA701" s="459"/>
      <c r="AB701" s="459"/>
      <c r="AC701" s="459"/>
      <c r="AD701" s="459"/>
      <c r="AE701" s="459"/>
      <c r="AF701" s="459"/>
    </row>
    <row r="702">
      <c r="B702" s="459"/>
      <c r="C702" s="459"/>
      <c r="D702" s="459"/>
      <c r="E702" s="459"/>
      <c r="F702" s="459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9"/>
      <c r="Z702" s="459"/>
      <c r="AA702" s="459"/>
      <c r="AB702" s="459"/>
      <c r="AC702" s="459"/>
      <c r="AD702" s="459"/>
      <c r="AE702" s="459"/>
      <c r="AF702" s="459"/>
    </row>
    <row r="703">
      <c r="B703" s="459"/>
      <c r="C703" s="459"/>
      <c r="D703" s="459"/>
      <c r="E703" s="459"/>
      <c r="F703" s="459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9"/>
      <c r="Z703" s="459"/>
      <c r="AA703" s="459"/>
      <c r="AB703" s="459"/>
      <c r="AC703" s="459"/>
      <c r="AD703" s="459"/>
      <c r="AE703" s="459"/>
      <c r="AF703" s="459"/>
    </row>
    <row r="704">
      <c r="B704" s="459"/>
      <c r="C704" s="459"/>
      <c r="D704" s="459"/>
      <c r="E704" s="459"/>
      <c r="F704" s="459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9"/>
      <c r="Z704" s="459"/>
      <c r="AA704" s="459"/>
      <c r="AB704" s="459"/>
      <c r="AC704" s="459"/>
      <c r="AD704" s="459"/>
      <c r="AE704" s="459"/>
      <c r="AF704" s="459"/>
    </row>
    <row r="705">
      <c r="B705" s="459"/>
      <c r="C705" s="459"/>
      <c r="D705" s="459"/>
      <c r="E705" s="459"/>
      <c r="F705" s="459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9"/>
      <c r="Z705" s="459"/>
      <c r="AA705" s="459"/>
      <c r="AB705" s="459"/>
      <c r="AC705" s="459"/>
      <c r="AD705" s="459"/>
      <c r="AE705" s="459"/>
      <c r="AF705" s="459"/>
    </row>
    <row r="706">
      <c r="B706" s="459"/>
      <c r="C706" s="459"/>
      <c r="D706" s="459"/>
      <c r="E706" s="459"/>
      <c r="F706" s="459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9"/>
      <c r="Z706" s="459"/>
      <c r="AA706" s="459"/>
      <c r="AB706" s="459"/>
      <c r="AC706" s="459"/>
      <c r="AD706" s="459"/>
      <c r="AE706" s="459"/>
      <c r="AF706" s="459"/>
    </row>
    <row r="707">
      <c r="B707" s="459"/>
      <c r="C707" s="459"/>
      <c r="D707" s="459"/>
      <c r="E707" s="459"/>
      <c r="F707" s="459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9"/>
      <c r="Z707" s="459"/>
      <c r="AA707" s="459"/>
      <c r="AB707" s="459"/>
      <c r="AC707" s="459"/>
      <c r="AD707" s="459"/>
      <c r="AE707" s="459"/>
      <c r="AF707" s="459"/>
    </row>
    <row r="708">
      <c r="B708" s="459"/>
      <c r="C708" s="459"/>
      <c r="D708" s="459"/>
      <c r="E708" s="459"/>
      <c r="F708" s="459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9"/>
      <c r="Z708" s="459"/>
      <c r="AA708" s="459"/>
      <c r="AB708" s="459"/>
      <c r="AC708" s="459"/>
      <c r="AD708" s="459"/>
      <c r="AE708" s="459"/>
      <c r="AF708" s="459"/>
    </row>
    <row r="709">
      <c r="B709" s="459"/>
      <c r="C709" s="459"/>
      <c r="D709" s="459"/>
      <c r="E709" s="459"/>
      <c r="F709" s="459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9"/>
      <c r="Z709" s="459"/>
      <c r="AA709" s="459"/>
      <c r="AB709" s="459"/>
      <c r="AC709" s="459"/>
      <c r="AD709" s="459"/>
      <c r="AE709" s="459"/>
      <c r="AF709" s="459"/>
    </row>
    <row r="710">
      <c r="B710" s="459"/>
      <c r="C710" s="459"/>
      <c r="D710" s="459"/>
      <c r="E710" s="459"/>
      <c r="F710" s="459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9"/>
      <c r="Z710" s="459"/>
      <c r="AA710" s="459"/>
      <c r="AB710" s="459"/>
      <c r="AC710" s="459"/>
      <c r="AD710" s="459"/>
      <c r="AE710" s="459"/>
      <c r="AF710" s="459"/>
    </row>
    <row r="711">
      <c r="B711" s="459"/>
      <c r="C711" s="459"/>
      <c r="D711" s="459"/>
      <c r="E711" s="459"/>
      <c r="F711" s="459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9"/>
      <c r="Z711" s="459"/>
      <c r="AA711" s="459"/>
      <c r="AB711" s="459"/>
      <c r="AC711" s="459"/>
      <c r="AD711" s="459"/>
      <c r="AE711" s="459"/>
      <c r="AF711" s="459"/>
    </row>
    <row r="712">
      <c r="B712" s="459"/>
      <c r="C712" s="459"/>
      <c r="D712" s="459"/>
      <c r="E712" s="459"/>
      <c r="F712" s="459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9"/>
      <c r="Z712" s="459"/>
      <c r="AA712" s="459"/>
      <c r="AB712" s="459"/>
      <c r="AC712" s="459"/>
      <c r="AD712" s="459"/>
      <c r="AE712" s="459"/>
      <c r="AF712" s="459"/>
    </row>
    <row r="713">
      <c r="B713" s="459"/>
      <c r="C713" s="459"/>
      <c r="D713" s="459"/>
      <c r="E713" s="459"/>
      <c r="F713" s="459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9"/>
      <c r="Z713" s="459"/>
      <c r="AA713" s="459"/>
      <c r="AB713" s="459"/>
      <c r="AC713" s="459"/>
      <c r="AD713" s="459"/>
      <c r="AE713" s="459"/>
      <c r="AF713" s="459"/>
    </row>
    <row r="714">
      <c r="B714" s="459"/>
      <c r="C714" s="459"/>
      <c r="D714" s="459"/>
      <c r="E714" s="459"/>
      <c r="F714" s="459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9"/>
      <c r="Z714" s="459"/>
      <c r="AA714" s="459"/>
      <c r="AB714" s="459"/>
      <c r="AC714" s="459"/>
      <c r="AD714" s="459"/>
      <c r="AE714" s="459"/>
      <c r="AF714" s="459"/>
    </row>
    <row r="715">
      <c r="B715" s="459"/>
      <c r="C715" s="459"/>
      <c r="D715" s="459"/>
      <c r="E715" s="459"/>
      <c r="F715" s="459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9"/>
      <c r="Z715" s="459"/>
      <c r="AA715" s="459"/>
      <c r="AB715" s="459"/>
      <c r="AC715" s="459"/>
      <c r="AD715" s="459"/>
      <c r="AE715" s="459"/>
      <c r="AF715" s="459"/>
    </row>
    <row r="716">
      <c r="B716" s="459"/>
      <c r="C716" s="459"/>
      <c r="D716" s="459"/>
      <c r="E716" s="459"/>
      <c r="F716" s="459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9"/>
      <c r="Z716" s="459"/>
      <c r="AA716" s="459"/>
      <c r="AB716" s="459"/>
      <c r="AC716" s="459"/>
      <c r="AD716" s="459"/>
      <c r="AE716" s="459"/>
      <c r="AF716" s="459"/>
    </row>
    <row r="717">
      <c r="B717" s="459"/>
      <c r="C717" s="459"/>
      <c r="D717" s="459"/>
      <c r="E717" s="459"/>
      <c r="F717" s="459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9"/>
      <c r="Z717" s="459"/>
      <c r="AA717" s="459"/>
      <c r="AB717" s="459"/>
      <c r="AC717" s="459"/>
      <c r="AD717" s="459"/>
      <c r="AE717" s="459"/>
      <c r="AF717" s="459"/>
    </row>
    <row r="718">
      <c r="B718" s="459"/>
      <c r="C718" s="459"/>
      <c r="D718" s="459"/>
      <c r="E718" s="459"/>
      <c r="F718" s="459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9"/>
      <c r="Z718" s="459"/>
      <c r="AA718" s="459"/>
      <c r="AB718" s="459"/>
      <c r="AC718" s="459"/>
      <c r="AD718" s="459"/>
      <c r="AE718" s="459"/>
      <c r="AF718" s="459"/>
    </row>
    <row r="719">
      <c r="B719" s="459"/>
      <c r="C719" s="459"/>
      <c r="D719" s="459"/>
      <c r="E719" s="459"/>
      <c r="F719" s="459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9"/>
      <c r="Z719" s="459"/>
      <c r="AA719" s="459"/>
      <c r="AB719" s="459"/>
      <c r="AC719" s="459"/>
      <c r="AD719" s="459"/>
      <c r="AE719" s="459"/>
      <c r="AF719" s="459"/>
    </row>
    <row r="720">
      <c r="B720" s="459"/>
      <c r="C720" s="459"/>
      <c r="D720" s="459"/>
      <c r="E720" s="459"/>
      <c r="F720" s="459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9"/>
      <c r="Z720" s="459"/>
      <c r="AA720" s="459"/>
      <c r="AB720" s="459"/>
      <c r="AC720" s="459"/>
      <c r="AD720" s="459"/>
      <c r="AE720" s="459"/>
      <c r="AF720" s="459"/>
    </row>
    <row r="721">
      <c r="B721" s="459"/>
      <c r="C721" s="459"/>
      <c r="D721" s="459"/>
      <c r="E721" s="459"/>
      <c r="F721" s="459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9"/>
      <c r="Z721" s="459"/>
      <c r="AA721" s="459"/>
      <c r="AB721" s="459"/>
      <c r="AC721" s="459"/>
      <c r="AD721" s="459"/>
      <c r="AE721" s="459"/>
      <c r="AF721" s="459"/>
    </row>
    <row r="722">
      <c r="B722" s="459"/>
      <c r="C722" s="459"/>
      <c r="D722" s="459"/>
      <c r="E722" s="459"/>
      <c r="F722" s="459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9"/>
      <c r="Z722" s="459"/>
      <c r="AA722" s="459"/>
      <c r="AB722" s="459"/>
      <c r="AC722" s="459"/>
      <c r="AD722" s="459"/>
      <c r="AE722" s="459"/>
      <c r="AF722" s="459"/>
    </row>
    <row r="723">
      <c r="B723" s="459"/>
      <c r="C723" s="459"/>
      <c r="D723" s="459"/>
      <c r="E723" s="459"/>
      <c r="F723" s="459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9"/>
      <c r="Z723" s="459"/>
      <c r="AA723" s="459"/>
      <c r="AB723" s="459"/>
      <c r="AC723" s="459"/>
      <c r="AD723" s="459"/>
      <c r="AE723" s="459"/>
      <c r="AF723" s="459"/>
    </row>
    <row r="724">
      <c r="B724" s="459"/>
      <c r="C724" s="459"/>
      <c r="D724" s="459"/>
      <c r="E724" s="459"/>
      <c r="F724" s="459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9"/>
      <c r="Z724" s="459"/>
      <c r="AA724" s="459"/>
      <c r="AB724" s="459"/>
      <c r="AC724" s="459"/>
      <c r="AD724" s="459"/>
      <c r="AE724" s="459"/>
      <c r="AF724" s="459"/>
    </row>
    <row r="725">
      <c r="B725" s="459"/>
      <c r="C725" s="459"/>
      <c r="D725" s="459"/>
      <c r="E725" s="459"/>
      <c r="F725" s="459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9"/>
      <c r="Z725" s="459"/>
      <c r="AA725" s="459"/>
      <c r="AB725" s="459"/>
      <c r="AC725" s="459"/>
      <c r="AD725" s="459"/>
      <c r="AE725" s="459"/>
      <c r="AF725" s="459"/>
    </row>
    <row r="726">
      <c r="B726" s="459"/>
      <c r="C726" s="459"/>
      <c r="D726" s="459"/>
      <c r="E726" s="459"/>
      <c r="F726" s="459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9"/>
      <c r="Z726" s="459"/>
      <c r="AA726" s="459"/>
      <c r="AB726" s="459"/>
      <c r="AC726" s="459"/>
      <c r="AD726" s="459"/>
      <c r="AE726" s="459"/>
      <c r="AF726" s="459"/>
    </row>
    <row r="727">
      <c r="B727" s="459"/>
      <c r="C727" s="459"/>
      <c r="D727" s="459"/>
      <c r="E727" s="459"/>
      <c r="F727" s="459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9"/>
      <c r="Z727" s="459"/>
      <c r="AA727" s="459"/>
      <c r="AB727" s="459"/>
      <c r="AC727" s="459"/>
      <c r="AD727" s="459"/>
      <c r="AE727" s="459"/>
      <c r="AF727" s="459"/>
    </row>
    <row r="728">
      <c r="B728" s="459"/>
      <c r="C728" s="459"/>
      <c r="D728" s="459"/>
      <c r="E728" s="459"/>
      <c r="F728" s="459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9"/>
      <c r="Z728" s="459"/>
      <c r="AA728" s="459"/>
      <c r="AB728" s="459"/>
      <c r="AC728" s="459"/>
      <c r="AD728" s="459"/>
      <c r="AE728" s="459"/>
      <c r="AF728" s="459"/>
    </row>
    <row r="729">
      <c r="B729" s="459"/>
      <c r="C729" s="459"/>
      <c r="D729" s="459"/>
      <c r="E729" s="459"/>
      <c r="F729" s="459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9"/>
      <c r="Z729" s="459"/>
      <c r="AA729" s="459"/>
      <c r="AB729" s="459"/>
      <c r="AC729" s="459"/>
      <c r="AD729" s="459"/>
      <c r="AE729" s="459"/>
      <c r="AF729" s="459"/>
    </row>
    <row r="730">
      <c r="B730" s="459"/>
      <c r="C730" s="459"/>
      <c r="D730" s="459"/>
      <c r="E730" s="459"/>
      <c r="F730" s="459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9"/>
      <c r="Z730" s="459"/>
      <c r="AA730" s="459"/>
      <c r="AB730" s="459"/>
      <c r="AC730" s="459"/>
      <c r="AD730" s="459"/>
      <c r="AE730" s="459"/>
      <c r="AF730" s="459"/>
    </row>
    <row r="731">
      <c r="B731" s="459"/>
      <c r="C731" s="459"/>
      <c r="D731" s="459"/>
      <c r="E731" s="459"/>
      <c r="F731" s="459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9"/>
      <c r="Z731" s="459"/>
      <c r="AA731" s="459"/>
      <c r="AB731" s="459"/>
      <c r="AC731" s="459"/>
      <c r="AD731" s="459"/>
      <c r="AE731" s="459"/>
      <c r="AF731" s="459"/>
    </row>
    <row r="732">
      <c r="B732" s="459"/>
      <c r="C732" s="459"/>
      <c r="D732" s="459"/>
      <c r="E732" s="459"/>
      <c r="F732" s="459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9"/>
      <c r="Z732" s="459"/>
      <c r="AA732" s="459"/>
      <c r="AB732" s="459"/>
      <c r="AC732" s="459"/>
      <c r="AD732" s="459"/>
      <c r="AE732" s="459"/>
      <c r="AF732" s="459"/>
    </row>
    <row r="733">
      <c r="B733" s="459"/>
      <c r="C733" s="459"/>
      <c r="D733" s="459"/>
      <c r="E733" s="459"/>
      <c r="F733" s="459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9"/>
      <c r="Z733" s="459"/>
      <c r="AA733" s="459"/>
      <c r="AB733" s="459"/>
      <c r="AC733" s="459"/>
      <c r="AD733" s="459"/>
      <c r="AE733" s="459"/>
      <c r="AF733" s="459"/>
    </row>
    <row r="734">
      <c r="B734" s="459"/>
      <c r="C734" s="459"/>
      <c r="D734" s="459"/>
      <c r="E734" s="459"/>
      <c r="F734" s="459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9"/>
      <c r="Z734" s="459"/>
      <c r="AA734" s="459"/>
      <c r="AB734" s="459"/>
      <c r="AC734" s="459"/>
      <c r="AD734" s="459"/>
      <c r="AE734" s="459"/>
      <c r="AF734" s="459"/>
    </row>
    <row r="735">
      <c r="B735" s="459"/>
      <c r="C735" s="459"/>
      <c r="D735" s="459"/>
      <c r="E735" s="459"/>
      <c r="F735" s="459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9"/>
      <c r="Z735" s="459"/>
      <c r="AA735" s="459"/>
      <c r="AB735" s="459"/>
      <c r="AC735" s="459"/>
      <c r="AD735" s="459"/>
      <c r="AE735" s="459"/>
      <c r="AF735" s="459"/>
    </row>
    <row r="736">
      <c r="B736" s="459"/>
      <c r="C736" s="459"/>
      <c r="D736" s="459"/>
      <c r="E736" s="459"/>
      <c r="F736" s="459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9"/>
      <c r="Z736" s="459"/>
      <c r="AA736" s="459"/>
      <c r="AB736" s="459"/>
      <c r="AC736" s="459"/>
      <c r="AD736" s="459"/>
      <c r="AE736" s="459"/>
      <c r="AF736" s="459"/>
    </row>
    <row r="737">
      <c r="B737" s="459"/>
      <c r="C737" s="459"/>
      <c r="D737" s="459"/>
      <c r="E737" s="459"/>
      <c r="F737" s="459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9"/>
      <c r="Z737" s="459"/>
      <c r="AA737" s="459"/>
      <c r="AB737" s="459"/>
      <c r="AC737" s="459"/>
      <c r="AD737" s="459"/>
      <c r="AE737" s="459"/>
      <c r="AF737" s="459"/>
    </row>
    <row r="738">
      <c r="B738" s="459"/>
      <c r="C738" s="459"/>
      <c r="D738" s="459"/>
      <c r="E738" s="459"/>
      <c r="F738" s="459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9"/>
      <c r="Z738" s="459"/>
      <c r="AA738" s="459"/>
      <c r="AB738" s="459"/>
      <c r="AC738" s="459"/>
      <c r="AD738" s="459"/>
      <c r="AE738" s="459"/>
      <c r="AF738" s="459"/>
    </row>
    <row r="739">
      <c r="B739" s="459"/>
      <c r="C739" s="459"/>
      <c r="D739" s="459"/>
      <c r="E739" s="459"/>
      <c r="F739" s="459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9"/>
      <c r="Z739" s="459"/>
      <c r="AA739" s="459"/>
      <c r="AB739" s="459"/>
      <c r="AC739" s="459"/>
      <c r="AD739" s="459"/>
      <c r="AE739" s="459"/>
      <c r="AF739" s="459"/>
    </row>
    <row r="740">
      <c r="B740" s="459"/>
      <c r="C740" s="459"/>
      <c r="D740" s="459"/>
      <c r="E740" s="459"/>
      <c r="F740" s="459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9"/>
      <c r="Z740" s="459"/>
      <c r="AA740" s="459"/>
      <c r="AB740" s="459"/>
      <c r="AC740" s="459"/>
      <c r="AD740" s="459"/>
      <c r="AE740" s="459"/>
      <c r="AF740" s="459"/>
    </row>
    <row r="741">
      <c r="B741" s="459"/>
      <c r="C741" s="459"/>
      <c r="D741" s="459"/>
      <c r="E741" s="459"/>
      <c r="F741" s="459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9"/>
      <c r="Z741" s="459"/>
      <c r="AA741" s="459"/>
      <c r="AB741" s="459"/>
      <c r="AC741" s="459"/>
      <c r="AD741" s="459"/>
      <c r="AE741" s="459"/>
      <c r="AF741" s="459"/>
    </row>
    <row r="742">
      <c r="B742" s="459"/>
      <c r="C742" s="459"/>
      <c r="D742" s="459"/>
      <c r="E742" s="459"/>
      <c r="F742" s="459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9"/>
      <c r="Z742" s="459"/>
      <c r="AA742" s="459"/>
      <c r="AB742" s="459"/>
      <c r="AC742" s="459"/>
      <c r="AD742" s="459"/>
      <c r="AE742" s="459"/>
      <c r="AF742" s="459"/>
    </row>
    <row r="743">
      <c r="B743" s="459"/>
      <c r="C743" s="459"/>
      <c r="D743" s="459"/>
      <c r="E743" s="459"/>
      <c r="F743" s="459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9"/>
      <c r="Z743" s="459"/>
      <c r="AA743" s="459"/>
      <c r="AB743" s="459"/>
      <c r="AC743" s="459"/>
      <c r="AD743" s="459"/>
      <c r="AE743" s="459"/>
      <c r="AF743" s="459"/>
    </row>
    <row r="744">
      <c r="B744" s="459"/>
      <c r="C744" s="459"/>
      <c r="D744" s="459"/>
      <c r="E744" s="459"/>
      <c r="F744" s="459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9"/>
      <c r="Z744" s="459"/>
      <c r="AA744" s="459"/>
      <c r="AB744" s="459"/>
      <c r="AC744" s="459"/>
      <c r="AD744" s="459"/>
      <c r="AE744" s="459"/>
      <c r="AF744" s="459"/>
    </row>
    <row r="745">
      <c r="B745" s="459"/>
      <c r="C745" s="459"/>
      <c r="D745" s="459"/>
      <c r="E745" s="459"/>
      <c r="F745" s="459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9"/>
      <c r="Z745" s="459"/>
      <c r="AA745" s="459"/>
      <c r="AB745" s="459"/>
      <c r="AC745" s="459"/>
      <c r="AD745" s="459"/>
      <c r="AE745" s="459"/>
      <c r="AF745" s="459"/>
    </row>
    <row r="746">
      <c r="B746" s="459"/>
      <c r="C746" s="459"/>
      <c r="D746" s="459"/>
      <c r="E746" s="459"/>
      <c r="F746" s="459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9"/>
      <c r="Z746" s="459"/>
      <c r="AA746" s="459"/>
      <c r="AB746" s="459"/>
      <c r="AC746" s="459"/>
      <c r="AD746" s="459"/>
      <c r="AE746" s="459"/>
      <c r="AF746" s="459"/>
    </row>
    <row r="747">
      <c r="B747" s="459"/>
      <c r="C747" s="459"/>
      <c r="D747" s="459"/>
      <c r="E747" s="459"/>
      <c r="F747" s="459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9"/>
      <c r="Z747" s="459"/>
      <c r="AA747" s="459"/>
      <c r="AB747" s="459"/>
      <c r="AC747" s="459"/>
      <c r="AD747" s="459"/>
      <c r="AE747" s="459"/>
      <c r="AF747" s="459"/>
    </row>
    <row r="748">
      <c r="B748" s="459"/>
      <c r="C748" s="459"/>
      <c r="D748" s="459"/>
      <c r="E748" s="459"/>
      <c r="F748" s="459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9"/>
      <c r="Z748" s="459"/>
      <c r="AA748" s="459"/>
      <c r="AB748" s="459"/>
      <c r="AC748" s="459"/>
      <c r="AD748" s="459"/>
      <c r="AE748" s="459"/>
      <c r="AF748" s="459"/>
    </row>
    <row r="749">
      <c r="B749" s="459"/>
      <c r="C749" s="459"/>
      <c r="D749" s="459"/>
      <c r="E749" s="459"/>
      <c r="F749" s="459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9"/>
      <c r="Z749" s="459"/>
      <c r="AA749" s="459"/>
      <c r="AB749" s="459"/>
      <c r="AC749" s="459"/>
      <c r="AD749" s="459"/>
      <c r="AE749" s="459"/>
      <c r="AF749" s="459"/>
    </row>
    <row r="750">
      <c r="B750" s="459"/>
      <c r="C750" s="459"/>
      <c r="D750" s="459"/>
      <c r="E750" s="459"/>
      <c r="F750" s="459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9"/>
      <c r="Z750" s="459"/>
      <c r="AA750" s="459"/>
      <c r="AB750" s="459"/>
      <c r="AC750" s="459"/>
      <c r="AD750" s="459"/>
      <c r="AE750" s="459"/>
      <c r="AF750" s="459"/>
    </row>
    <row r="751">
      <c r="B751" s="459"/>
      <c r="C751" s="459"/>
      <c r="D751" s="459"/>
      <c r="E751" s="459"/>
      <c r="F751" s="459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9"/>
      <c r="Z751" s="459"/>
      <c r="AA751" s="459"/>
      <c r="AB751" s="459"/>
      <c r="AC751" s="459"/>
      <c r="AD751" s="459"/>
      <c r="AE751" s="459"/>
      <c r="AF751" s="459"/>
    </row>
    <row r="752">
      <c r="B752" s="459"/>
      <c r="C752" s="459"/>
      <c r="D752" s="459"/>
      <c r="E752" s="459"/>
      <c r="F752" s="459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9"/>
      <c r="Z752" s="459"/>
      <c r="AA752" s="459"/>
      <c r="AB752" s="459"/>
      <c r="AC752" s="459"/>
      <c r="AD752" s="459"/>
      <c r="AE752" s="459"/>
      <c r="AF752" s="459"/>
    </row>
    <row r="753">
      <c r="B753" s="459"/>
      <c r="C753" s="459"/>
      <c r="D753" s="459"/>
      <c r="E753" s="459"/>
      <c r="F753" s="459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9"/>
      <c r="Z753" s="459"/>
      <c r="AA753" s="459"/>
      <c r="AB753" s="459"/>
      <c r="AC753" s="459"/>
      <c r="AD753" s="459"/>
      <c r="AE753" s="459"/>
      <c r="AF753" s="459"/>
    </row>
    <row r="754">
      <c r="B754" s="459"/>
      <c r="C754" s="459"/>
      <c r="D754" s="459"/>
      <c r="E754" s="459"/>
      <c r="F754" s="459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9"/>
      <c r="Z754" s="459"/>
      <c r="AA754" s="459"/>
      <c r="AB754" s="459"/>
      <c r="AC754" s="459"/>
      <c r="AD754" s="459"/>
      <c r="AE754" s="459"/>
      <c r="AF754" s="459"/>
    </row>
    <row r="755">
      <c r="B755" s="459"/>
      <c r="C755" s="459"/>
      <c r="D755" s="459"/>
      <c r="E755" s="459"/>
      <c r="F755" s="459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9"/>
      <c r="Z755" s="459"/>
      <c r="AA755" s="459"/>
      <c r="AB755" s="459"/>
      <c r="AC755" s="459"/>
      <c r="AD755" s="459"/>
      <c r="AE755" s="459"/>
      <c r="AF755" s="459"/>
    </row>
    <row r="756">
      <c r="B756" s="459"/>
      <c r="C756" s="459"/>
      <c r="D756" s="459"/>
      <c r="E756" s="459"/>
      <c r="F756" s="459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9"/>
      <c r="Z756" s="459"/>
      <c r="AA756" s="459"/>
      <c r="AB756" s="459"/>
      <c r="AC756" s="459"/>
      <c r="AD756" s="459"/>
      <c r="AE756" s="459"/>
      <c r="AF756" s="459"/>
    </row>
    <row r="757">
      <c r="B757" s="459"/>
      <c r="C757" s="459"/>
      <c r="D757" s="459"/>
      <c r="E757" s="459"/>
      <c r="F757" s="459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9"/>
      <c r="Z757" s="459"/>
      <c r="AA757" s="459"/>
      <c r="AB757" s="459"/>
      <c r="AC757" s="459"/>
      <c r="AD757" s="459"/>
      <c r="AE757" s="459"/>
      <c r="AF757" s="459"/>
    </row>
    <row r="758">
      <c r="B758" s="459"/>
      <c r="C758" s="459"/>
      <c r="D758" s="459"/>
      <c r="E758" s="459"/>
      <c r="F758" s="459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9"/>
      <c r="Z758" s="459"/>
      <c r="AA758" s="459"/>
      <c r="AB758" s="459"/>
      <c r="AC758" s="459"/>
      <c r="AD758" s="459"/>
      <c r="AE758" s="459"/>
      <c r="AF758" s="459"/>
    </row>
    <row r="759">
      <c r="B759" s="459"/>
      <c r="C759" s="459"/>
      <c r="D759" s="459"/>
      <c r="E759" s="459"/>
      <c r="F759" s="459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9"/>
      <c r="Z759" s="459"/>
      <c r="AA759" s="459"/>
      <c r="AB759" s="459"/>
      <c r="AC759" s="459"/>
      <c r="AD759" s="459"/>
      <c r="AE759" s="459"/>
      <c r="AF759" s="459"/>
    </row>
    <row r="760">
      <c r="B760" s="459"/>
      <c r="C760" s="459"/>
      <c r="D760" s="459"/>
      <c r="E760" s="459"/>
      <c r="F760" s="459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9"/>
      <c r="Z760" s="459"/>
      <c r="AA760" s="459"/>
      <c r="AB760" s="459"/>
      <c r="AC760" s="459"/>
      <c r="AD760" s="459"/>
      <c r="AE760" s="459"/>
      <c r="AF760" s="459"/>
    </row>
    <row r="761">
      <c r="B761" s="459"/>
      <c r="C761" s="459"/>
      <c r="D761" s="459"/>
      <c r="E761" s="459"/>
      <c r="F761" s="459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9"/>
      <c r="Z761" s="459"/>
      <c r="AA761" s="459"/>
      <c r="AB761" s="459"/>
      <c r="AC761" s="459"/>
      <c r="AD761" s="459"/>
      <c r="AE761" s="459"/>
      <c r="AF761" s="459"/>
    </row>
    <row r="762">
      <c r="B762" s="459"/>
      <c r="C762" s="459"/>
      <c r="D762" s="459"/>
      <c r="E762" s="459"/>
      <c r="F762" s="459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9"/>
      <c r="Z762" s="459"/>
      <c r="AA762" s="459"/>
      <c r="AB762" s="459"/>
      <c r="AC762" s="459"/>
      <c r="AD762" s="459"/>
      <c r="AE762" s="459"/>
      <c r="AF762" s="459"/>
    </row>
    <row r="763">
      <c r="B763" s="459"/>
      <c r="C763" s="459"/>
      <c r="D763" s="459"/>
      <c r="E763" s="459"/>
      <c r="F763" s="459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9"/>
      <c r="Z763" s="459"/>
      <c r="AA763" s="459"/>
      <c r="AB763" s="459"/>
      <c r="AC763" s="459"/>
      <c r="AD763" s="459"/>
      <c r="AE763" s="459"/>
      <c r="AF763" s="459"/>
    </row>
    <row r="764">
      <c r="B764" s="459"/>
      <c r="C764" s="459"/>
      <c r="D764" s="459"/>
      <c r="E764" s="459"/>
      <c r="F764" s="459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9"/>
      <c r="Z764" s="459"/>
      <c r="AA764" s="459"/>
      <c r="AB764" s="459"/>
      <c r="AC764" s="459"/>
      <c r="AD764" s="459"/>
      <c r="AE764" s="459"/>
      <c r="AF764" s="459"/>
    </row>
    <row r="765">
      <c r="B765" s="459"/>
      <c r="C765" s="459"/>
      <c r="D765" s="459"/>
      <c r="E765" s="459"/>
      <c r="F765" s="459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9"/>
      <c r="Z765" s="459"/>
      <c r="AA765" s="459"/>
      <c r="AB765" s="459"/>
      <c r="AC765" s="459"/>
      <c r="AD765" s="459"/>
      <c r="AE765" s="459"/>
      <c r="AF765" s="459"/>
    </row>
    <row r="766">
      <c r="B766" s="459"/>
      <c r="C766" s="459"/>
      <c r="D766" s="459"/>
      <c r="E766" s="459"/>
      <c r="F766" s="459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9"/>
      <c r="Z766" s="459"/>
      <c r="AA766" s="459"/>
      <c r="AB766" s="459"/>
      <c r="AC766" s="459"/>
      <c r="AD766" s="459"/>
      <c r="AE766" s="459"/>
      <c r="AF766" s="459"/>
    </row>
    <row r="767">
      <c r="B767" s="459"/>
      <c r="C767" s="459"/>
      <c r="D767" s="459"/>
      <c r="E767" s="459"/>
      <c r="F767" s="459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9"/>
      <c r="Z767" s="459"/>
      <c r="AA767" s="459"/>
      <c r="AB767" s="459"/>
      <c r="AC767" s="459"/>
      <c r="AD767" s="459"/>
      <c r="AE767" s="459"/>
      <c r="AF767" s="459"/>
    </row>
    <row r="768">
      <c r="B768" s="459"/>
      <c r="C768" s="459"/>
      <c r="D768" s="459"/>
      <c r="E768" s="459"/>
      <c r="F768" s="459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9"/>
      <c r="Z768" s="459"/>
      <c r="AA768" s="459"/>
      <c r="AB768" s="459"/>
      <c r="AC768" s="459"/>
      <c r="AD768" s="459"/>
      <c r="AE768" s="459"/>
      <c r="AF768" s="459"/>
    </row>
    <row r="769">
      <c r="B769" s="459"/>
      <c r="C769" s="459"/>
      <c r="D769" s="459"/>
      <c r="E769" s="459"/>
      <c r="F769" s="459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9"/>
      <c r="Z769" s="459"/>
      <c r="AA769" s="459"/>
      <c r="AB769" s="459"/>
      <c r="AC769" s="459"/>
      <c r="AD769" s="459"/>
      <c r="AE769" s="459"/>
      <c r="AF769" s="459"/>
    </row>
    <row r="770">
      <c r="B770" s="459"/>
      <c r="C770" s="459"/>
      <c r="D770" s="459"/>
      <c r="E770" s="459"/>
      <c r="F770" s="459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9"/>
      <c r="Z770" s="459"/>
      <c r="AA770" s="459"/>
      <c r="AB770" s="459"/>
      <c r="AC770" s="459"/>
      <c r="AD770" s="459"/>
      <c r="AE770" s="459"/>
      <c r="AF770" s="459"/>
    </row>
    <row r="771">
      <c r="B771" s="459"/>
      <c r="C771" s="459"/>
      <c r="D771" s="459"/>
      <c r="E771" s="459"/>
      <c r="F771" s="459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9"/>
      <c r="Z771" s="459"/>
      <c r="AA771" s="459"/>
      <c r="AB771" s="459"/>
      <c r="AC771" s="459"/>
      <c r="AD771" s="459"/>
      <c r="AE771" s="459"/>
      <c r="AF771" s="459"/>
    </row>
    <row r="772">
      <c r="B772" s="459"/>
      <c r="C772" s="459"/>
      <c r="D772" s="459"/>
      <c r="E772" s="459"/>
      <c r="F772" s="459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9"/>
      <c r="Z772" s="459"/>
      <c r="AA772" s="459"/>
      <c r="AB772" s="459"/>
      <c r="AC772" s="459"/>
      <c r="AD772" s="459"/>
      <c r="AE772" s="459"/>
      <c r="AF772" s="459"/>
    </row>
    <row r="773">
      <c r="B773" s="459"/>
      <c r="C773" s="459"/>
      <c r="D773" s="459"/>
      <c r="E773" s="459"/>
      <c r="F773" s="459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9"/>
      <c r="Z773" s="459"/>
      <c r="AA773" s="459"/>
      <c r="AB773" s="459"/>
      <c r="AC773" s="459"/>
      <c r="AD773" s="459"/>
      <c r="AE773" s="459"/>
      <c r="AF773" s="459"/>
    </row>
    <row r="774">
      <c r="B774" s="459"/>
      <c r="C774" s="459"/>
      <c r="D774" s="459"/>
      <c r="E774" s="459"/>
      <c r="F774" s="459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9"/>
      <c r="Z774" s="459"/>
      <c r="AA774" s="459"/>
      <c r="AB774" s="459"/>
      <c r="AC774" s="459"/>
      <c r="AD774" s="459"/>
      <c r="AE774" s="459"/>
      <c r="AF774" s="459"/>
    </row>
    <row r="775">
      <c r="B775" s="459"/>
      <c r="C775" s="459"/>
      <c r="D775" s="459"/>
      <c r="E775" s="459"/>
      <c r="F775" s="459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9"/>
      <c r="Z775" s="459"/>
      <c r="AA775" s="459"/>
      <c r="AB775" s="459"/>
      <c r="AC775" s="459"/>
      <c r="AD775" s="459"/>
      <c r="AE775" s="459"/>
      <c r="AF775" s="459"/>
    </row>
    <row r="776">
      <c r="B776" s="459"/>
      <c r="C776" s="459"/>
      <c r="D776" s="459"/>
      <c r="E776" s="459"/>
      <c r="F776" s="459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9"/>
      <c r="Z776" s="459"/>
      <c r="AA776" s="459"/>
      <c r="AB776" s="459"/>
      <c r="AC776" s="459"/>
      <c r="AD776" s="459"/>
      <c r="AE776" s="459"/>
      <c r="AF776" s="459"/>
    </row>
    <row r="777">
      <c r="B777" s="459"/>
      <c r="C777" s="459"/>
      <c r="D777" s="459"/>
      <c r="E777" s="459"/>
      <c r="F777" s="459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9"/>
      <c r="Z777" s="459"/>
      <c r="AA777" s="459"/>
      <c r="AB777" s="459"/>
      <c r="AC777" s="459"/>
      <c r="AD777" s="459"/>
      <c r="AE777" s="459"/>
      <c r="AF777" s="459"/>
    </row>
    <row r="778">
      <c r="B778" s="459"/>
      <c r="C778" s="459"/>
      <c r="D778" s="459"/>
      <c r="E778" s="459"/>
      <c r="F778" s="459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9"/>
      <c r="Z778" s="459"/>
      <c r="AA778" s="459"/>
      <c r="AB778" s="459"/>
      <c r="AC778" s="459"/>
      <c r="AD778" s="459"/>
      <c r="AE778" s="459"/>
      <c r="AF778" s="459"/>
    </row>
    <row r="779">
      <c r="B779" s="459"/>
      <c r="C779" s="459"/>
      <c r="D779" s="459"/>
      <c r="E779" s="459"/>
      <c r="F779" s="459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9"/>
      <c r="Z779" s="459"/>
      <c r="AA779" s="459"/>
      <c r="AB779" s="459"/>
      <c r="AC779" s="459"/>
      <c r="AD779" s="459"/>
      <c r="AE779" s="459"/>
      <c r="AF779" s="459"/>
    </row>
    <row r="780">
      <c r="B780" s="459"/>
      <c r="C780" s="459"/>
      <c r="D780" s="459"/>
      <c r="E780" s="459"/>
      <c r="F780" s="459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9"/>
      <c r="Z780" s="459"/>
      <c r="AA780" s="459"/>
      <c r="AB780" s="459"/>
      <c r="AC780" s="459"/>
      <c r="AD780" s="459"/>
      <c r="AE780" s="459"/>
      <c r="AF780" s="459"/>
    </row>
    <row r="781">
      <c r="B781" s="459"/>
      <c r="C781" s="459"/>
      <c r="D781" s="459"/>
      <c r="E781" s="459"/>
      <c r="F781" s="459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9"/>
      <c r="Z781" s="459"/>
      <c r="AA781" s="459"/>
      <c r="AB781" s="459"/>
      <c r="AC781" s="459"/>
      <c r="AD781" s="459"/>
      <c r="AE781" s="459"/>
      <c r="AF781" s="459"/>
    </row>
    <row r="782">
      <c r="B782" s="459"/>
      <c r="C782" s="459"/>
      <c r="D782" s="459"/>
      <c r="E782" s="459"/>
      <c r="F782" s="459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9"/>
      <c r="Z782" s="459"/>
      <c r="AA782" s="459"/>
      <c r="AB782" s="459"/>
      <c r="AC782" s="459"/>
      <c r="AD782" s="459"/>
      <c r="AE782" s="459"/>
      <c r="AF782" s="459"/>
    </row>
    <row r="783">
      <c r="B783" s="459"/>
      <c r="C783" s="459"/>
      <c r="D783" s="459"/>
      <c r="E783" s="459"/>
      <c r="F783" s="459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9"/>
      <c r="Z783" s="459"/>
      <c r="AA783" s="459"/>
      <c r="AB783" s="459"/>
      <c r="AC783" s="459"/>
      <c r="AD783" s="459"/>
      <c r="AE783" s="459"/>
      <c r="AF783" s="459"/>
    </row>
    <row r="784">
      <c r="B784" s="459"/>
      <c r="C784" s="459"/>
      <c r="D784" s="459"/>
      <c r="E784" s="459"/>
      <c r="F784" s="459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9"/>
      <c r="Z784" s="459"/>
      <c r="AA784" s="459"/>
      <c r="AB784" s="459"/>
      <c r="AC784" s="459"/>
      <c r="AD784" s="459"/>
      <c r="AE784" s="459"/>
      <c r="AF784" s="459"/>
    </row>
    <row r="785">
      <c r="B785" s="459"/>
      <c r="C785" s="459"/>
      <c r="D785" s="459"/>
      <c r="E785" s="459"/>
      <c r="F785" s="459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9"/>
      <c r="Z785" s="459"/>
      <c r="AA785" s="459"/>
      <c r="AB785" s="459"/>
      <c r="AC785" s="459"/>
      <c r="AD785" s="459"/>
      <c r="AE785" s="459"/>
      <c r="AF785" s="459"/>
    </row>
    <row r="786">
      <c r="B786" s="459"/>
      <c r="C786" s="459"/>
      <c r="D786" s="459"/>
      <c r="E786" s="459"/>
      <c r="F786" s="459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9"/>
      <c r="Z786" s="459"/>
      <c r="AA786" s="459"/>
      <c r="AB786" s="459"/>
      <c r="AC786" s="459"/>
      <c r="AD786" s="459"/>
      <c r="AE786" s="459"/>
      <c r="AF786" s="459"/>
    </row>
    <row r="787">
      <c r="B787" s="459"/>
      <c r="C787" s="459"/>
      <c r="D787" s="459"/>
      <c r="E787" s="459"/>
      <c r="F787" s="459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9"/>
      <c r="Z787" s="459"/>
      <c r="AA787" s="459"/>
      <c r="AB787" s="459"/>
      <c r="AC787" s="459"/>
      <c r="AD787" s="459"/>
      <c r="AE787" s="459"/>
      <c r="AF787" s="459"/>
    </row>
    <row r="788">
      <c r="B788" s="459"/>
      <c r="C788" s="459"/>
      <c r="D788" s="459"/>
      <c r="E788" s="459"/>
      <c r="F788" s="459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9"/>
      <c r="Z788" s="459"/>
      <c r="AA788" s="459"/>
      <c r="AB788" s="459"/>
      <c r="AC788" s="459"/>
      <c r="AD788" s="459"/>
      <c r="AE788" s="459"/>
      <c r="AF788" s="459"/>
    </row>
    <row r="789">
      <c r="B789" s="459"/>
      <c r="C789" s="459"/>
      <c r="D789" s="459"/>
      <c r="E789" s="459"/>
      <c r="F789" s="459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9"/>
      <c r="Z789" s="459"/>
      <c r="AA789" s="459"/>
      <c r="AB789" s="459"/>
      <c r="AC789" s="459"/>
      <c r="AD789" s="459"/>
      <c r="AE789" s="459"/>
      <c r="AF789" s="459"/>
    </row>
    <row r="790">
      <c r="B790" s="459"/>
      <c r="C790" s="459"/>
      <c r="D790" s="459"/>
      <c r="E790" s="459"/>
      <c r="F790" s="459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9"/>
      <c r="Z790" s="459"/>
      <c r="AA790" s="459"/>
      <c r="AB790" s="459"/>
      <c r="AC790" s="459"/>
      <c r="AD790" s="459"/>
      <c r="AE790" s="459"/>
      <c r="AF790" s="459"/>
    </row>
    <row r="791">
      <c r="B791" s="459"/>
      <c r="C791" s="459"/>
      <c r="D791" s="459"/>
      <c r="E791" s="459"/>
      <c r="F791" s="459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9"/>
      <c r="Z791" s="459"/>
      <c r="AA791" s="459"/>
      <c r="AB791" s="459"/>
      <c r="AC791" s="459"/>
      <c r="AD791" s="459"/>
      <c r="AE791" s="459"/>
      <c r="AF791" s="459"/>
    </row>
    <row r="792">
      <c r="B792" s="459"/>
      <c r="C792" s="459"/>
      <c r="D792" s="459"/>
      <c r="E792" s="459"/>
      <c r="F792" s="459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9"/>
      <c r="Z792" s="459"/>
      <c r="AA792" s="459"/>
      <c r="AB792" s="459"/>
      <c r="AC792" s="459"/>
      <c r="AD792" s="459"/>
      <c r="AE792" s="459"/>
      <c r="AF792" s="459"/>
    </row>
    <row r="793">
      <c r="B793" s="459"/>
      <c r="C793" s="459"/>
      <c r="D793" s="459"/>
      <c r="E793" s="459"/>
      <c r="F793" s="459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9"/>
      <c r="Z793" s="459"/>
      <c r="AA793" s="459"/>
      <c r="AB793" s="459"/>
      <c r="AC793" s="459"/>
      <c r="AD793" s="459"/>
      <c r="AE793" s="459"/>
      <c r="AF793" s="459"/>
    </row>
    <row r="794">
      <c r="B794" s="459"/>
      <c r="C794" s="459"/>
      <c r="D794" s="459"/>
      <c r="E794" s="459"/>
      <c r="F794" s="459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9"/>
      <c r="Z794" s="459"/>
      <c r="AA794" s="459"/>
      <c r="AB794" s="459"/>
      <c r="AC794" s="459"/>
      <c r="AD794" s="459"/>
      <c r="AE794" s="459"/>
      <c r="AF794" s="459"/>
    </row>
    <row r="795">
      <c r="B795" s="459"/>
      <c r="C795" s="459"/>
      <c r="D795" s="459"/>
      <c r="E795" s="459"/>
      <c r="F795" s="459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9"/>
      <c r="Z795" s="459"/>
      <c r="AA795" s="459"/>
      <c r="AB795" s="459"/>
      <c r="AC795" s="459"/>
      <c r="AD795" s="459"/>
      <c r="AE795" s="459"/>
      <c r="AF795" s="459"/>
    </row>
    <row r="796">
      <c r="B796" s="459"/>
      <c r="C796" s="459"/>
      <c r="D796" s="459"/>
      <c r="E796" s="459"/>
      <c r="F796" s="459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9"/>
      <c r="Z796" s="459"/>
      <c r="AA796" s="459"/>
      <c r="AB796" s="459"/>
      <c r="AC796" s="459"/>
      <c r="AD796" s="459"/>
      <c r="AE796" s="459"/>
      <c r="AF796" s="459"/>
    </row>
    <row r="797">
      <c r="B797" s="459"/>
      <c r="C797" s="459"/>
      <c r="D797" s="459"/>
      <c r="E797" s="459"/>
      <c r="F797" s="459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9"/>
      <c r="Z797" s="459"/>
      <c r="AA797" s="459"/>
      <c r="AB797" s="459"/>
      <c r="AC797" s="459"/>
      <c r="AD797" s="459"/>
      <c r="AE797" s="459"/>
      <c r="AF797" s="459"/>
    </row>
    <row r="798">
      <c r="B798" s="459"/>
      <c r="C798" s="459"/>
      <c r="D798" s="459"/>
      <c r="E798" s="459"/>
      <c r="F798" s="459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9"/>
      <c r="Z798" s="459"/>
      <c r="AA798" s="459"/>
      <c r="AB798" s="459"/>
      <c r="AC798" s="459"/>
      <c r="AD798" s="459"/>
      <c r="AE798" s="459"/>
      <c r="AF798" s="459"/>
    </row>
    <row r="799">
      <c r="B799" s="459"/>
      <c r="C799" s="459"/>
      <c r="D799" s="459"/>
      <c r="E799" s="459"/>
      <c r="F799" s="459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9"/>
      <c r="Z799" s="459"/>
      <c r="AA799" s="459"/>
      <c r="AB799" s="459"/>
      <c r="AC799" s="459"/>
      <c r="AD799" s="459"/>
      <c r="AE799" s="459"/>
      <c r="AF799" s="459"/>
    </row>
    <row r="800">
      <c r="B800" s="459"/>
      <c r="C800" s="459"/>
      <c r="D800" s="459"/>
      <c r="E800" s="459"/>
      <c r="F800" s="459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9"/>
      <c r="Z800" s="459"/>
      <c r="AA800" s="459"/>
      <c r="AB800" s="459"/>
      <c r="AC800" s="459"/>
      <c r="AD800" s="459"/>
      <c r="AE800" s="459"/>
      <c r="AF800" s="459"/>
    </row>
    <row r="801">
      <c r="B801" s="459"/>
      <c r="C801" s="459"/>
      <c r="D801" s="459"/>
      <c r="E801" s="459"/>
      <c r="F801" s="459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9"/>
      <c r="Z801" s="459"/>
      <c r="AA801" s="459"/>
      <c r="AB801" s="459"/>
      <c r="AC801" s="459"/>
      <c r="AD801" s="459"/>
      <c r="AE801" s="459"/>
      <c r="AF801" s="459"/>
    </row>
    <row r="802">
      <c r="B802" s="459"/>
      <c r="C802" s="459"/>
      <c r="D802" s="459"/>
      <c r="E802" s="459"/>
      <c r="F802" s="459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9"/>
      <c r="Z802" s="459"/>
      <c r="AA802" s="459"/>
      <c r="AB802" s="459"/>
      <c r="AC802" s="459"/>
      <c r="AD802" s="459"/>
      <c r="AE802" s="459"/>
      <c r="AF802" s="459"/>
    </row>
    <row r="803">
      <c r="B803" s="459"/>
      <c r="C803" s="459"/>
      <c r="D803" s="459"/>
      <c r="E803" s="459"/>
      <c r="F803" s="459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9"/>
      <c r="Z803" s="459"/>
      <c r="AA803" s="459"/>
      <c r="AB803" s="459"/>
      <c r="AC803" s="459"/>
      <c r="AD803" s="459"/>
      <c r="AE803" s="459"/>
      <c r="AF803" s="459"/>
    </row>
    <row r="804">
      <c r="B804" s="459"/>
      <c r="C804" s="459"/>
      <c r="D804" s="459"/>
      <c r="E804" s="459"/>
      <c r="F804" s="459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9"/>
      <c r="Z804" s="459"/>
      <c r="AA804" s="459"/>
      <c r="AB804" s="459"/>
      <c r="AC804" s="459"/>
      <c r="AD804" s="459"/>
      <c r="AE804" s="459"/>
      <c r="AF804" s="459"/>
    </row>
    <row r="805">
      <c r="B805" s="459"/>
      <c r="C805" s="459"/>
      <c r="D805" s="459"/>
      <c r="E805" s="459"/>
      <c r="F805" s="459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9"/>
      <c r="Z805" s="459"/>
      <c r="AA805" s="459"/>
      <c r="AB805" s="459"/>
      <c r="AC805" s="459"/>
      <c r="AD805" s="459"/>
      <c r="AE805" s="459"/>
      <c r="AF805" s="459"/>
    </row>
    <row r="806">
      <c r="B806" s="459"/>
      <c r="C806" s="459"/>
      <c r="D806" s="459"/>
      <c r="E806" s="459"/>
      <c r="F806" s="459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9"/>
      <c r="Z806" s="459"/>
      <c r="AA806" s="459"/>
      <c r="AB806" s="459"/>
      <c r="AC806" s="459"/>
      <c r="AD806" s="459"/>
      <c r="AE806" s="459"/>
      <c r="AF806" s="459"/>
    </row>
    <row r="807">
      <c r="B807" s="459"/>
      <c r="C807" s="459"/>
      <c r="D807" s="459"/>
      <c r="E807" s="459"/>
      <c r="F807" s="459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9"/>
      <c r="Z807" s="459"/>
      <c r="AA807" s="459"/>
      <c r="AB807" s="459"/>
      <c r="AC807" s="459"/>
      <c r="AD807" s="459"/>
      <c r="AE807" s="459"/>
      <c r="AF807" s="459"/>
    </row>
    <row r="808">
      <c r="B808" s="459"/>
      <c r="C808" s="459"/>
      <c r="D808" s="459"/>
      <c r="E808" s="459"/>
      <c r="F808" s="459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9"/>
      <c r="Z808" s="459"/>
      <c r="AA808" s="459"/>
      <c r="AB808" s="459"/>
      <c r="AC808" s="459"/>
      <c r="AD808" s="459"/>
      <c r="AE808" s="459"/>
      <c r="AF808" s="459"/>
    </row>
    <row r="809">
      <c r="B809" s="459"/>
      <c r="C809" s="459"/>
      <c r="D809" s="459"/>
      <c r="E809" s="459"/>
      <c r="F809" s="459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9"/>
      <c r="Z809" s="459"/>
      <c r="AA809" s="459"/>
      <c r="AB809" s="459"/>
      <c r="AC809" s="459"/>
      <c r="AD809" s="459"/>
      <c r="AE809" s="459"/>
      <c r="AF809" s="459"/>
    </row>
    <row r="810">
      <c r="B810" s="459"/>
      <c r="C810" s="459"/>
      <c r="D810" s="459"/>
      <c r="E810" s="459"/>
      <c r="F810" s="459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9"/>
      <c r="Z810" s="459"/>
      <c r="AA810" s="459"/>
      <c r="AB810" s="459"/>
      <c r="AC810" s="459"/>
      <c r="AD810" s="459"/>
      <c r="AE810" s="459"/>
      <c r="AF810" s="459"/>
    </row>
    <row r="811">
      <c r="B811" s="459"/>
      <c r="C811" s="459"/>
      <c r="D811" s="459"/>
      <c r="E811" s="459"/>
      <c r="F811" s="459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9"/>
      <c r="Z811" s="459"/>
      <c r="AA811" s="459"/>
      <c r="AB811" s="459"/>
      <c r="AC811" s="459"/>
      <c r="AD811" s="459"/>
      <c r="AE811" s="459"/>
      <c r="AF811" s="459"/>
    </row>
    <row r="812">
      <c r="B812" s="459"/>
      <c r="C812" s="459"/>
      <c r="D812" s="459"/>
      <c r="E812" s="459"/>
      <c r="F812" s="459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9"/>
      <c r="Z812" s="459"/>
      <c r="AA812" s="459"/>
      <c r="AB812" s="459"/>
      <c r="AC812" s="459"/>
      <c r="AD812" s="459"/>
      <c r="AE812" s="459"/>
      <c r="AF812" s="459"/>
    </row>
    <row r="813">
      <c r="B813" s="459"/>
      <c r="C813" s="459"/>
      <c r="D813" s="459"/>
      <c r="E813" s="459"/>
      <c r="F813" s="459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9"/>
      <c r="Z813" s="459"/>
      <c r="AA813" s="459"/>
      <c r="AB813" s="459"/>
      <c r="AC813" s="459"/>
      <c r="AD813" s="459"/>
      <c r="AE813" s="459"/>
      <c r="AF813" s="459"/>
    </row>
    <row r="814">
      <c r="B814" s="459"/>
      <c r="C814" s="459"/>
      <c r="D814" s="459"/>
      <c r="E814" s="459"/>
      <c r="F814" s="459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9"/>
      <c r="Z814" s="459"/>
      <c r="AA814" s="459"/>
      <c r="AB814" s="459"/>
      <c r="AC814" s="459"/>
      <c r="AD814" s="459"/>
      <c r="AE814" s="459"/>
      <c r="AF814" s="459"/>
    </row>
    <row r="815">
      <c r="B815" s="459"/>
      <c r="C815" s="459"/>
      <c r="D815" s="459"/>
      <c r="E815" s="459"/>
      <c r="F815" s="459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9"/>
      <c r="Z815" s="459"/>
      <c r="AA815" s="459"/>
      <c r="AB815" s="459"/>
      <c r="AC815" s="459"/>
      <c r="AD815" s="459"/>
      <c r="AE815" s="459"/>
      <c r="AF815" s="459"/>
    </row>
    <row r="816">
      <c r="B816" s="459"/>
      <c r="C816" s="459"/>
      <c r="D816" s="459"/>
      <c r="E816" s="459"/>
      <c r="F816" s="459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9"/>
      <c r="Z816" s="459"/>
      <c r="AA816" s="459"/>
      <c r="AB816" s="459"/>
      <c r="AC816" s="459"/>
      <c r="AD816" s="459"/>
      <c r="AE816" s="459"/>
      <c r="AF816" s="459"/>
    </row>
    <row r="817">
      <c r="B817" s="459"/>
      <c r="C817" s="459"/>
      <c r="D817" s="459"/>
      <c r="E817" s="459"/>
      <c r="F817" s="459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9"/>
      <c r="Z817" s="459"/>
      <c r="AA817" s="459"/>
      <c r="AB817" s="459"/>
      <c r="AC817" s="459"/>
      <c r="AD817" s="459"/>
      <c r="AE817" s="459"/>
      <c r="AF817" s="459"/>
    </row>
    <row r="818">
      <c r="B818" s="459"/>
      <c r="C818" s="459"/>
      <c r="D818" s="459"/>
      <c r="E818" s="459"/>
      <c r="F818" s="459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9"/>
      <c r="Z818" s="459"/>
      <c r="AA818" s="459"/>
      <c r="AB818" s="459"/>
      <c r="AC818" s="459"/>
      <c r="AD818" s="459"/>
      <c r="AE818" s="459"/>
      <c r="AF818" s="459"/>
    </row>
    <row r="819">
      <c r="B819" s="459"/>
      <c r="C819" s="459"/>
      <c r="D819" s="459"/>
      <c r="E819" s="459"/>
      <c r="F819" s="459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9"/>
      <c r="Z819" s="459"/>
      <c r="AA819" s="459"/>
      <c r="AB819" s="459"/>
      <c r="AC819" s="459"/>
      <c r="AD819" s="459"/>
      <c r="AE819" s="459"/>
      <c r="AF819" s="459"/>
    </row>
    <row r="820">
      <c r="B820" s="459"/>
      <c r="C820" s="459"/>
      <c r="D820" s="459"/>
      <c r="E820" s="459"/>
      <c r="F820" s="459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9"/>
      <c r="Z820" s="459"/>
      <c r="AA820" s="459"/>
      <c r="AB820" s="459"/>
      <c r="AC820" s="459"/>
      <c r="AD820" s="459"/>
      <c r="AE820" s="459"/>
      <c r="AF820" s="459"/>
    </row>
    <row r="821">
      <c r="B821" s="459"/>
      <c r="C821" s="459"/>
      <c r="D821" s="459"/>
      <c r="E821" s="459"/>
      <c r="F821" s="459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9"/>
      <c r="Z821" s="459"/>
      <c r="AA821" s="459"/>
      <c r="AB821" s="459"/>
      <c r="AC821" s="459"/>
      <c r="AD821" s="459"/>
      <c r="AE821" s="459"/>
      <c r="AF821" s="459"/>
    </row>
    <row r="822">
      <c r="B822" s="459"/>
      <c r="C822" s="459"/>
      <c r="D822" s="459"/>
      <c r="E822" s="459"/>
      <c r="F822" s="459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9"/>
      <c r="Z822" s="459"/>
      <c r="AA822" s="459"/>
      <c r="AB822" s="459"/>
      <c r="AC822" s="459"/>
      <c r="AD822" s="459"/>
      <c r="AE822" s="459"/>
      <c r="AF822" s="459"/>
    </row>
    <row r="823">
      <c r="B823" s="459"/>
      <c r="C823" s="459"/>
      <c r="D823" s="459"/>
      <c r="E823" s="459"/>
      <c r="F823" s="459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9"/>
      <c r="Z823" s="459"/>
      <c r="AA823" s="459"/>
      <c r="AB823" s="459"/>
      <c r="AC823" s="459"/>
      <c r="AD823" s="459"/>
      <c r="AE823" s="459"/>
      <c r="AF823" s="459"/>
    </row>
    <row r="824">
      <c r="B824" s="459"/>
      <c r="C824" s="459"/>
      <c r="D824" s="459"/>
      <c r="E824" s="459"/>
      <c r="F824" s="459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9"/>
      <c r="Z824" s="459"/>
      <c r="AA824" s="459"/>
      <c r="AB824" s="459"/>
      <c r="AC824" s="459"/>
      <c r="AD824" s="459"/>
      <c r="AE824" s="459"/>
      <c r="AF824" s="459"/>
    </row>
    <row r="825">
      <c r="B825" s="459"/>
      <c r="C825" s="459"/>
      <c r="D825" s="459"/>
      <c r="E825" s="459"/>
      <c r="F825" s="459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9"/>
      <c r="Z825" s="459"/>
      <c r="AA825" s="459"/>
      <c r="AB825" s="459"/>
      <c r="AC825" s="459"/>
      <c r="AD825" s="459"/>
      <c r="AE825" s="459"/>
      <c r="AF825" s="459"/>
    </row>
    <row r="826">
      <c r="B826" s="459"/>
      <c r="C826" s="459"/>
      <c r="D826" s="459"/>
      <c r="E826" s="459"/>
      <c r="F826" s="459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9"/>
      <c r="Z826" s="459"/>
      <c r="AA826" s="459"/>
      <c r="AB826" s="459"/>
      <c r="AC826" s="459"/>
      <c r="AD826" s="459"/>
      <c r="AE826" s="459"/>
      <c r="AF826" s="459"/>
    </row>
    <row r="827">
      <c r="B827" s="459"/>
      <c r="C827" s="459"/>
      <c r="D827" s="459"/>
      <c r="E827" s="459"/>
      <c r="F827" s="459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9"/>
      <c r="Z827" s="459"/>
      <c r="AA827" s="459"/>
      <c r="AB827" s="459"/>
      <c r="AC827" s="459"/>
      <c r="AD827" s="459"/>
      <c r="AE827" s="459"/>
      <c r="AF827" s="459"/>
    </row>
    <row r="828">
      <c r="B828" s="459"/>
      <c r="C828" s="459"/>
      <c r="D828" s="459"/>
      <c r="E828" s="459"/>
      <c r="F828" s="459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9"/>
      <c r="Z828" s="459"/>
      <c r="AA828" s="459"/>
      <c r="AB828" s="459"/>
      <c r="AC828" s="459"/>
      <c r="AD828" s="459"/>
      <c r="AE828" s="459"/>
      <c r="AF828" s="459"/>
    </row>
    <row r="829">
      <c r="B829" s="459"/>
      <c r="C829" s="459"/>
      <c r="D829" s="459"/>
      <c r="E829" s="459"/>
      <c r="F829" s="459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9"/>
      <c r="Z829" s="459"/>
      <c r="AA829" s="459"/>
      <c r="AB829" s="459"/>
      <c r="AC829" s="459"/>
      <c r="AD829" s="459"/>
      <c r="AE829" s="459"/>
      <c r="AF829" s="459"/>
    </row>
    <row r="830">
      <c r="B830" s="459"/>
      <c r="C830" s="459"/>
      <c r="D830" s="459"/>
      <c r="E830" s="459"/>
      <c r="F830" s="459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9"/>
      <c r="Z830" s="459"/>
      <c r="AA830" s="459"/>
      <c r="AB830" s="459"/>
      <c r="AC830" s="459"/>
      <c r="AD830" s="459"/>
      <c r="AE830" s="459"/>
      <c r="AF830" s="459"/>
    </row>
    <row r="831">
      <c r="B831" s="459"/>
      <c r="C831" s="459"/>
      <c r="D831" s="459"/>
      <c r="E831" s="459"/>
      <c r="F831" s="459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9"/>
      <c r="Z831" s="459"/>
      <c r="AA831" s="459"/>
      <c r="AB831" s="459"/>
      <c r="AC831" s="459"/>
      <c r="AD831" s="459"/>
      <c r="AE831" s="459"/>
      <c r="AF831" s="459"/>
    </row>
    <row r="832">
      <c r="B832" s="459"/>
      <c r="C832" s="459"/>
      <c r="D832" s="459"/>
      <c r="E832" s="459"/>
      <c r="F832" s="459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9"/>
      <c r="Z832" s="459"/>
      <c r="AA832" s="459"/>
      <c r="AB832" s="459"/>
      <c r="AC832" s="459"/>
      <c r="AD832" s="459"/>
      <c r="AE832" s="459"/>
      <c r="AF832" s="459"/>
    </row>
    <row r="833">
      <c r="B833" s="459"/>
      <c r="C833" s="459"/>
      <c r="D833" s="459"/>
      <c r="E833" s="459"/>
      <c r="F833" s="459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9"/>
      <c r="Z833" s="459"/>
      <c r="AA833" s="459"/>
      <c r="AB833" s="459"/>
      <c r="AC833" s="459"/>
      <c r="AD833" s="459"/>
      <c r="AE833" s="459"/>
      <c r="AF833" s="459"/>
    </row>
    <row r="834">
      <c r="B834" s="459"/>
      <c r="C834" s="459"/>
      <c r="D834" s="459"/>
      <c r="E834" s="459"/>
      <c r="F834" s="459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9"/>
      <c r="Z834" s="459"/>
      <c r="AA834" s="459"/>
      <c r="AB834" s="459"/>
      <c r="AC834" s="459"/>
      <c r="AD834" s="459"/>
      <c r="AE834" s="459"/>
      <c r="AF834" s="459"/>
    </row>
    <row r="835">
      <c r="B835" s="459"/>
      <c r="C835" s="459"/>
      <c r="D835" s="459"/>
      <c r="E835" s="459"/>
      <c r="F835" s="459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9"/>
      <c r="Z835" s="459"/>
      <c r="AA835" s="459"/>
      <c r="AB835" s="459"/>
      <c r="AC835" s="459"/>
      <c r="AD835" s="459"/>
      <c r="AE835" s="459"/>
      <c r="AF835" s="459"/>
    </row>
    <row r="836">
      <c r="B836" s="459"/>
      <c r="C836" s="459"/>
      <c r="D836" s="459"/>
      <c r="E836" s="459"/>
      <c r="F836" s="459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9"/>
      <c r="Z836" s="459"/>
      <c r="AA836" s="459"/>
      <c r="AB836" s="459"/>
      <c r="AC836" s="459"/>
      <c r="AD836" s="459"/>
      <c r="AE836" s="459"/>
      <c r="AF836" s="459"/>
    </row>
    <row r="837">
      <c r="B837" s="459"/>
      <c r="C837" s="459"/>
      <c r="D837" s="459"/>
      <c r="E837" s="459"/>
      <c r="F837" s="459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9"/>
      <c r="Z837" s="459"/>
      <c r="AA837" s="459"/>
      <c r="AB837" s="459"/>
      <c r="AC837" s="459"/>
      <c r="AD837" s="459"/>
      <c r="AE837" s="459"/>
      <c r="AF837" s="459"/>
    </row>
    <row r="838">
      <c r="B838" s="459"/>
      <c r="C838" s="459"/>
      <c r="D838" s="459"/>
      <c r="E838" s="459"/>
      <c r="F838" s="459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9"/>
      <c r="Z838" s="459"/>
      <c r="AA838" s="459"/>
      <c r="AB838" s="459"/>
      <c r="AC838" s="459"/>
      <c r="AD838" s="459"/>
      <c r="AE838" s="459"/>
      <c r="AF838" s="459"/>
    </row>
    <row r="839">
      <c r="B839" s="459"/>
      <c r="C839" s="459"/>
      <c r="D839" s="459"/>
      <c r="E839" s="459"/>
      <c r="F839" s="459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9"/>
      <c r="Z839" s="459"/>
      <c r="AA839" s="459"/>
      <c r="AB839" s="459"/>
      <c r="AC839" s="459"/>
      <c r="AD839" s="459"/>
      <c r="AE839" s="459"/>
      <c r="AF839" s="459"/>
    </row>
    <row r="840">
      <c r="B840" s="459"/>
      <c r="C840" s="459"/>
      <c r="D840" s="459"/>
      <c r="E840" s="459"/>
      <c r="F840" s="459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9"/>
      <c r="Z840" s="459"/>
      <c r="AA840" s="459"/>
      <c r="AB840" s="459"/>
      <c r="AC840" s="459"/>
      <c r="AD840" s="459"/>
      <c r="AE840" s="459"/>
      <c r="AF840" s="459"/>
    </row>
    <row r="841">
      <c r="B841" s="459"/>
      <c r="C841" s="459"/>
      <c r="D841" s="459"/>
      <c r="E841" s="459"/>
      <c r="F841" s="459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9"/>
      <c r="Z841" s="459"/>
      <c r="AA841" s="459"/>
      <c r="AB841" s="459"/>
      <c r="AC841" s="459"/>
      <c r="AD841" s="459"/>
      <c r="AE841" s="459"/>
      <c r="AF841" s="459"/>
    </row>
    <row r="842">
      <c r="B842" s="459"/>
      <c r="C842" s="459"/>
      <c r="D842" s="459"/>
      <c r="E842" s="459"/>
      <c r="F842" s="459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9"/>
      <c r="Z842" s="459"/>
      <c r="AA842" s="459"/>
      <c r="AB842" s="459"/>
      <c r="AC842" s="459"/>
      <c r="AD842" s="459"/>
      <c r="AE842" s="459"/>
      <c r="AF842" s="459"/>
    </row>
    <row r="843">
      <c r="B843" s="459"/>
      <c r="C843" s="459"/>
      <c r="D843" s="459"/>
      <c r="E843" s="459"/>
      <c r="F843" s="459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9"/>
      <c r="Z843" s="459"/>
      <c r="AA843" s="459"/>
      <c r="AB843" s="459"/>
      <c r="AC843" s="459"/>
      <c r="AD843" s="459"/>
      <c r="AE843" s="459"/>
      <c r="AF843" s="459"/>
    </row>
    <row r="844">
      <c r="B844" s="459"/>
      <c r="C844" s="459"/>
      <c r="D844" s="459"/>
      <c r="E844" s="459"/>
      <c r="F844" s="459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9"/>
      <c r="Z844" s="459"/>
      <c r="AA844" s="459"/>
      <c r="AB844" s="459"/>
      <c r="AC844" s="459"/>
      <c r="AD844" s="459"/>
      <c r="AE844" s="459"/>
      <c r="AF844" s="459"/>
    </row>
    <row r="845">
      <c r="B845" s="459"/>
      <c r="C845" s="459"/>
      <c r="D845" s="459"/>
      <c r="E845" s="459"/>
      <c r="F845" s="459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9"/>
      <c r="Z845" s="459"/>
      <c r="AA845" s="459"/>
      <c r="AB845" s="459"/>
      <c r="AC845" s="459"/>
      <c r="AD845" s="459"/>
      <c r="AE845" s="459"/>
      <c r="AF845" s="459"/>
    </row>
    <row r="846">
      <c r="B846" s="459"/>
      <c r="C846" s="459"/>
      <c r="D846" s="459"/>
      <c r="E846" s="459"/>
      <c r="F846" s="459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9"/>
      <c r="Z846" s="459"/>
      <c r="AA846" s="459"/>
      <c r="AB846" s="459"/>
      <c r="AC846" s="459"/>
      <c r="AD846" s="459"/>
      <c r="AE846" s="459"/>
      <c r="AF846" s="459"/>
    </row>
    <row r="847">
      <c r="B847" s="459"/>
      <c r="C847" s="459"/>
      <c r="D847" s="459"/>
      <c r="E847" s="459"/>
      <c r="F847" s="459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9"/>
      <c r="Z847" s="459"/>
      <c r="AA847" s="459"/>
      <c r="AB847" s="459"/>
      <c r="AC847" s="459"/>
      <c r="AD847" s="459"/>
      <c r="AE847" s="459"/>
      <c r="AF847" s="459"/>
    </row>
    <row r="848">
      <c r="B848" s="459"/>
      <c r="C848" s="459"/>
      <c r="D848" s="459"/>
      <c r="E848" s="459"/>
      <c r="F848" s="459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9"/>
      <c r="Z848" s="459"/>
      <c r="AA848" s="459"/>
      <c r="AB848" s="459"/>
      <c r="AC848" s="459"/>
      <c r="AD848" s="459"/>
      <c r="AE848" s="459"/>
      <c r="AF848" s="459"/>
    </row>
    <row r="849">
      <c r="B849" s="459"/>
      <c r="C849" s="459"/>
      <c r="D849" s="459"/>
      <c r="E849" s="459"/>
      <c r="F849" s="459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9"/>
      <c r="Z849" s="459"/>
      <c r="AA849" s="459"/>
      <c r="AB849" s="459"/>
      <c r="AC849" s="459"/>
      <c r="AD849" s="459"/>
      <c r="AE849" s="459"/>
      <c r="AF849" s="459"/>
    </row>
    <row r="850">
      <c r="B850" s="459"/>
      <c r="C850" s="459"/>
      <c r="D850" s="459"/>
      <c r="E850" s="459"/>
      <c r="F850" s="459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9"/>
      <c r="Z850" s="459"/>
      <c r="AA850" s="459"/>
      <c r="AB850" s="459"/>
      <c r="AC850" s="459"/>
      <c r="AD850" s="459"/>
      <c r="AE850" s="459"/>
      <c r="AF850" s="459"/>
    </row>
    <row r="851">
      <c r="B851" s="459"/>
      <c r="C851" s="459"/>
      <c r="D851" s="459"/>
      <c r="E851" s="459"/>
      <c r="F851" s="459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9"/>
      <c r="Z851" s="459"/>
      <c r="AA851" s="459"/>
      <c r="AB851" s="459"/>
      <c r="AC851" s="459"/>
      <c r="AD851" s="459"/>
      <c r="AE851" s="459"/>
      <c r="AF851" s="459"/>
    </row>
    <row r="852">
      <c r="B852" s="459"/>
      <c r="C852" s="459"/>
      <c r="D852" s="459"/>
      <c r="E852" s="459"/>
      <c r="F852" s="459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9"/>
      <c r="Z852" s="459"/>
      <c r="AA852" s="459"/>
      <c r="AB852" s="459"/>
      <c r="AC852" s="459"/>
      <c r="AD852" s="459"/>
      <c r="AE852" s="459"/>
      <c r="AF852" s="459"/>
    </row>
    <row r="853">
      <c r="B853" s="459"/>
      <c r="C853" s="459"/>
      <c r="D853" s="459"/>
      <c r="E853" s="459"/>
      <c r="F853" s="459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9"/>
      <c r="Z853" s="459"/>
      <c r="AA853" s="459"/>
      <c r="AB853" s="459"/>
      <c r="AC853" s="459"/>
      <c r="AD853" s="459"/>
      <c r="AE853" s="459"/>
      <c r="AF853" s="459"/>
    </row>
    <row r="854">
      <c r="B854" s="459"/>
      <c r="C854" s="459"/>
      <c r="D854" s="459"/>
      <c r="E854" s="459"/>
      <c r="F854" s="459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9"/>
      <c r="Z854" s="459"/>
      <c r="AA854" s="459"/>
      <c r="AB854" s="459"/>
      <c r="AC854" s="459"/>
      <c r="AD854" s="459"/>
      <c r="AE854" s="459"/>
      <c r="AF854" s="459"/>
    </row>
    <row r="855">
      <c r="B855" s="459"/>
      <c r="C855" s="459"/>
      <c r="D855" s="459"/>
      <c r="E855" s="459"/>
      <c r="F855" s="459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9"/>
      <c r="Z855" s="459"/>
      <c r="AA855" s="459"/>
      <c r="AB855" s="459"/>
      <c r="AC855" s="459"/>
      <c r="AD855" s="459"/>
      <c r="AE855" s="459"/>
      <c r="AF855" s="459"/>
    </row>
    <row r="856">
      <c r="B856" s="459"/>
      <c r="C856" s="459"/>
      <c r="D856" s="459"/>
      <c r="E856" s="459"/>
      <c r="F856" s="459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9"/>
      <c r="Z856" s="459"/>
      <c r="AA856" s="459"/>
      <c r="AB856" s="459"/>
      <c r="AC856" s="459"/>
      <c r="AD856" s="459"/>
      <c r="AE856" s="459"/>
      <c r="AF856" s="459"/>
    </row>
    <row r="857">
      <c r="B857" s="459"/>
      <c r="C857" s="459"/>
      <c r="D857" s="459"/>
      <c r="E857" s="459"/>
      <c r="F857" s="459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9"/>
      <c r="Z857" s="459"/>
      <c r="AA857" s="459"/>
      <c r="AB857" s="459"/>
      <c r="AC857" s="459"/>
      <c r="AD857" s="459"/>
      <c r="AE857" s="459"/>
      <c r="AF857" s="459"/>
    </row>
    <row r="858">
      <c r="B858" s="459"/>
      <c r="C858" s="459"/>
      <c r="D858" s="459"/>
      <c r="E858" s="459"/>
      <c r="F858" s="459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9"/>
      <c r="Z858" s="459"/>
      <c r="AA858" s="459"/>
      <c r="AB858" s="459"/>
      <c r="AC858" s="459"/>
      <c r="AD858" s="459"/>
      <c r="AE858" s="459"/>
      <c r="AF858" s="459"/>
    </row>
    <row r="859">
      <c r="B859" s="459"/>
      <c r="C859" s="459"/>
      <c r="D859" s="459"/>
      <c r="E859" s="459"/>
      <c r="F859" s="459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9"/>
      <c r="Z859" s="459"/>
      <c r="AA859" s="459"/>
      <c r="AB859" s="459"/>
      <c r="AC859" s="459"/>
      <c r="AD859" s="459"/>
      <c r="AE859" s="459"/>
      <c r="AF859" s="459"/>
    </row>
    <row r="860">
      <c r="B860" s="459"/>
      <c r="C860" s="459"/>
      <c r="D860" s="459"/>
      <c r="E860" s="459"/>
      <c r="F860" s="459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9"/>
      <c r="Z860" s="459"/>
      <c r="AA860" s="459"/>
      <c r="AB860" s="459"/>
      <c r="AC860" s="459"/>
      <c r="AD860" s="459"/>
      <c r="AE860" s="459"/>
      <c r="AF860" s="459"/>
    </row>
    <row r="861">
      <c r="B861" s="459"/>
      <c r="C861" s="459"/>
      <c r="D861" s="459"/>
      <c r="E861" s="459"/>
      <c r="F861" s="459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9"/>
      <c r="Z861" s="459"/>
      <c r="AA861" s="459"/>
      <c r="AB861" s="459"/>
      <c r="AC861" s="459"/>
      <c r="AD861" s="459"/>
      <c r="AE861" s="459"/>
      <c r="AF861" s="459"/>
    </row>
    <row r="862">
      <c r="B862" s="459"/>
      <c r="C862" s="459"/>
      <c r="D862" s="459"/>
      <c r="E862" s="459"/>
      <c r="F862" s="459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9"/>
      <c r="Z862" s="459"/>
      <c r="AA862" s="459"/>
      <c r="AB862" s="459"/>
      <c r="AC862" s="459"/>
      <c r="AD862" s="459"/>
      <c r="AE862" s="459"/>
      <c r="AF862" s="459"/>
    </row>
    <row r="863">
      <c r="B863" s="459"/>
      <c r="C863" s="459"/>
      <c r="D863" s="459"/>
      <c r="E863" s="459"/>
      <c r="F863" s="459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9"/>
      <c r="Z863" s="459"/>
      <c r="AA863" s="459"/>
      <c r="AB863" s="459"/>
      <c r="AC863" s="459"/>
      <c r="AD863" s="459"/>
      <c r="AE863" s="459"/>
      <c r="AF863" s="459"/>
    </row>
    <row r="864">
      <c r="B864" s="459"/>
      <c r="C864" s="459"/>
      <c r="D864" s="459"/>
      <c r="E864" s="459"/>
      <c r="F864" s="459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9"/>
      <c r="Z864" s="459"/>
      <c r="AA864" s="459"/>
      <c r="AB864" s="459"/>
      <c r="AC864" s="459"/>
      <c r="AD864" s="459"/>
      <c r="AE864" s="459"/>
      <c r="AF864" s="459"/>
    </row>
    <row r="865">
      <c r="B865" s="459"/>
      <c r="C865" s="459"/>
      <c r="D865" s="459"/>
      <c r="E865" s="459"/>
      <c r="F865" s="459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9"/>
      <c r="Z865" s="459"/>
      <c r="AA865" s="459"/>
      <c r="AB865" s="459"/>
      <c r="AC865" s="459"/>
      <c r="AD865" s="459"/>
      <c r="AE865" s="459"/>
      <c r="AF865" s="459"/>
    </row>
    <row r="866">
      <c r="B866" s="459"/>
      <c r="C866" s="459"/>
      <c r="D866" s="459"/>
      <c r="E866" s="459"/>
      <c r="F866" s="459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9"/>
      <c r="Z866" s="459"/>
      <c r="AA866" s="459"/>
      <c r="AB866" s="459"/>
      <c r="AC866" s="459"/>
      <c r="AD866" s="459"/>
      <c r="AE866" s="459"/>
      <c r="AF866" s="459"/>
    </row>
    <row r="867">
      <c r="B867" s="459"/>
      <c r="C867" s="459"/>
      <c r="D867" s="459"/>
      <c r="E867" s="459"/>
      <c r="F867" s="459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9"/>
      <c r="Z867" s="459"/>
      <c r="AA867" s="459"/>
      <c r="AB867" s="459"/>
      <c r="AC867" s="459"/>
      <c r="AD867" s="459"/>
      <c r="AE867" s="459"/>
      <c r="AF867" s="459"/>
    </row>
    <row r="868">
      <c r="B868" s="459"/>
      <c r="C868" s="459"/>
      <c r="D868" s="459"/>
      <c r="E868" s="459"/>
      <c r="F868" s="459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9"/>
      <c r="Z868" s="459"/>
      <c r="AA868" s="459"/>
      <c r="AB868" s="459"/>
      <c r="AC868" s="459"/>
      <c r="AD868" s="459"/>
      <c r="AE868" s="459"/>
      <c r="AF868" s="459"/>
    </row>
    <row r="869">
      <c r="B869" s="459"/>
      <c r="C869" s="459"/>
      <c r="D869" s="459"/>
      <c r="E869" s="459"/>
      <c r="F869" s="459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9"/>
      <c r="Z869" s="459"/>
      <c r="AA869" s="459"/>
      <c r="AB869" s="459"/>
      <c r="AC869" s="459"/>
      <c r="AD869" s="459"/>
      <c r="AE869" s="459"/>
      <c r="AF869" s="459"/>
    </row>
    <row r="870">
      <c r="B870" s="459"/>
      <c r="C870" s="459"/>
      <c r="D870" s="459"/>
      <c r="E870" s="459"/>
      <c r="F870" s="459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9"/>
      <c r="Z870" s="459"/>
      <c r="AA870" s="459"/>
      <c r="AB870" s="459"/>
      <c r="AC870" s="459"/>
      <c r="AD870" s="459"/>
      <c r="AE870" s="459"/>
      <c r="AF870" s="459"/>
    </row>
    <row r="871">
      <c r="B871" s="459"/>
      <c r="C871" s="459"/>
      <c r="D871" s="459"/>
      <c r="E871" s="459"/>
      <c r="F871" s="459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9"/>
      <c r="Z871" s="459"/>
      <c r="AA871" s="459"/>
      <c r="AB871" s="459"/>
      <c r="AC871" s="459"/>
      <c r="AD871" s="459"/>
      <c r="AE871" s="459"/>
      <c r="AF871" s="459"/>
    </row>
    <row r="872">
      <c r="B872" s="459"/>
      <c r="C872" s="459"/>
      <c r="D872" s="459"/>
      <c r="E872" s="459"/>
      <c r="F872" s="459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9"/>
      <c r="Z872" s="459"/>
      <c r="AA872" s="459"/>
      <c r="AB872" s="459"/>
      <c r="AC872" s="459"/>
      <c r="AD872" s="459"/>
      <c r="AE872" s="459"/>
      <c r="AF872" s="459"/>
    </row>
    <row r="873">
      <c r="B873" s="459"/>
      <c r="C873" s="459"/>
      <c r="D873" s="459"/>
      <c r="E873" s="459"/>
      <c r="F873" s="459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9"/>
      <c r="Z873" s="459"/>
      <c r="AA873" s="459"/>
      <c r="AB873" s="459"/>
      <c r="AC873" s="459"/>
      <c r="AD873" s="459"/>
      <c r="AE873" s="459"/>
      <c r="AF873" s="459"/>
    </row>
    <row r="874">
      <c r="B874" s="459"/>
      <c r="C874" s="459"/>
      <c r="D874" s="459"/>
      <c r="E874" s="459"/>
      <c r="F874" s="459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9"/>
      <c r="Z874" s="459"/>
      <c r="AA874" s="459"/>
      <c r="AB874" s="459"/>
      <c r="AC874" s="459"/>
      <c r="AD874" s="459"/>
      <c r="AE874" s="459"/>
      <c r="AF874" s="459"/>
    </row>
    <row r="875">
      <c r="B875" s="459"/>
      <c r="C875" s="459"/>
      <c r="D875" s="459"/>
      <c r="E875" s="459"/>
      <c r="F875" s="459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9"/>
      <c r="Z875" s="459"/>
      <c r="AA875" s="459"/>
      <c r="AB875" s="459"/>
      <c r="AC875" s="459"/>
      <c r="AD875" s="459"/>
      <c r="AE875" s="459"/>
      <c r="AF875" s="459"/>
    </row>
    <row r="876">
      <c r="B876" s="459"/>
      <c r="C876" s="459"/>
      <c r="D876" s="459"/>
      <c r="E876" s="459"/>
      <c r="F876" s="459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9"/>
      <c r="Z876" s="459"/>
      <c r="AA876" s="459"/>
      <c r="AB876" s="459"/>
      <c r="AC876" s="459"/>
      <c r="AD876" s="459"/>
      <c r="AE876" s="459"/>
      <c r="AF876" s="459"/>
    </row>
    <row r="877">
      <c r="B877" s="459"/>
      <c r="C877" s="459"/>
      <c r="D877" s="459"/>
      <c r="E877" s="459"/>
      <c r="F877" s="459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9"/>
      <c r="Z877" s="459"/>
      <c r="AA877" s="459"/>
      <c r="AB877" s="459"/>
      <c r="AC877" s="459"/>
      <c r="AD877" s="459"/>
      <c r="AE877" s="459"/>
      <c r="AF877" s="459"/>
    </row>
    <row r="878">
      <c r="B878" s="459"/>
      <c r="C878" s="459"/>
      <c r="D878" s="459"/>
      <c r="E878" s="459"/>
      <c r="F878" s="459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9"/>
      <c r="Z878" s="459"/>
      <c r="AA878" s="459"/>
      <c r="AB878" s="459"/>
      <c r="AC878" s="459"/>
      <c r="AD878" s="459"/>
      <c r="AE878" s="459"/>
      <c r="AF878" s="459"/>
    </row>
    <row r="879">
      <c r="B879" s="459"/>
      <c r="C879" s="459"/>
      <c r="D879" s="459"/>
      <c r="E879" s="459"/>
      <c r="F879" s="459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9"/>
      <c r="Z879" s="459"/>
      <c r="AA879" s="459"/>
      <c r="AB879" s="459"/>
      <c r="AC879" s="459"/>
      <c r="AD879" s="459"/>
      <c r="AE879" s="459"/>
      <c r="AF879" s="459"/>
    </row>
    <row r="880">
      <c r="B880" s="459"/>
      <c r="C880" s="459"/>
      <c r="D880" s="459"/>
      <c r="E880" s="459"/>
      <c r="F880" s="459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9"/>
      <c r="Z880" s="459"/>
      <c r="AA880" s="459"/>
      <c r="AB880" s="459"/>
      <c r="AC880" s="459"/>
      <c r="AD880" s="459"/>
      <c r="AE880" s="459"/>
      <c r="AF880" s="459"/>
    </row>
    <row r="881">
      <c r="B881" s="459"/>
      <c r="C881" s="459"/>
      <c r="D881" s="459"/>
      <c r="E881" s="459"/>
      <c r="F881" s="459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9"/>
      <c r="Z881" s="459"/>
      <c r="AA881" s="459"/>
      <c r="AB881" s="459"/>
      <c r="AC881" s="459"/>
      <c r="AD881" s="459"/>
      <c r="AE881" s="459"/>
      <c r="AF881" s="459"/>
    </row>
    <row r="882">
      <c r="B882" s="459"/>
      <c r="C882" s="459"/>
      <c r="D882" s="459"/>
      <c r="E882" s="459"/>
      <c r="F882" s="459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9"/>
      <c r="Z882" s="459"/>
      <c r="AA882" s="459"/>
      <c r="AB882" s="459"/>
      <c r="AC882" s="459"/>
      <c r="AD882" s="459"/>
      <c r="AE882" s="459"/>
      <c r="AF882" s="459"/>
    </row>
    <row r="883">
      <c r="B883" s="459"/>
      <c r="C883" s="459"/>
      <c r="D883" s="459"/>
      <c r="E883" s="459"/>
      <c r="F883" s="459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9"/>
      <c r="Z883" s="459"/>
      <c r="AA883" s="459"/>
      <c r="AB883" s="459"/>
      <c r="AC883" s="459"/>
      <c r="AD883" s="459"/>
      <c r="AE883" s="459"/>
      <c r="AF883" s="459"/>
    </row>
    <row r="884">
      <c r="B884" s="459"/>
      <c r="C884" s="459"/>
      <c r="D884" s="459"/>
      <c r="E884" s="459"/>
      <c r="F884" s="459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9"/>
      <c r="Z884" s="459"/>
      <c r="AA884" s="459"/>
      <c r="AB884" s="459"/>
      <c r="AC884" s="459"/>
      <c r="AD884" s="459"/>
      <c r="AE884" s="459"/>
      <c r="AF884" s="459"/>
    </row>
    <row r="885">
      <c r="B885" s="459"/>
      <c r="C885" s="459"/>
      <c r="D885" s="459"/>
      <c r="E885" s="459"/>
      <c r="F885" s="459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9"/>
      <c r="Z885" s="459"/>
      <c r="AA885" s="459"/>
      <c r="AB885" s="459"/>
      <c r="AC885" s="459"/>
      <c r="AD885" s="459"/>
      <c r="AE885" s="459"/>
      <c r="AF885" s="459"/>
    </row>
    <row r="886">
      <c r="B886" s="459"/>
      <c r="C886" s="459"/>
      <c r="D886" s="459"/>
      <c r="E886" s="459"/>
      <c r="F886" s="459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9"/>
      <c r="Z886" s="459"/>
      <c r="AA886" s="459"/>
      <c r="AB886" s="459"/>
      <c r="AC886" s="459"/>
      <c r="AD886" s="459"/>
      <c r="AE886" s="459"/>
      <c r="AF886" s="459"/>
    </row>
    <row r="887">
      <c r="B887" s="459"/>
      <c r="C887" s="459"/>
      <c r="D887" s="459"/>
      <c r="E887" s="459"/>
      <c r="F887" s="459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9"/>
      <c r="Z887" s="459"/>
      <c r="AA887" s="459"/>
      <c r="AB887" s="459"/>
      <c r="AC887" s="459"/>
      <c r="AD887" s="459"/>
      <c r="AE887" s="459"/>
      <c r="AF887" s="459"/>
    </row>
    <row r="888">
      <c r="B888" s="459"/>
      <c r="C888" s="459"/>
      <c r="D888" s="459"/>
      <c r="E888" s="459"/>
      <c r="F888" s="459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9"/>
      <c r="Z888" s="459"/>
      <c r="AA888" s="459"/>
      <c r="AB888" s="459"/>
      <c r="AC888" s="459"/>
      <c r="AD888" s="459"/>
      <c r="AE888" s="459"/>
      <c r="AF888" s="459"/>
    </row>
    <row r="889">
      <c r="B889" s="459"/>
      <c r="C889" s="459"/>
      <c r="D889" s="459"/>
      <c r="E889" s="459"/>
      <c r="F889" s="459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9"/>
      <c r="Z889" s="459"/>
      <c r="AA889" s="459"/>
      <c r="AB889" s="459"/>
      <c r="AC889" s="459"/>
      <c r="AD889" s="459"/>
      <c r="AE889" s="459"/>
      <c r="AF889" s="459"/>
    </row>
    <row r="890">
      <c r="B890" s="459"/>
      <c r="C890" s="459"/>
      <c r="D890" s="459"/>
      <c r="E890" s="459"/>
      <c r="F890" s="459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9"/>
      <c r="Z890" s="459"/>
      <c r="AA890" s="459"/>
      <c r="AB890" s="459"/>
      <c r="AC890" s="459"/>
      <c r="AD890" s="459"/>
      <c r="AE890" s="459"/>
      <c r="AF890" s="459"/>
    </row>
    <row r="891">
      <c r="B891" s="459"/>
      <c r="C891" s="459"/>
      <c r="D891" s="459"/>
      <c r="E891" s="459"/>
      <c r="F891" s="459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9"/>
      <c r="Z891" s="459"/>
      <c r="AA891" s="459"/>
      <c r="AB891" s="459"/>
      <c r="AC891" s="459"/>
      <c r="AD891" s="459"/>
      <c r="AE891" s="459"/>
      <c r="AF891" s="459"/>
    </row>
    <row r="892">
      <c r="B892" s="459"/>
      <c r="C892" s="459"/>
      <c r="D892" s="459"/>
      <c r="E892" s="459"/>
      <c r="F892" s="459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9"/>
      <c r="Z892" s="459"/>
      <c r="AA892" s="459"/>
      <c r="AB892" s="459"/>
      <c r="AC892" s="459"/>
      <c r="AD892" s="459"/>
      <c r="AE892" s="459"/>
      <c r="AF892" s="459"/>
    </row>
    <row r="893">
      <c r="B893" s="459"/>
      <c r="C893" s="459"/>
      <c r="D893" s="459"/>
      <c r="E893" s="459"/>
      <c r="F893" s="459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9"/>
      <c r="Z893" s="459"/>
      <c r="AA893" s="459"/>
      <c r="AB893" s="459"/>
      <c r="AC893" s="459"/>
      <c r="AD893" s="459"/>
      <c r="AE893" s="459"/>
      <c r="AF893" s="459"/>
    </row>
    <row r="894">
      <c r="B894" s="459"/>
      <c r="C894" s="459"/>
      <c r="D894" s="459"/>
      <c r="E894" s="459"/>
      <c r="F894" s="459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9"/>
      <c r="Z894" s="459"/>
      <c r="AA894" s="459"/>
      <c r="AB894" s="459"/>
      <c r="AC894" s="459"/>
      <c r="AD894" s="459"/>
      <c r="AE894" s="459"/>
      <c r="AF894" s="459"/>
    </row>
    <row r="895">
      <c r="B895" s="459"/>
      <c r="C895" s="459"/>
      <c r="D895" s="459"/>
      <c r="E895" s="459"/>
      <c r="F895" s="459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9"/>
      <c r="Z895" s="459"/>
      <c r="AA895" s="459"/>
      <c r="AB895" s="459"/>
      <c r="AC895" s="459"/>
      <c r="AD895" s="459"/>
      <c r="AE895" s="459"/>
      <c r="AF895" s="459"/>
    </row>
    <row r="896">
      <c r="B896" s="459"/>
      <c r="C896" s="459"/>
      <c r="D896" s="459"/>
      <c r="E896" s="459"/>
      <c r="F896" s="459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9"/>
      <c r="Z896" s="459"/>
      <c r="AA896" s="459"/>
      <c r="AB896" s="459"/>
      <c r="AC896" s="459"/>
      <c r="AD896" s="459"/>
      <c r="AE896" s="459"/>
      <c r="AF896" s="459"/>
    </row>
    <row r="897">
      <c r="B897" s="459"/>
      <c r="C897" s="459"/>
      <c r="D897" s="459"/>
      <c r="E897" s="459"/>
      <c r="F897" s="459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9"/>
      <c r="Z897" s="459"/>
      <c r="AA897" s="459"/>
      <c r="AB897" s="459"/>
      <c r="AC897" s="459"/>
      <c r="AD897" s="459"/>
      <c r="AE897" s="459"/>
      <c r="AF897" s="459"/>
    </row>
    <row r="898">
      <c r="B898" s="459"/>
      <c r="C898" s="459"/>
      <c r="D898" s="459"/>
      <c r="E898" s="459"/>
      <c r="F898" s="459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9"/>
      <c r="Z898" s="459"/>
      <c r="AA898" s="459"/>
      <c r="AB898" s="459"/>
      <c r="AC898" s="459"/>
      <c r="AD898" s="459"/>
      <c r="AE898" s="459"/>
      <c r="AF898" s="459"/>
    </row>
    <row r="899">
      <c r="B899" s="459"/>
      <c r="C899" s="459"/>
      <c r="D899" s="459"/>
      <c r="E899" s="459"/>
      <c r="F899" s="459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9"/>
      <c r="Z899" s="459"/>
      <c r="AA899" s="459"/>
      <c r="AB899" s="459"/>
      <c r="AC899" s="459"/>
      <c r="AD899" s="459"/>
      <c r="AE899" s="459"/>
      <c r="AF899" s="459"/>
    </row>
    <row r="900">
      <c r="B900" s="459"/>
      <c r="C900" s="459"/>
      <c r="D900" s="459"/>
      <c r="E900" s="459"/>
      <c r="F900" s="459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9"/>
      <c r="Z900" s="459"/>
      <c r="AA900" s="459"/>
      <c r="AB900" s="459"/>
      <c r="AC900" s="459"/>
      <c r="AD900" s="459"/>
      <c r="AE900" s="459"/>
      <c r="AF900" s="459"/>
    </row>
    <row r="901">
      <c r="B901" s="459"/>
      <c r="C901" s="459"/>
      <c r="D901" s="459"/>
      <c r="E901" s="459"/>
      <c r="F901" s="459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9"/>
      <c r="Z901" s="459"/>
      <c r="AA901" s="459"/>
      <c r="AB901" s="459"/>
      <c r="AC901" s="459"/>
      <c r="AD901" s="459"/>
      <c r="AE901" s="459"/>
      <c r="AF901" s="459"/>
    </row>
    <row r="902">
      <c r="B902" s="459"/>
      <c r="C902" s="459"/>
      <c r="D902" s="459"/>
      <c r="E902" s="459"/>
      <c r="F902" s="459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9"/>
      <c r="Z902" s="459"/>
      <c r="AA902" s="459"/>
      <c r="AB902" s="459"/>
      <c r="AC902" s="459"/>
      <c r="AD902" s="459"/>
      <c r="AE902" s="459"/>
      <c r="AF902" s="459"/>
    </row>
    <row r="903">
      <c r="B903" s="459"/>
      <c r="C903" s="459"/>
      <c r="D903" s="459"/>
      <c r="E903" s="459"/>
      <c r="F903" s="459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9"/>
      <c r="Z903" s="459"/>
      <c r="AA903" s="459"/>
      <c r="AB903" s="459"/>
      <c r="AC903" s="459"/>
      <c r="AD903" s="459"/>
      <c r="AE903" s="459"/>
      <c r="AF903" s="459"/>
    </row>
    <row r="904">
      <c r="B904" s="459"/>
      <c r="C904" s="459"/>
      <c r="D904" s="459"/>
      <c r="E904" s="459"/>
      <c r="F904" s="459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9"/>
      <c r="Z904" s="459"/>
      <c r="AA904" s="459"/>
      <c r="AB904" s="459"/>
      <c r="AC904" s="459"/>
      <c r="AD904" s="459"/>
      <c r="AE904" s="459"/>
      <c r="AF904" s="459"/>
    </row>
    <row r="905">
      <c r="B905" s="459"/>
      <c r="C905" s="459"/>
      <c r="D905" s="459"/>
      <c r="E905" s="459"/>
      <c r="F905" s="459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9"/>
      <c r="Z905" s="459"/>
      <c r="AA905" s="459"/>
      <c r="AB905" s="459"/>
      <c r="AC905" s="459"/>
      <c r="AD905" s="459"/>
      <c r="AE905" s="459"/>
      <c r="AF905" s="459"/>
    </row>
    <row r="906">
      <c r="B906" s="459"/>
      <c r="C906" s="459"/>
      <c r="D906" s="459"/>
      <c r="E906" s="459"/>
      <c r="F906" s="459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9"/>
      <c r="Z906" s="459"/>
      <c r="AA906" s="459"/>
      <c r="AB906" s="459"/>
      <c r="AC906" s="459"/>
      <c r="AD906" s="459"/>
      <c r="AE906" s="459"/>
      <c r="AF906" s="459"/>
    </row>
    <row r="907">
      <c r="B907" s="459"/>
      <c r="C907" s="459"/>
      <c r="D907" s="459"/>
      <c r="E907" s="459"/>
      <c r="F907" s="459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9"/>
      <c r="Z907" s="459"/>
      <c r="AA907" s="459"/>
      <c r="AB907" s="459"/>
      <c r="AC907" s="459"/>
      <c r="AD907" s="459"/>
      <c r="AE907" s="459"/>
      <c r="AF907" s="459"/>
    </row>
    <row r="908">
      <c r="B908" s="459"/>
      <c r="C908" s="459"/>
      <c r="D908" s="459"/>
      <c r="E908" s="459"/>
      <c r="F908" s="459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9"/>
      <c r="Z908" s="459"/>
      <c r="AA908" s="459"/>
      <c r="AB908" s="459"/>
      <c r="AC908" s="459"/>
      <c r="AD908" s="459"/>
      <c r="AE908" s="459"/>
      <c r="AF908" s="459"/>
    </row>
    <row r="909">
      <c r="B909" s="459"/>
      <c r="C909" s="459"/>
      <c r="D909" s="459"/>
      <c r="E909" s="459"/>
      <c r="F909" s="459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9"/>
      <c r="Z909" s="459"/>
      <c r="AA909" s="459"/>
      <c r="AB909" s="459"/>
      <c r="AC909" s="459"/>
      <c r="AD909" s="459"/>
      <c r="AE909" s="459"/>
      <c r="AF909" s="459"/>
    </row>
    <row r="910">
      <c r="B910" s="459"/>
      <c r="C910" s="459"/>
      <c r="D910" s="459"/>
      <c r="E910" s="459"/>
      <c r="F910" s="459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9"/>
      <c r="Z910" s="459"/>
      <c r="AA910" s="459"/>
      <c r="AB910" s="459"/>
      <c r="AC910" s="459"/>
      <c r="AD910" s="459"/>
      <c r="AE910" s="459"/>
      <c r="AF910" s="459"/>
    </row>
    <row r="911">
      <c r="B911" s="459"/>
      <c r="C911" s="459"/>
      <c r="D911" s="459"/>
      <c r="E911" s="459"/>
      <c r="F911" s="459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9"/>
      <c r="Z911" s="459"/>
      <c r="AA911" s="459"/>
      <c r="AB911" s="459"/>
      <c r="AC911" s="459"/>
      <c r="AD911" s="459"/>
      <c r="AE911" s="459"/>
      <c r="AF911" s="459"/>
    </row>
    <row r="912">
      <c r="B912" s="459"/>
      <c r="C912" s="459"/>
      <c r="D912" s="459"/>
      <c r="E912" s="459"/>
      <c r="F912" s="459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9"/>
      <c r="Z912" s="459"/>
      <c r="AA912" s="459"/>
      <c r="AB912" s="459"/>
      <c r="AC912" s="459"/>
      <c r="AD912" s="459"/>
      <c r="AE912" s="459"/>
      <c r="AF912" s="459"/>
    </row>
    <row r="913">
      <c r="B913" s="459"/>
      <c r="C913" s="459"/>
      <c r="D913" s="459"/>
      <c r="E913" s="459"/>
      <c r="F913" s="459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9"/>
      <c r="Z913" s="459"/>
      <c r="AA913" s="459"/>
      <c r="AB913" s="459"/>
      <c r="AC913" s="459"/>
      <c r="AD913" s="459"/>
      <c r="AE913" s="459"/>
      <c r="AF913" s="459"/>
    </row>
    <row r="914">
      <c r="B914" s="459"/>
      <c r="C914" s="459"/>
      <c r="D914" s="459"/>
      <c r="E914" s="459"/>
      <c r="F914" s="459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9"/>
      <c r="Z914" s="459"/>
      <c r="AA914" s="459"/>
      <c r="AB914" s="459"/>
      <c r="AC914" s="459"/>
      <c r="AD914" s="459"/>
      <c r="AE914" s="459"/>
      <c r="AF914" s="459"/>
    </row>
    <row r="915">
      <c r="B915" s="459"/>
      <c r="C915" s="459"/>
      <c r="D915" s="459"/>
      <c r="E915" s="459"/>
      <c r="F915" s="459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9"/>
      <c r="Z915" s="459"/>
      <c r="AA915" s="459"/>
      <c r="AB915" s="459"/>
      <c r="AC915" s="459"/>
      <c r="AD915" s="459"/>
      <c r="AE915" s="459"/>
      <c r="AF915" s="459"/>
    </row>
    <row r="916">
      <c r="B916" s="459"/>
      <c r="C916" s="459"/>
      <c r="D916" s="459"/>
      <c r="E916" s="459"/>
      <c r="F916" s="459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9"/>
      <c r="Z916" s="459"/>
      <c r="AA916" s="459"/>
      <c r="AB916" s="459"/>
      <c r="AC916" s="459"/>
      <c r="AD916" s="459"/>
      <c r="AE916" s="459"/>
      <c r="AF916" s="459"/>
    </row>
    <row r="917">
      <c r="B917" s="459"/>
      <c r="C917" s="459"/>
      <c r="D917" s="459"/>
      <c r="E917" s="459"/>
      <c r="F917" s="459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9"/>
      <c r="Z917" s="459"/>
      <c r="AA917" s="459"/>
      <c r="AB917" s="459"/>
      <c r="AC917" s="459"/>
      <c r="AD917" s="459"/>
      <c r="AE917" s="459"/>
      <c r="AF917" s="459"/>
    </row>
    <row r="918">
      <c r="B918" s="459"/>
      <c r="C918" s="459"/>
      <c r="D918" s="459"/>
      <c r="E918" s="459"/>
      <c r="F918" s="459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9"/>
      <c r="Z918" s="459"/>
      <c r="AA918" s="459"/>
      <c r="AB918" s="459"/>
      <c r="AC918" s="459"/>
      <c r="AD918" s="459"/>
      <c r="AE918" s="459"/>
      <c r="AF918" s="459"/>
    </row>
    <row r="919">
      <c r="B919" s="459"/>
      <c r="C919" s="459"/>
      <c r="D919" s="459"/>
      <c r="E919" s="459"/>
      <c r="F919" s="459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9"/>
      <c r="Z919" s="459"/>
      <c r="AA919" s="459"/>
      <c r="AB919" s="459"/>
      <c r="AC919" s="459"/>
      <c r="AD919" s="459"/>
      <c r="AE919" s="459"/>
      <c r="AF919" s="459"/>
    </row>
    <row r="920">
      <c r="B920" s="459"/>
      <c r="C920" s="459"/>
      <c r="D920" s="459"/>
      <c r="E920" s="459"/>
      <c r="F920" s="459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9"/>
      <c r="Z920" s="459"/>
      <c r="AA920" s="459"/>
      <c r="AB920" s="459"/>
      <c r="AC920" s="459"/>
      <c r="AD920" s="459"/>
      <c r="AE920" s="459"/>
      <c r="AF920" s="459"/>
    </row>
    <row r="921">
      <c r="B921" s="459"/>
      <c r="C921" s="459"/>
      <c r="D921" s="459"/>
      <c r="E921" s="459"/>
      <c r="F921" s="459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9"/>
      <c r="Z921" s="459"/>
      <c r="AA921" s="459"/>
      <c r="AB921" s="459"/>
      <c r="AC921" s="459"/>
      <c r="AD921" s="459"/>
      <c r="AE921" s="459"/>
      <c r="AF921" s="459"/>
    </row>
    <row r="922">
      <c r="B922" s="459"/>
      <c r="C922" s="459"/>
      <c r="D922" s="459"/>
      <c r="E922" s="459"/>
      <c r="F922" s="459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9"/>
      <c r="Z922" s="459"/>
      <c r="AA922" s="459"/>
      <c r="AB922" s="459"/>
      <c r="AC922" s="459"/>
      <c r="AD922" s="459"/>
      <c r="AE922" s="459"/>
      <c r="AF922" s="459"/>
    </row>
    <row r="923">
      <c r="B923" s="459"/>
      <c r="C923" s="459"/>
      <c r="D923" s="459"/>
      <c r="E923" s="459"/>
      <c r="F923" s="459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9"/>
      <c r="Z923" s="459"/>
      <c r="AA923" s="459"/>
      <c r="AB923" s="459"/>
      <c r="AC923" s="459"/>
      <c r="AD923" s="459"/>
      <c r="AE923" s="459"/>
      <c r="AF923" s="459"/>
    </row>
    <row r="924">
      <c r="B924" s="459"/>
      <c r="C924" s="459"/>
      <c r="D924" s="459"/>
      <c r="E924" s="459"/>
      <c r="F924" s="459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9"/>
      <c r="Z924" s="459"/>
      <c r="AA924" s="459"/>
      <c r="AB924" s="459"/>
      <c r="AC924" s="459"/>
      <c r="AD924" s="459"/>
      <c r="AE924" s="459"/>
      <c r="AF924" s="459"/>
    </row>
    <row r="925">
      <c r="B925" s="459"/>
      <c r="C925" s="459"/>
      <c r="D925" s="459"/>
      <c r="E925" s="459"/>
      <c r="F925" s="459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9"/>
      <c r="Z925" s="459"/>
      <c r="AA925" s="459"/>
      <c r="AB925" s="459"/>
      <c r="AC925" s="459"/>
      <c r="AD925" s="459"/>
      <c r="AE925" s="459"/>
      <c r="AF925" s="459"/>
    </row>
    <row r="926">
      <c r="B926" s="459"/>
      <c r="C926" s="459"/>
      <c r="D926" s="459"/>
      <c r="E926" s="459"/>
      <c r="F926" s="459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9"/>
      <c r="Z926" s="459"/>
      <c r="AA926" s="459"/>
      <c r="AB926" s="459"/>
      <c r="AC926" s="459"/>
      <c r="AD926" s="459"/>
      <c r="AE926" s="459"/>
      <c r="AF926" s="459"/>
    </row>
    <row r="927">
      <c r="B927" s="459"/>
      <c r="C927" s="459"/>
      <c r="D927" s="459"/>
      <c r="E927" s="459"/>
      <c r="F927" s="459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9"/>
      <c r="Z927" s="459"/>
      <c r="AA927" s="459"/>
      <c r="AB927" s="459"/>
      <c r="AC927" s="459"/>
      <c r="AD927" s="459"/>
      <c r="AE927" s="459"/>
      <c r="AF927" s="459"/>
    </row>
    <row r="928">
      <c r="B928" s="459"/>
      <c r="C928" s="459"/>
      <c r="D928" s="459"/>
      <c r="E928" s="459"/>
      <c r="F928" s="459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9"/>
      <c r="Z928" s="459"/>
      <c r="AA928" s="459"/>
      <c r="AB928" s="459"/>
      <c r="AC928" s="459"/>
      <c r="AD928" s="459"/>
      <c r="AE928" s="459"/>
      <c r="AF928" s="459"/>
    </row>
    <row r="929">
      <c r="B929" s="459"/>
      <c r="C929" s="459"/>
      <c r="D929" s="459"/>
      <c r="E929" s="459"/>
      <c r="F929" s="459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9"/>
      <c r="Z929" s="459"/>
      <c r="AA929" s="459"/>
      <c r="AB929" s="459"/>
      <c r="AC929" s="459"/>
      <c r="AD929" s="459"/>
      <c r="AE929" s="459"/>
      <c r="AF929" s="459"/>
    </row>
    <row r="930">
      <c r="B930" s="459"/>
      <c r="C930" s="459"/>
      <c r="D930" s="459"/>
      <c r="E930" s="459"/>
      <c r="F930" s="459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9"/>
      <c r="Z930" s="459"/>
      <c r="AA930" s="459"/>
      <c r="AB930" s="459"/>
      <c r="AC930" s="459"/>
      <c r="AD930" s="459"/>
      <c r="AE930" s="459"/>
      <c r="AF930" s="459"/>
    </row>
    <row r="931">
      <c r="B931" s="459"/>
      <c r="C931" s="459"/>
      <c r="D931" s="459"/>
      <c r="E931" s="459"/>
      <c r="F931" s="459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9"/>
      <c r="Z931" s="459"/>
      <c r="AA931" s="459"/>
      <c r="AB931" s="459"/>
      <c r="AC931" s="459"/>
      <c r="AD931" s="459"/>
      <c r="AE931" s="459"/>
      <c r="AF931" s="459"/>
    </row>
    <row r="932">
      <c r="B932" s="459"/>
      <c r="C932" s="459"/>
      <c r="D932" s="459"/>
      <c r="E932" s="459"/>
      <c r="F932" s="459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9"/>
      <c r="Z932" s="459"/>
      <c r="AA932" s="459"/>
      <c r="AB932" s="459"/>
      <c r="AC932" s="459"/>
      <c r="AD932" s="459"/>
      <c r="AE932" s="459"/>
      <c r="AF932" s="459"/>
    </row>
    <row r="933">
      <c r="B933" s="459"/>
      <c r="C933" s="459"/>
      <c r="D933" s="459"/>
      <c r="E933" s="459"/>
      <c r="F933" s="459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9"/>
      <c r="Z933" s="459"/>
      <c r="AA933" s="459"/>
      <c r="AB933" s="459"/>
      <c r="AC933" s="459"/>
      <c r="AD933" s="459"/>
      <c r="AE933" s="459"/>
      <c r="AF933" s="459"/>
    </row>
    <row r="934">
      <c r="B934" s="459"/>
      <c r="C934" s="459"/>
      <c r="D934" s="459"/>
      <c r="E934" s="459"/>
      <c r="F934" s="459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9"/>
      <c r="Z934" s="459"/>
      <c r="AA934" s="459"/>
      <c r="AB934" s="459"/>
      <c r="AC934" s="459"/>
      <c r="AD934" s="459"/>
      <c r="AE934" s="459"/>
      <c r="AF934" s="459"/>
    </row>
    <row r="935">
      <c r="B935" s="459"/>
      <c r="C935" s="459"/>
      <c r="D935" s="459"/>
      <c r="E935" s="459"/>
      <c r="F935" s="459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9"/>
      <c r="Z935" s="459"/>
      <c r="AA935" s="459"/>
      <c r="AB935" s="459"/>
      <c r="AC935" s="459"/>
      <c r="AD935" s="459"/>
      <c r="AE935" s="459"/>
      <c r="AF935" s="459"/>
    </row>
    <row r="936">
      <c r="B936" s="459"/>
      <c r="C936" s="459"/>
      <c r="D936" s="459"/>
      <c r="E936" s="459"/>
      <c r="F936" s="459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9"/>
      <c r="Z936" s="459"/>
      <c r="AA936" s="459"/>
      <c r="AB936" s="459"/>
      <c r="AC936" s="459"/>
      <c r="AD936" s="459"/>
      <c r="AE936" s="459"/>
      <c r="AF936" s="459"/>
    </row>
    <row r="937">
      <c r="B937" s="459"/>
      <c r="C937" s="459"/>
      <c r="D937" s="459"/>
      <c r="E937" s="459"/>
      <c r="F937" s="459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9"/>
      <c r="Z937" s="459"/>
      <c r="AA937" s="459"/>
      <c r="AB937" s="459"/>
      <c r="AC937" s="459"/>
      <c r="AD937" s="459"/>
      <c r="AE937" s="459"/>
      <c r="AF937" s="459"/>
    </row>
    <row r="938">
      <c r="B938" s="459"/>
      <c r="C938" s="459"/>
      <c r="D938" s="459"/>
      <c r="E938" s="459"/>
      <c r="F938" s="459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9"/>
      <c r="Z938" s="459"/>
      <c r="AA938" s="459"/>
      <c r="AB938" s="459"/>
      <c r="AC938" s="459"/>
      <c r="AD938" s="459"/>
      <c r="AE938" s="459"/>
      <c r="AF938" s="459"/>
    </row>
    <row r="939">
      <c r="B939" s="459"/>
      <c r="C939" s="459"/>
      <c r="D939" s="459"/>
      <c r="E939" s="459"/>
      <c r="F939" s="459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9"/>
      <c r="Z939" s="459"/>
      <c r="AA939" s="459"/>
      <c r="AB939" s="459"/>
      <c r="AC939" s="459"/>
      <c r="AD939" s="459"/>
      <c r="AE939" s="459"/>
      <c r="AF939" s="459"/>
    </row>
    <row r="940">
      <c r="B940" s="459"/>
      <c r="C940" s="459"/>
      <c r="D940" s="459"/>
      <c r="E940" s="459"/>
      <c r="F940" s="459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9"/>
      <c r="Z940" s="459"/>
      <c r="AA940" s="459"/>
      <c r="AB940" s="459"/>
      <c r="AC940" s="459"/>
      <c r="AD940" s="459"/>
      <c r="AE940" s="459"/>
      <c r="AF940" s="459"/>
    </row>
    <row r="941">
      <c r="B941" s="459"/>
      <c r="C941" s="459"/>
      <c r="D941" s="459"/>
      <c r="E941" s="459"/>
      <c r="F941" s="459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9"/>
      <c r="Z941" s="459"/>
      <c r="AA941" s="459"/>
      <c r="AB941" s="459"/>
      <c r="AC941" s="459"/>
      <c r="AD941" s="459"/>
      <c r="AE941" s="459"/>
      <c r="AF941" s="459"/>
    </row>
    <row r="942">
      <c r="B942" s="459"/>
      <c r="C942" s="459"/>
      <c r="D942" s="459"/>
      <c r="E942" s="459"/>
      <c r="F942" s="459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9"/>
      <c r="Z942" s="459"/>
      <c r="AA942" s="459"/>
      <c r="AB942" s="459"/>
      <c r="AC942" s="459"/>
      <c r="AD942" s="459"/>
      <c r="AE942" s="459"/>
      <c r="AF942" s="459"/>
    </row>
    <row r="943">
      <c r="B943" s="459"/>
      <c r="C943" s="459"/>
      <c r="D943" s="459"/>
      <c r="E943" s="459"/>
      <c r="F943" s="459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9"/>
      <c r="Z943" s="459"/>
      <c r="AA943" s="459"/>
      <c r="AB943" s="459"/>
      <c r="AC943" s="459"/>
      <c r="AD943" s="459"/>
      <c r="AE943" s="459"/>
      <c r="AF943" s="459"/>
    </row>
    <row r="944">
      <c r="B944" s="459"/>
      <c r="C944" s="459"/>
      <c r="D944" s="459"/>
      <c r="E944" s="459"/>
      <c r="F944" s="459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9"/>
      <c r="Z944" s="459"/>
      <c r="AA944" s="459"/>
      <c r="AB944" s="459"/>
      <c r="AC944" s="459"/>
      <c r="AD944" s="459"/>
      <c r="AE944" s="459"/>
      <c r="AF944" s="459"/>
    </row>
    <row r="945">
      <c r="B945" s="459"/>
      <c r="C945" s="459"/>
      <c r="D945" s="459"/>
      <c r="E945" s="459"/>
      <c r="F945" s="459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9"/>
      <c r="Z945" s="459"/>
      <c r="AA945" s="459"/>
      <c r="AB945" s="459"/>
      <c r="AC945" s="459"/>
      <c r="AD945" s="459"/>
      <c r="AE945" s="459"/>
      <c r="AF945" s="459"/>
    </row>
    <row r="946">
      <c r="B946" s="459"/>
      <c r="C946" s="459"/>
      <c r="D946" s="459"/>
      <c r="E946" s="459"/>
      <c r="F946" s="459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9"/>
      <c r="Z946" s="459"/>
      <c r="AA946" s="459"/>
      <c r="AB946" s="459"/>
      <c r="AC946" s="459"/>
      <c r="AD946" s="459"/>
      <c r="AE946" s="459"/>
      <c r="AF946" s="459"/>
    </row>
    <row r="947">
      <c r="B947" s="459"/>
      <c r="C947" s="459"/>
      <c r="D947" s="459"/>
      <c r="E947" s="459"/>
      <c r="F947" s="459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9"/>
      <c r="Z947" s="459"/>
      <c r="AA947" s="459"/>
      <c r="AB947" s="459"/>
      <c r="AC947" s="459"/>
      <c r="AD947" s="459"/>
      <c r="AE947" s="459"/>
      <c r="AF947" s="459"/>
    </row>
    <row r="948">
      <c r="B948" s="459"/>
      <c r="C948" s="459"/>
      <c r="D948" s="459"/>
      <c r="E948" s="459"/>
      <c r="F948" s="459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9"/>
      <c r="Z948" s="459"/>
      <c r="AA948" s="459"/>
      <c r="AB948" s="459"/>
      <c r="AC948" s="459"/>
      <c r="AD948" s="459"/>
      <c r="AE948" s="459"/>
      <c r="AF948" s="459"/>
    </row>
    <row r="949">
      <c r="B949" s="459"/>
      <c r="C949" s="459"/>
      <c r="D949" s="459"/>
      <c r="E949" s="459"/>
      <c r="F949" s="459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9"/>
      <c r="Z949" s="459"/>
      <c r="AA949" s="459"/>
      <c r="AB949" s="459"/>
      <c r="AC949" s="459"/>
      <c r="AD949" s="459"/>
      <c r="AE949" s="459"/>
      <c r="AF949" s="459"/>
    </row>
    <row r="950">
      <c r="B950" s="459"/>
      <c r="C950" s="459"/>
      <c r="D950" s="459"/>
      <c r="E950" s="459"/>
      <c r="F950" s="459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9"/>
      <c r="Z950" s="459"/>
      <c r="AA950" s="459"/>
      <c r="AB950" s="459"/>
      <c r="AC950" s="459"/>
      <c r="AD950" s="459"/>
      <c r="AE950" s="459"/>
      <c r="AF950" s="459"/>
    </row>
    <row r="951">
      <c r="B951" s="459"/>
      <c r="C951" s="459"/>
      <c r="D951" s="459"/>
      <c r="E951" s="459"/>
      <c r="F951" s="459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9"/>
      <c r="Z951" s="459"/>
      <c r="AA951" s="459"/>
      <c r="AB951" s="459"/>
      <c r="AC951" s="459"/>
      <c r="AD951" s="459"/>
      <c r="AE951" s="459"/>
      <c r="AF951" s="459"/>
    </row>
    <row r="952">
      <c r="B952" s="459"/>
      <c r="C952" s="459"/>
      <c r="D952" s="459"/>
      <c r="E952" s="459"/>
      <c r="F952" s="459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9"/>
      <c r="Z952" s="459"/>
      <c r="AA952" s="459"/>
      <c r="AB952" s="459"/>
      <c r="AC952" s="459"/>
      <c r="AD952" s="459"/>
      <c r="AE952" s="459"/>
      <c r="AF952" s="459"/>
    </row>
    <row r="953">
      <c r="B953" s="459"/>
      <c r="C953" s="459"/>
      <c r="D953" s="459"/>
      <c r="E953" s="459"/>
      <c r="F953" s="459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9"/>
      <c r="Z953" s="459"/>
      <c r="AA953" s="459"/>
      <c r="AB953" s="459"/>
      <c r="AC953" s="459"/>
      <c r="AD953" s="459"/>
      <c r="AE953" s="459"/>
      <c r="AF953" s="459"/>
    </row>
    <row r="954">
      <c r="B954" s="459"/>
      <c r="C954" s="459"/>
      <c r="D954" s="459"/>
      <c r="E954" s="459"/>
      <c r="F954" s="459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9"/>
      <c r="Z954" s="459"/>
      <c r="AA954" s="459"/>
      <c r="AB954" s="459"/>
      <c r="AC954" s="459"/>
      <c r="AD954" s="459"/>
      <c r="AE954" s="459"/>
      <c r="AF954" s="459"/>
    </row>
    <row r="955">
      <c r="B955" s="459"/>
      <c r="C955" s="459"/>
      <c r="D955" s="459"/>
      <c r="E955" s="459"/>
      <c r="F955" s="459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9"/>
      <c r="Z955" s="459"/>
      <c r="AA955" s="459"/>
      <c r="AB955" s="459"/>
      <c r="AC955" s="459"/>
      <c r="AD955" s="459"/>
      <c r="AE955" s="459"/>
      <c r="AF955" s="459"/>
    </row>
    <row r="956">
      <c r="B956" s="459"/>
      <c r="C956" s="459"/>
      <c r="D956" s="459"/>
      <c r="E956" s="459"/>
      <c r="F956" s="459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9"/>
      <c r="Z956" s="459"/>
      <c r="AA956" s="459"/>
      <c r="AB956" s="459"/>
      <c r="AC956" s="459"/>
      <c r="AD956" s="459"/>
      <c r="AE956" s="459"/>
      <c r="AF956" s="459"/>
    </row>
    <row r="957">
      <c r="B957" s="459"/>
      <c r="C957" s="459"/>
      <c r="D957" s="459"/>
      <c r="E957" s="459"/>
      <c r="F957" s="459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9"/>
      <c r="Z957" s="459"/>
      <c r="AA957" s="459"/>
      <c r="AB957" s="459"/>
      <c r="AC957" s="459"/>
      <c r="AD957" s="459"/>
      <c r="AE957" s="459"/>
      <c r="AF957" s="459"/>
    </row>
    <row r="958">
      <c r="B958" s="459"/>
      <c r="C958" s="459"/>
      <c r="D958" s="459"/>
      <c r="E958" s="459"/>
      <c r="F958" s="459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9"/>
      <c r="Z958" s="459"/>
      <c r="AA958" s="459"/>
      <c r="AB958" s="459"/>
      <c r="AC958" s="459"/>
      <c r="AD958" s="459"/>
      <c r="AE958" s="459"/>
      <c r="AF958" s="459"/>
    </row>
    <row r="959">
      <c r="B959" s="459"/>
      <c r="C959" s="459"/>
      <c r="D959" s="459"/>
      <c r="E959" s="459"/>
      <c r="F959" s="459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9"/>
      <c r="Z959" s="459"/>
      <c r="AA959" s="459"/>
      <c r="AB959" s="459"/>
      <c r="AC959" s="459"/>
      <c r="AD959" s="459"/>
      <c r="AE959" s="459"/>
      <c r="AF959" s="459"/>
    </row>
    <row r="960">
      <c r="B960" s="459"/>
      <c r="C960" s="459"/>
      <c r="D960" s="459"/>
      <c r="E960" s="459"/>
      <c r="F960" s="459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9"/>
      <c r="Z960" s="459"/>
      <c r="AA960" s="459"/>
      <c r="AB960" s="459"/>
      <c r="AC960" s="459"/>
      <c r="AD960" s="459"/>
      <c r="AE960" s="459"/>
      <c r="AF960" s="459"/>
    </row>
    <row r="961">
      <c r="B961" s="459"/>
      <c r="C961" s="459"/>
      <c r="D961" s="459"/>
      <c r="E961" s="459"/>
      <c r="F961" s="459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9"/>
      <c r="Z961" s="459"/>
      <c r="AA961" s="459"/>
      <c r="AB961" s="459"/>
      <c r="AC961" s="459"/>
      <c r="AD961" s="459"/>
      <c r="AE961" s="459"/>
      <c r="AF961" s="459"/>
    </row>
    <row r="962">
      <c r="B962" s="459"/>
      <c r="C962" s="459"/>
      <c r="D962" s="459"/>
      <c r="E962" s="459"/>
      <c r="F962" s="459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9"/>
      <c r="Z962" s="459"/>
      <c r="AA962" s="459"/>
      <c r="AB962" s="459"/>
      <c r="AC962" s="459"/>
      <c r="AD962" s="459"/>
      <c r="AE962" s="459"/>
      <c r="AF962" s="459"/>
    </row>
    <row r="963">
      <c r="B963" s="459"/>
      <c r="C963" s="459"/>
      <c r="D963" s="459"/>
      <c r="E963" s="459"/>
      <c r="F963" s="459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9"/>
      <c r="Z963" s="459"/>
      <c r="AA963" s="459"/>
      <c r="AB963" s="459"/>
      <c r="AC963" s="459"/>
      <c r="AD963" s="459"/>
      <c r="AE963" s="459"/>
      <c r="AF963" s="459"/>
    </row>
    <row r="964">
      <c r="B964" s="459"/>
      <c r="C964" s="459"/>
      <c r="D964" s="459"/>
      <c r="E964" s="459"/>
      <c r="F964" s="459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9"/>
      <c r="Z964" s="459"/>
      <c r="AA964" s="459"/>
      <c r="AB964" s="459"/>
      <c r="AC964" s="459"/>
      <c r="AD964" s="459"/>
      <c r="AE964" s="459"/>
      <c r="AF964" s="459"/>
    </row>
    <row r="965">
      <c r="B965" s="459"/>
      <c r="C965" s="459"/>
      <c r="D965" s="459"/>
      <c r="E965" s="459"/>
      <c r="F965" s="459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9"/>
      <c r="Z965" s="459"/>
      <c r="AA965" s="459"/>
      <c r="AB965" s="459"/>
      <c r="AC965" s="459"/>
      <c r="AD965" s="459"/>
      <c r="AE965" s="459"/>
      <c r="AF965" s="459"/>
    </row>
    <row r="966">
      <c r="B966" s="459"/>
      <c r="C966" s="459"/>
      <c r="D966" s="459"/>
      <c r="E966" s="459"/>
      <c r="F966" s="459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9"/>
      <c r="Z966" s="459"/>
      <c r="AA966" s="459"/>
      <c r="AB966" s="459"/>
      <c r="AC966" s="459"/>
      <c r="AD966" s="459"/>
      <c r="AE966" s="459"/>
      <c r="AF966" s="459"/>
    </row>
    <row r="967">
      <c r="B967" s="459"/>
      <c r="C967" s="459"/>
      <c r="D967" s="459"/>
      <c r="E967" s="459"/>
      <c r="F967" s="459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9"/>
      <c r="Z967" s="459"/>
      <c r="AA967" s="459"/>
      <c r="AB967" s="459"/>
      <c r="AC967" s="459"/>
      <c r="AD967" s="459"/>
      <c r="AE967" s="459"/>
      <c r="AF967" s="459"/>
    </row>
    <row r="968">
      <c r="B968" s="459"/>
      <c r="C968" s="459"/>
      <c r="D968" s="459"/>
      <c r="E968" s="459"/>
      <c r="F968" s="459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9"/>
      <c r="Z968" s="459"/>
      <c r="AA968" s="459"/>
      <c r="AB968" s="459"/>
      <c r="AC968" s="459"/>
      <c r="AD968" s="459"/>
      <c r="AE968" s="459"/>
      <c r="AF968" s="459"/>
    </row>
    <row r="969">
      <c r="B969" s="459"/>
      <c r="C969" s="459"/>
      <c r="D969" s="459"/>
      <c r="E969" s="459"/>
      <c r="F969" s="459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9"/>
      <c r="Z969" s="459"/>
      <c r="AA969" s="459"/>
      <c r="AB969" s="459"/>
      <c r="AC969" s="459"/>
      <c r="AD969" s="459"/>
      <c r="AE969" s="459"/>
      <c r="AF969" s="459"/>
    </row>
    <row r="970">
      <c r="B970" s="459"/>
      <c r="C970" s="459"/>
      <c r="D970" s="459"/>
      <c r="E970" s="459"/>
      <c r="F970" s="459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9"/>
      <c r="Z970" s="459"/>
      <c r="AA970" s="459"/>
      <c r="AB970" s="459"/>
      <c r="AC970" s="459"/>
      <c r="AD970" s="459"/>
      <c r="AE970" s="459"/>
      <c r="AF970" s="459"/>
    </row>
    <row r="971">
      <c r="B971" s="459"/>
      <c r="C971" s="459"/>
      <c r="D971" s="459"/>
      <c r="E971" s="459"/>
      <c r="F971" s="459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9"/>
      <c r="Z971" s="459"/>
      <c r="AA971" s="459"/>
      <c r="AB971" s="459"/>
      <c r="AC971" s="459"/>
      <c r="AD971" s="459"/>
      <c r="AE971" s="459"/>
      <c r="AF971" s="459"/>
    </row>
    <row r="972">
      <c r="B972" s="459"/>
      <c r="C972" s="459"/>
      <c r="D972" s="459"/>
      <c r="E972" s="459"/>
      <c r="F972" s="459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9"/>
      <c r="Z972" s="459"/>
      <c r="AA972" s="459"/>
      <c r="AB972" s="459"/>
      <c r="AC972" s="459"/>
      <c r="AD972" s="459"/>
      <c r="AE972" s="459"/>
      <c r="AF972" s="459"/>
    </row>
    <row r="973">
      <c r="B973" s="459"/>
      <c r="C973" s="459"/>
      <c r="D973" s="459"/>
      <c r="E973" s="459"/>
      <c r="F973" s="459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9"/>
      <c r="Z973" s="459"/>
      <c r="AA973" s="459"/>
      <c r="AB973" s="459"/>
      <c r="AC973" s="459"/>
      <c r="AD973" s="459"/>
      <c r="AE973" s="459"/>
      <c r="AF973" s="459"/>
    </row>
    <row r="974">
      <c r="B974" s="459"/>
      <c r="C974" s="459"/>
      <c r="D974" s="459"/>
      <c r="E974" s="459"/>
      <c r="F974" s="459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9"/>
      <c r="Z974" s="459"/>
      <c r="AA974" s="459"/>
      <c r="AB974" s="459"/>
      <c r="AC974" s="459"/>
      <c r="AD974" s="459"/>
      <c r="AE974" s="459"/>
      <c r="AF974" s="459"/>
    </row>
    <row r="975">
      <c r="B975" s="459"/>
      <c r="C975" s="459"/>
      <c r="D975" s="459"/>
      <c r="E975" s="459"/>
      <c r="F975" s="459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9"/>
      <c r="Z975" s="459"/>
      <c r="AA975" s="459"/>
      <c r="AB975" s="459"/>
      <c r="AC975" s="459"/>
      <c r="AD975" s="459"/>
      <c r="AE975" s="459"/>
      <c r="AF975" s="459"/>
    </row>
    <row r="976">
      <c r="B976" s="459"/>
      <c r="C976" s="459"/>
      <c r="D976" s="459"/>
      <c r="E976" s="459"/>
      <c r="F976" s="459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9"/>
      <c r="Z976" s="459"/>
      <c r="AA976" s="459"/>
      <c r="AB976" s="459"/>
      <c r="AC976" s="459"/>
      <c r="AD976" s="459"/>
      <c r="AE976" s="459"/>
      <c r="AF976" s="459"/>
    </row>
    <row r="977">
      <c r="B977" s="459"/>
      <c r="C977" s="459"/>
      <c r="D977" s="459"/>
      <c r="E977" s="459"/>
      <c r="F977" s="459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9"/>
      <c r="Z977" s="459"/>
      <c r="AA977" s="459"/>
      <c r="AB977" s="459"/>
      <c r="AC977" s="459"/>
      <c r="AD977" s="459"/>
      <c r="AE977" s="459"/>
      <c r="AF977" s="459"/>
    </row>
    <row r="978">
      <c r="B978" s="459"/>
      <c r="C978" s="459"/>
      <c r="D978" s="459"/>
      <c r="E978" s="459"/>
      <c r="F978" s="459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9"/>
      <c r="Z978" s="459"/>
      <c r="AA978" s="459"/>
      <c r="AB978" s="459"/>
      <c r="AC978" s="459"/>
      <c r="AD978" s="459"/>
      <c r="AE978" s="459"/>
      <c r="AF978" s="459"/>
    </row>
    <row r="979">
      <c r="B979" s="459"/>
      <c r="C979" s="459"/>
      <c r="D979" s="459"/>
      <c r="E979" s="459"/>
      <c r="F979" s="459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9"/>
      <c r="Z979" s="459"/>
      <c r="AA979" s="459"/>
      <c r="AB979" s="459"/>
      <c r="AC979" s="459"/>
      <c r="AD979" s="459"/>
      <c r="AE979" s="459"/>
      <c r="AF979" s="459"/>
    </row>
    <row r="980">
      <c r="B980" s="459"/>
      <c r="C980" s="459"/>
      <c r="D980" s="459"/>
      <c r="E980" s="459"/>
      <c r="F980" s="459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9"/>
      <c r="Z980" s="459"/>
      <c r="AA980" s="459"/>
      <c r="AB980" s="459"/>
      <c r="AC980" s="459"/>
      <c r="AD980" s="459"/>
      <c r="AE980" s="459"/>
      <c r="AF980" s="459"/>
    </row>
    <row r="981">
      <c r="B981" s="459"/>
      <c r="C981" s="459"/>
      <c r="D981" s="459"/>
      <c r="E981" s="459"/>
      <c r="F981" s="459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9"/>
      <c r="Z981" s="459"/>
      <c r="AA981" s="459"/>
      <c r="AB981" s="459"/>
      <c r="AC981" s="459"/>
      <c r="AD981" s="459"/>
      <c r="AE981" s="459"/>
      <c r="AF981" s="459"/>
    </row>
    <row r="982">
      <c r="B982" s="459"/>
      <c r="C982" s="459"/>
      <c r="D982" s="459"/>
      <c r="E982" s="459"/>
      <c r="F982" s="459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9"/>
      <c r="Z982" s="459"/>
      <c r="AA982" s="459"/>
      <c r="AB982" s="459"/>
      <c r="AC982" s="459"/>
      <c r="AD982" s="459"/>
      <c r="AE982" s="459"/>
      <c r="AF982" s="459"/>
    </row>
    <row r="983">
      <c r="B983" s="459"/>
      <c r="C983" s="459"/>
      <c r="D983" s="459"/>
      <c r="E983" s="459"/>
      <c r="F983" s="459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9"/>
      <c r="Z983" s="459"/>
      <c r="AA983" s="459"/>
      <c r="AB983" s="459"/>
      <c r="AC983" s="459"/>
      <c r="AD983" s="459"/>
      <c r="AE983" s="459"/>
      <c r="AF983" s="459"/>
    </row>
    <row r="984">
      <c r="B984" s="459"/>
      <c r="C984" s="459"/>
      <c r="D984" s="459"/>
      <c r="E984" s="459"/>
      <c r="F984" s="459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9"/>
      <c r="Z984" s="459"/>
      <c r="AA984" s="459"/>
      <c r="AB984" s="459"/>
      <c r="AC984" s="459"/>
      <c r="AD984" s="459"/>
      <c r="AE984" s="459"/>
      <c r="AF984" s="459"/>
    </row>
    <row r="985">
      <c r="B985" s="459"/>
      <c r="C985" s="459"/>
      <c r="D985" s="459"/>
      <c r="E985" s="459"/>
      <c r="F985" s="459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9"/>
      <c r="Z985" s="459"/>
      <c r="AA985" s="459"/>
      <c r="AB985" s="459"/>
      <c r="AC985" s="459"/>
      <c r="AD985" s="459"/>
      <c r="AE985" s="459"/>
      <c r="AF985" s="459"/>
    </row>
    <row r="986">
      <c r="B986" s="459"/>
      <c r="C986" s="459"/>
      <c r="D986" s="459"/>
      <c r="E986" s="459"/>
      <c r="F986" s="459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9"/>
      <c r="Z986" s="459"/>
      <c r="AA986" s="459"/>
      <c r="AB986" s="459"/>
      <c r="AC986" s="459"/>
      <c r="AD986" s="459"/>
      <c r="AE986" s="459"/>
      <c r="AF986" s="459"/>
    </row>
    <row r="987">
      <c r="B987" s="459"/>
      <c r="C987" s="459"/>
      <c r="D987" s="459"/>
      <c r="E987" s="459"/>
      <c r="F987" s="459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9"/>
      <c r="Z987" s="459"/>
      <c r="AA987" s="459"/>
      <c r="AB987" s="459"/>
      <c r="AC987" s="459"/>
      <c r="AD987" s="459"/>
      <c r="AE987" s="459"/>
      <c r="AF987" s="459"/>
    </row>
    <row r="988">
      <c r="B988" s="459"/>
      <c r="C988" s="459"/>
      <c r="D988" s="459"/>
      <c r="E988" s="459"/>
      <c r="F988" s="459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9"/>
      <c r="Z988" s="459"/>
      <c r="AA988" s="459"/>
      <c r="AB988" s="459"/>
      <c r="AC988" s="459"/>
      <c r="AD988" s="459"/>
      <c r="AE988" s="459"/>
      <c r="AF988" s="459"/>
    </row>
    <row r="989">
      <c r="B989" s="459"/>
      <c r="C989" s="459"/>
      <c r="D989" s="459"/>
      <c r="E989" s="459"/>
      <c r="F989" s="459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9"/>
      <c r="Z989" s="459"/>
      <c r="AA989" s="459"/>
      <c r="AB989" s="459"/>
      <c r="AC989" s="459"/>
      <c r="AD989" s="459"/>
      <c r="AE989" s="459"/>
      <c r="AF989" s="459"/>
    </row>
    <row r="990">
      <c r="B990" s="459"/>
      <c r="C990" s="459"/>
      <c r="D990" s="459"/>
      <c r="E990" s="459"/>
      <c r="F990" s="459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9"/>
      <c r="Z990" s="459"/>
      <c r="AA990" s="459"/>
      <c r="AB990" s="459"/>
      <c r="AC990" s="459"/>
      <c r="AD990" s="459"/>
      <c r="AE990" s="459"/>
      <c r="AF990" s="459"/>
    </row>
    <row r="991">
      <c r="B991" s="459"/>
      <c r="C991" s="459"/>
      <c r="D991" s="459"/>
      <c r="E991" s="459"/>
      <c r="F991" s="459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9"/>
      <c r="Z991" s="459"/>
      <c r="AA991" s="459"/>
      <c r="AB991" s="459"/>
      <c r="AC991" s="459"/>
      <c r="AD991" s="459"/>
      <c r="AE991" s="459"/>
      <c r="AF991" s="459"/>
    </row>
    <row r="992">
      <c r="B992" s="459"/>
      <c r="C992" s="459"/>
      <c r="D992" s="459"/>
      <c r="E992" s="459"/>
      <c r="F992" s="459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9"/>
      <c r="Z992" s="459"/>
      <c r="AA992" s="459"/>
      <c r="AB992" s="459"/>
      <c r="AC992" s="459"/>
      <c r="AD992" s="459"/>
      <c r="AE992" s="459"/>
      <c r="AF992" s="459"/>
    </row>
    <row r="993">
      <c r="B993" s="459"/>
      <c r="C993" s="459"/>
      <c r="D993" s="459"/>
      <c r="E993" s="459"/>
      <c r="F993" s="459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9"/>
      <c r="Z993" s="459"/>
      <c r="AA993" s="459"/>
      <c r="AB993" s="459"/>
      <c r="AC993" s="459"/>
      <c r="AD993" s="459"/>
      <c r="AE993" s="459"/>
      <c r="AF993" s="459"/>
    </row>
    <row r="994">
      <c r="B994" s="459"/>
      <c r="C994" s="459"/>
      <c r="D994" s="459"/>
      <c r="E994" s="459"/>
      <c r="F994" s="459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9"/>
      <c r="Z994" s="459"/>
      <c r="AA994" s="459"/>
      <c r="AB994" s="459"/>
      <c r="AC994" s="459"/>
      <c r="AD994" s="459"/>
      <c r="AE994" s="459"/>
      <c r="AF994" s="459"/>
    </row>
    <row r="995">
      <c r="B995" s="459"/>
      <c r="C995" s="459"/>
      <c r="D995" s="459"/>
      <c r="E995" s="459"/>
      <c r="F995" s="459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9"/>
      <c r="Z995" s="459"/>
      <c r="AA995" s="459"/>
      <c r="AB995" s="459"/>
      <c r="AC995" s="459"/>
      <c r="AD995" s="459"/>
      <c r="AE995" s="459"/>
      <c r="AF995" s="459"/>
    </row>
    <row r="996">
      <c r="B996" s="459"/>
      <c r="C996" s="459"/>
      <c r="D996" s="459"/>
      <c r="E996" s="459"/>
      <c r="F996" s="459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9"/>
      <c r="Z996" s="459"/>
      <c r="AA996" s="459"/>
      <c r="AB996" s="459"/>
      <c r="AC996" s="459"/>
      <c r="AD996" s="459"/>
      <c r="AE996" s="459"/>
      <c r="AF996" s="459"/>
    </row>
    <row r="997">
      <c r="B997" s="459"/>
      <c r="C997" s="459"/>
      <c r="D997" s="459"/>
      <c r="E997" s="459"/>
      <c r="F997" s="459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9"/>
      <c r="Z997" s="459"/>
      <c r="AA997" s="459"/>
      <c r="AB997" s="459"/>
      <c r="AC997" s="459"/>
      <c r="AD997" s="459"/>
      <c r="AE997" s="459"/>
      <c r="AF997" s="459"/>
    </row>
    <row r="998">
      <c r="B998" s="459"/>
      <c r="C998" s="459"/>
      <c r="D998" s="459"/>
      <c r="E998" s="459"/>
      <c r="F998" s="459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9"/>
      <c r="Z998" s="459"/>
      <c r="AA998" s="459"/>
      <c r="AB998" s="459"/>
      <c r="AC998" s="459"/>
      <c r="AD998" s="459"/>
      <c r="AE998" s="459"/>
      <c r="AF998" s="459"/>
    </row>
    <row r="999">
      <c r="B999" s="459"/>
      <c r="C999" s="459"/>
      <c r="D999" s="459"/>
      <c r="E999" s="459"/>
      <c r="F999" s="459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9"/>
      <c r="Z999" s="459"/>
      <c r="AA999" s="459"/>
      <c r="AB999" s="459"/>
      <c r="AC999" s="459"/>
      <c r="AD999" s="459"/>
      <c r="AE999" s="459"/>
      <c r="AF999" s="459"/>
    </row>
    <row r="1000">
      <c r="B1000" s="459"/>
      <c r="C1000" s="459"/>
      <c r="D1000" s="459"/>
      <c r="E1000" s="459"/>
      <c r="F1000" s="459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9"/>
      <c r="Z1000" s="459"/>
      <c r="AA1000" s="459"/>
      <c r="AB1000" s="459"/>
      <c r="AC1000" s="459"/>
      <c r="AD1000" s="459"/>
      <c r="AE1000" s="459"/>
      <c r="AF1000" s="45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60" t="s">
        <v>318</v>
      </c>
      <c r="C1" s="460" t="s">
        <v>319</v>
      </c>
    </row>
    <row r="2">
      <c r="A2" s="163" t="s">
        <v>61</v>
      </c>
      <c r="B2" s="166">
        <v>46272.0</v>
      </c>
      <c r="C2" s="163" t="s">
        <v>320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61" t="s">
        <v>321</v>
      </c>
      <c r="AG1" s="461"/>
    </row>
    <row r="2">
      <c r="A2" s="462" t="s">
        <v>5</v>
      </c>
      <c r="B2" s="463" t="s">
        <v>6</v>
      </c>
      <c r="C2" s="464" t="s">
        <v>8</v>
      </c>
      <c r="D2" s="464" t="s">
        <v>9</v>
      </c>
      <c r="E2" s="464" t="s">
        <v>10</v>
      </c>
      <c r="F2" s="464" t="s">
        <v>11</v>
      </c>
      <c r="G2" s="464" t="s">
        <v>12</v>
      </c>
      <c r="H2" s="464" t="s">
        <v>13</v>
      </c>
      <c r="I2" s="464" t="s">
        <v>7</v>
      </c>
      <c r="J2" s="464" t="s">
        <v>8</v>
      </c>
      <c r="K2" s="464" t="s">
        <v>9</v>
      </c>
      <c r="L2" s="464" t="s">
        <v>10</v>
      </c>
      <c r="M2" s="464" t="s">
        <v>11</v>
      </c>
      <c r="N2" s="464" t="s">
        <v>12</v>
      </c>
      <c r="O2" s="464" t="s">
        <v>13</v>
      </c>
      <c r="P2" s="464" t="s">
        <v>7</v>
      </c>
      <c r="Q2" s="464" t="s">
        <v>8</v>
      </c>
      <c r="R2" s="464" t="s">
        <v>9</v>
      </c>
      <c r="S2" s="464" t="s">
        <v>10</v>
      </c>
      <c r="T2" s="464" t="s">
        <v>11</v>
      </c>
      <c r="U2" s="464" t="s">
        <v>12</v>
      </c>
      <c r="V2" s="464" t="s">
        <v>13</v>
      </c>
      <c r="W2" s="464" t="s">
        <v>7</v>
      </c>
      <c r="X2" s="464" t="s">
        <v>8</v>
      </c>
      <c r="Y2" s="464" t="s">
        <v>9</v>
      </c>
      <c r="Z2" s="464" t="s">
        <v>10</v>
      </c>
      <c r="AA2" s="464" t="s">
        <v>11</v>
      </c>
      <c r="AB2" s="464" t="s">
        <v>12</v>
      </c>
      <c r="AC2" s="464" t="s">
        <v>13</v>
      </c>
      <c r="AD2" s="464" t="s">
        <v>7</v>
      </c>
      <c r="AE2" s="464" t="s">
        <v>8</v>
      </c>
      <c r="AF2" s="464" t="s">
        <v>9</v>
      </c>
      <c r="AG2" s="465"/>
    </row>
    <row r="3">
      <c r="A3" s="23"/>
      <c r="B3" s="466"/>
      <c r="C3" s="467" t="s">
        <v>14</v>
      </c>
      <c r="D3" s="467" t="s">
        <v>15</v>
      </c>
      <c r="E3" s="467" t="s">
        <v>16</v>
      </c>
      <c r="F3" s="467" t="s">
        <v>224</v>
      </c>
      <c r="G3" s="467" t="s">
        <v>225</v>
      </c>
      <c r="H3" s="467" t="s">
        <v>17</v>
      </c>
      <c r="I3" s="467" t="s">
        <v>18</v>
      </c>
      <c r="J3" s="467" t="s">
        <v>19</v>
      </c>
      <c r="K3" s="467" t="s">
        <v>20</v>
      </c>
      <c r="L3" s="467" t="s">
        <v>21</v>
      </c>
      <c r="M3" s="467" t="s">
        <v>22</v>
      </c>
      <c r="N3" s="467" t="s">
        <v>23</v>
      </c>
      <c r="O3" s="467" t="s">
        <v>24</v>
      </c>
      <c r="P3" s="467" t="s">
        <v>25</v>
      </c>
      <c r="Q3" s="467" t="s">
        <v>26</v>
      </c>
      <c r="R3" s="467" t="s">
        <v>27</v>
      </c>
      <c r="S3" s="467" t="s">
        <v>28</v>
      </c>
      <c r="T3" s="467" t="s">
        <v>29</v>
      </c>
      <c r="U3" s="467" t="s">
        <v>30</v>
      </c>
      <c r="V3" s="467" t="s">
        <v>31</v>
      </c>
      <c r="W3" s="467" t="s">
        <v>32</v>
      </c>
      <c r="X3" s="467" t="s">
        <v>33</v>
      </c>
      <c r="Y3" s="467" t="s">
        <v>34</v>
      </c>
      <c r="Z3" s="467" t="s">
        <v>35</v>
      </c>
      <c r="AA3" s="467" t="s">
        <v>36</v>
      </c>
      <c r="AB3" s="467" t="s">
        <v>37</v>
      </c>
      <c r="AC3" s="467" t="s">
        <v>38</v>
      </c>
      <c r="AD3" s="467" t="s">
        <v>39</v>
      </c>
      <c r="AE3" s="467" t="s">
        <v>40</v>
      </c>
      <c r="AF3" s="467" t="s">
        <v>41</v>
      </c>
      <c r="AG3" s="465"/>
    </row>
    <row r="4" ht="22.5" customHeight="1">
      <c r="A4" s="468" t="s">
        <v>56</v>
      </c>
      <c r="B4" s="469" t="s">
        <v>57</v>
      </c>
      <c r="C4" s="470"/>
      <c r="D4" s="471" t="s">
        <v>47</v>
      </c>
      <c r="E4" s="471" t="s">
        <v>47</v>
      </c>
      <c r="F4" s="468" t="s">
        <v>43</v>
      </c>
      <c r="G4" s="470"/>
      <c r="H4" s="470"/>
      <c r="I4" s="470"/>
      <c r="J4" s="472"/>
      <c r="K4" s="471" t="s">
        <v>47</v>
      </c>
      <c r="L4" s="471" t="s">
        <v>47</v>
      </c>
      <c r="M4" s="473"/>
      <c r="N4" s="470"/>
      <c r="O4" s="470"/>
      <c r="P4" s="470"/>
      <c r="Q4" s="470"/>
      <c r="R4" s="471" t="s">
        <v>47</v>
      </c>
      <c r="S4" s="471" t="s">
        <v>47</v>
      </c>
      <c r="T4" s="470"/>
      <c r="U4" s="470"/>
      <c r="V4" s="470"/>
      <c r="W4" s="470"/>
      <c r="X4" s="470"/>
      <c r="Y4" s="471" t="s">
        <v>47</v>
      </c>
      <c r="Z4" s="471" t="s">
        <v>47</v>
      </c>
      <c r="AA4" s="470"/>
      <c r="AB4" s="470"/>
      <c r="AC4" s="470"/>
      <c r="AD4" s="470"/>
      <c r="AE4" s="470"/>
      <c r="AF4" s="471" t="s">
        <v>47</v>
      </c>
      <c r="AG4" s="474" t="s">
        <v>17</v>
      </c>
    </row>
    <row r="5" ht="22.5" customHeight="1">
      <c r="A5" s="468" t="s">
        <v>59</v>
      </c>
      <c r="B5" s="475" t="s">
        <v>60</v>
      </c>
      <c r="C5" s="476"/>
      <c r="D5" s="472"/>
      <c r="E5" s="471" t="s">
        <v>47</v>
      </c>
      <c r="F5" s="471" t="s">
        <v>47</v>
      </c>
      <c r="G5" s="470"/>
      <c r="H5" s="470"/>
      <c r="I5" s="470"/>
      <c r="J5" s="470"/>
      <c r="K5" s="470"/>
      <c r="L5" s="471" t="s">
        <v>47</v>
      </c>
      <c r="M5" s="471" t="s">
        <v>47</v>
      </c>
      <c r="N5" s="473"/>
      <c r="O5" s="473"/>
      <c r="P5" s="470"/>
      <c r="Q5" s="470"/>
      <c r="R5" s="470"/>
      <c r="S5" s="471" t="s">
        <v>47</v>
      </c>
      <c r="T5" s="471" t="s">
        <v>47</v>
      </c>
      <c r="U5" s="473"/>
      <c r="V5" s="473"/>
      <c r="W5" s="470"/>
      <c r="X5" s="470"/>
      <c r="Y5" s="470"/>
      <c r="Z5" s="471" t="s">
        <v>47</v>
      </c>
      <c r="AA5" s="471" t="s">
        <v>47</v>
      </c>
      <c r="AB5" s="468" t="s">
        <v>43</v>
      </c>
      <c r="AC5" s="468" t="s">
        <v>43</v>
      </c>
      <c r="AD5" s="477"/>
      <c r="AE5" s="477"/>
      <c r="AF5" s="477"/>
      <c r="AG5" s="474" t="s">
        <v>18</v>
      </c>
    </row>
    <row r="6" ht="22.5" customHeight="1">
      <c r="A6" s="468" t="s">
        <v>62</v>
      </c>
      <c r="B6" s="478" t="s">
        <v>63</v>
      </c>
      <c r="C6" s="479"/>
      <c r="D6" s="479"/>
      <c r="E6" s="471" t="s">
        <v>47</v>
      </c>
      <c r="F6" s="471" t="s">
        <v>47</v>
      </c>
      <c r="G6" s="480"/>
      <c r="H6" s="481"/>
      <c r="I6" s="481"/>
      <c r="J6" s="480"/>
      <c r="K6" s="482"/>
      <c r="L6" s="471" t="s">
        <v>47</v>
      </c>
      <c r="M6" s="471" t="s">
        <v>47</v>
      </c>
      <c r="N6" s="480"/>
      <c r="O6" s="482"/>
      <c r="P6" s="468" t="s">
        <v>43</v>
      </c>
      <c r="Q6" s="477"/>
      <c r="R6" s="477"/>
      <c r="S6" s="471" t="s">
        <v>47</v>
      </c>
      <c r="T6" s="471" t="s">
        <v>47</v>
      </c>
      <c r="U6" s="480"/>
      <c r="V6" s="480"/>
      <c r="W6" s="482"/>
      <c r="X6" s="482"/>
      <c r="Y6" s="482"/>
      <c r="Z6" s="471" t="s">
        <v>47</v>
      </c>
      <c r="AA6" s="471" t="s">
        <v>47</v>
      </c>
      <c r="AB6" s="480"/>
      <c r="AC6" s="482"/>
      <c r="AD6" s="482"/>
      <c r="AE6" s="482"/>
      <c r="AF6" s="482"/>
      <c r="AG6" s="483" t="s">
        <v>17</v>
      </c>
    </row>
    <row r="7" ht="22.5" customHeight="1">
      <c r="A7" s="468" t="s">
        <v>65</v>
      </c>
      <c r="B7" s="469" t="s">
        <v>66</v>
      </c>
      <c r="C7" s="470"/>
      <c r="D7" s="471" t="s">
        <v>47</v>
      </c>
      <c r="E7" s="471" t="s">
        <v>47</v>
      </c>
      <c r="F7" s="468" t="s">
        <v>43</v>
      </c>
      <c r="G7" s="468" t="s">
        <v>43</v>
      </c>
      <c r="H7" s="477"/>
      <c r="I7" s="470"/>
      <c r="J7" s="472"/>
      <c r="K7" s="471" t="s">
        <v>47</v>
      </c>
      <c r="L7" s="471" t="s">
        <v>47</v>
      </c>
      <c r="M7" s="470"/>
      <c r="N7" s="470"/>
      <c r="O7" s="477"/>
      <c r="P7" s="470"/>
      <c r="Q7" s="470"/>
      <c r="R7" s="471" t="s">
        <v>47</v>
      </c>
      <c r="S7" s="471" t="s">
        <v>47</v>
      </c>
      <c r="T7" s="470"/>
      <c r="U7" s="470"/>
      <c r="V7" s="477"/>
      <c r="W7" s="477"/>
      <c r="X7" s="477"/>
      <c r="Y7" s="471" t="s">
        <v>47</v>
      </c>
      <c r="Z7" s="471" t="s">
        <v>47</v>
      </c>
      <c r="AA7" s="473"/>
      <c r="AB7" s="470"/>
      <c r="AC7" s="477"/>
      <c r="AD7" s="470"/>
      <c r="AE7" s="472"/>
      <c r="AF7" s="471" t="s">
        <v>47</v>
      </c>
      <c r="AG7" s="474" t="s">
        <v>18</v>
      </c>
    </row>
    <row r="8" ht="22.5" customHeight="1">
      <c r="A8" s="468" t="s">
        <v>68</v>
      </c>
      <c r="B8" s="469" t="s">
        <v>69</v>
      </c>
      <c r="C8" s="484"/>
      <c r="D8" s="470"/>
      <c r="E8" s="471" t="s">
        <v>47</v>
      </c>
      <c r="F8" s="471" t="s">
        <v>47</v>
      </c>
      <c r="G8" s="470"/>
      <c r="H8" s="468" t="s">
        <v>43</v>
      </c>
      <c r="I8" s="470"/>
      <c r="J8" s="470"/>
      <c r="K8" s="470"/>
      <c r="L8" s="471" t="s">
        <v>47</v>
      </c>
      <c r="M8" s="471" t="s">
        <v>47</v>
      </c>
      <c r="N8" s="468" t="s">
        <v>43</v>
      </c>
      <c r="O8" s="468" t="s">
        <v>43</v>
      </c>
      <c r="P8" s="470"/>
      <c r="Q8" s="470"/>
      <c r="R8" s="470"/>
      <c r="S8" s="471" t="s">
        <v>47</v>
      </c>
      <c r="T8" s="471" t="s">
        <v>47</v>
      </c>
      <c r="U8" s="468" t="s">
        <v>43</v>
      </c>
      <c r="V8" s="470"/>
      <c r="W8" s="470"/>
      <c r="X8" s="470"/>
      <c r="Y8" s="470"/>
      <c r="Z8" s="471" t="s">
        <v>47</v>
      </c>
      <c r="AA8" s="471" t="s">
        <v>47</v>
      </c>
      <c r="AB8" s="470"/>
      <c r="AC8" s="468" t="s">
        <v>43</v>
      </c>
      <c r="AD8" s="470"/>
      <c r="AE8" s="470"/>
      <c r="AF8" s="470"/>
      <c r="AG8" s="474" t="s">
        <v>21</v>
      </c>
    </row>
    <row r="9" ht="22.5" customHeight="1">
      <c r="A9" s="468" t="s">
        <v>71</v>
      </c>
      <c r="B9" s="475" t="s">
        <v>72</v>
      </c>
      <c r="C9" s="468" t="s">
        <v>43</v>
      </c>
      <c r="D9" s="471" t="s">
        <v>47</v>
      </c>
      <c r="E9" s="471" t="s">
        <v>47</v>
      </c>
      <c r="F9" s="473"/>
      <c r="G9" s="470"/>
      <c r="H9" s="470"/>
      <c r="I9" s="468" t="s">
        <v>43</v>
      </c>
      <c r="J9" s="468" t="s">
        <v>43</v>
      </c>
      <c r="K9" s="471" t="s">
        <v>47</v>
      </c>
      <c r="L9" s="471" t="s">
        <v>47</v>
      </c>
      <c r="M9" s="473"/>
      <c r="N9" s="470"/>
      <c r="O9" s="470"/>
      <c r="P9" s="470"/>
      <c r="Q9" s="477"/>
      <c r="R9" s="471" t="s">
        <v>47</v>
      </c>
      <c r="S9" s="471" t="s">
        <v>47</v>
      </c>
      <c r="T9" s="470"/>
      <c r="U9" s="470"/>
      <c r="V9" s="470"/>
      <c r="W9" s="470"/>
      <c r="X9" s="470"/>
      <c r="Y9" s="471" t="s">
        <v>47</v>
      </c>
      <c r="Z9" s="471" t="s">
        <v>47</v>
      </c>
      <c r="AA9" s="470"/>
      <c r="AB9" s="470"/>
      <c r="AC9" s="477"/>
      <c r="AD9" s="470"/>
      <c r="AE9" s="470"/>
      <c r="AF9" s="471" t="s">
        <v>47</v>
      </c>
      <c r="AG9" s="474" t="s">
        <v>19</v>
      </c>
    </row>
    <row r="10" ht="22.5" customHeight="1">
      <c r="A10" s="468" t="s">
        <v>74</v>
      </c>
      <c r="B10" s="475" t="s">
        <v>75</v>
      </c>
      <c r="C10" s="468" t="s">
        <v>43</v>
      </c>
      <c r="D10" s="470"/>
      <c r="E10" s="471" t="s">
        <v>47</v>
      </c>
      <c r="F10" s="471" t="s">
        <v>47</v>
      </c>
      <c r="G10" s="473"/>
      <c r="H10" s="470"/>
      <c r="I10" s="470"/>
      <c r="J10" s="472"/>
      <c r="K10" s="472"/>
      <c r="L10" s="471" t="s">
        <v>47</v>
      </c>
      <c r="M10" s="485" t="s">
        <v>47</v>
      </c>
      <c r="N10" s="470"/>
      <c r="O10" s="470"/>
      <c r="P10" s="470"/>
      <c r="Q10" s="470"/>
      <c r="R10" s="470"/>
      <c r="S10" s="471" t="s">
        <v>47</v>
      </c>
      <c r="T10" s="471" t="s">
        <v>47</v>
      </c>
      <c r="U10" s="473"/>
      <c r="V10" s="473"/>
      <c r="W10" s="470"/>
      <c r="X10" s="470"/>
      <c r="Y10" s="470"/>
      <c r="Z10" s="471" t="s">
        <v>47</v>
      </c>
      <c r="AA10" s="471" t="s">
        <v>47</v>
      </c>
      <c r="AB10" s="473"/>
      <c r="AC10" s="473"/>
      <c r="AD10" s="470"/>
      <c r="AE10" s="470"/>
      <c r="AF10" s="470"/>
      <c r="AG10" s="474" t="s">
        <v>17</v>
      </c>
    </row>
    <row r="11" ht="22.5" customHeight="1">
      <c r="A11" s="468" t="s">
        <v>77</v>
      </c>
      <c r="B11" s="475" t="s">
        <v>78</v>
      </c>
      <c r="C11" s="470"/>
      <c r="D11" s="471" t="s">
        <v>47</v>
      </c>
      <c r="E11" s="471" t="s">
        <v>47</v>
      </c>
      <c r="F11" s="473"/>
      <c r="G11" s="470"/>
      <c r="H11" s="470"/>
      <c r="I11" s="470"/>
      <c r="J11" s="470"/>
      <c r="K11" s="471" t="s">
        <v>47</v>
      </c>
      <c r="L11" s="471" t="s">
        <v>47</v>
      </c>
      <c r="M11" s="470"/>
      <c r="N11" s="470"/>
      <c r="O11" s="470"/>
      <c r="P11" s="470"/>
      <c r="Q11" s="470"/>
      <c r="R11" s="471" t="s">
        <v>47</v>
      </c>
      <c r="S11" s="471" t="s">
        <v>47</v>
      </c>
      <c r="T11" s="468" t="s">
        <v>43</v>
      </c>
      <c r="U11" s="468" t="s">
        <v>43</v>
      </c>
      <c r="V11" s="468" t="s">
        <v>43</v>
      </c>
      <c r="W11" s="477"/>
      <c r="X11" s="477"/>
      <c r="Y11" s="471" t="s">
        <v>47</v>
      </c>
      <c r="Z11" s="471" t="s">
        <v>47</v>
      </c>
      <c r="AA11" s="470"/>
      <c r="AB11" s="470"/>
      <c r="AC11" s="470"/>
      <c r="AD11" s="470"/>
      <c r="AE11" s="470"/>
      <c r="AF11" s="471" t="s">
        <v>47</v>
      </c>
      <c r="AG11" s="474" t="s">
        <v>19</v>
      </c>
    </row>
    <row r="12" ht="22.5" customHeight="1">
      <c r="A12" s="468" t="s">
        <v>86</v>
      </c>
      <c r="B12" s="475" t="s">
        <v>87</v>
      </c>
      <c r="C12" s="468" t="s">
        <v>43</v>
      </c>
      <c r="D12" s="468" t="s">
        <v>43</v>
      </c>
      <c r="E12" s="468" t="s">
        <v>43</v>
      </c>
      <c r="F12" s="468" t="s">
        <v>43</v>
      </c>
      <c r="G12" s="468" t="s">
        <v>43</v>
      </c>
      <c r="H12" s="471" t="s">
        <v>47</v>
      </c>
      <c r="I12" s="471" t="s">
        <v>47</v>
      </c>
      <c r="J12" s="470"/>
      <c r="K12" s="470"/>
      <c r="L12" s="470"/>
      <c r="M12" s="470"/>
      <c r="N12" s="470"/>
      <c r="O12" s="471" t="s">
        <v>47</v>
      </c>
      <c r="P12" s="471" t="s">
        <v>47</v>
      </c>
      <c r="Q12" s="470"/>
      <c r="R12" s="470"/>
      <c r="S12" s="470"/>
      <c r="T12" s="470"/>
      <c r="U12" s="468" t="s">
        <v>43</v>
      </c>
      <c r="V12" s="471" t="s">
        <v>47</v>
      </c>
      <c r="W12" s="471" t="s">
        <v>47</v>
      </c>
      <c r="X12" s="473"/>
      <c r="Y12" s="473"/>
      <c r="Z12" s="470"/>
      <c r="AA12" s="468" t="s">
        <v>43</v>
      </c>
      <c r="AB12" s="486"/>
      <c r="AC12" s="471" t="s">
        <v>47</v>
      </c>
      <c r="AD12" s="471" t="s">
        <v>47</v>
      </c>
      <c r="AE12" s="473"/>
      <c r="AF12" s="473"/>
      <c r="AG12" s="474" t="s">
        <v>23</v>
      </c>
    </row>
    <row r="13" ht="22.5" customHeight="1">
      <c r="A13" s="468" t="s">
        <v>104</v>
      </c>
      <c r="B13" s="475" t="s">
        <v>105</v>
      </c>
      <c r="C13" s="471" t="s">
        <v>47</v>
      </c>
      <c r="D13" s="468" t="s">
        <v>43</v>
      </c>
      <c r="E13" s="473"/>
      <c r="F13" s="470"/>
      <c r="G13" s="470"/>
      <c r="H13" s="470"/>
      <c r="I13" s="471" t="s">
        <v>47</v>
      </c>
      <c r="J13" s="471" t="s">
        <v>47</v>
      </c>
      <c r="K13" s="473"/>
      <c r="L13" s="470"/>
      <c r="M13" s="470"/>
      <c r="N13" s="470"/>
      <c r="O13" s="468" t="s">
        <v>43</v>
      </c>
      <c r="P13" s="471" t="s">
        <v>47</v>
      </c>
      <c r="Q13" s="471" t="s">
        <v>47</v>
      </c>
      <c r="R13" s="473"/>
      <c r="S13" s="470"/>
      <c r="T13" s="470"/>
      <c r="U13" s="470"/>
      <c r="V13" s="468" t="s">
        <v>43</v>
      </c>
      <c r="W13" s="471" t="s">
        <v>47</v>
      </c>
      <c r="X13" s="471" t="s">
        <v>47</v>
      </c>
      <c r="Y13" s="470"/>
      <c r="Z13" s="470"/>
      <c r="AA13" s="470"/>
      <c r="AB13" s="470"/>
      <c r="AC13" s="470"/>
      <c r="AD13" s="471" t="s">
        <v>47</v>
      </c>
      <c r="AE13" s="471" t="s">
        <v>47</v>
      </c>
      <c r="AF13" s="472"/>
      <c r="AG13" s="487">
        <v>3.0</v>
      </c>
    </row>
    <row r="14" ht="22.5" customHeight="1">
      <c r="A14" s="468" t="s">
        <v>107</v>
      </c>
      <c r="B14" s="475" t="s">
        <v>108</v>
      </c>
      <c r="C14" s="471" t="s">
        <v>47</v>
      </c>
      <c r="D14" s="471" t="s">
        <v>47</v>
      </c>
      <c r="E14" s="468" t="s">
        <v>43</v>
      </c>
      <c r="F14" s="470"/>
      <c r="G14" s="470"/>
      <c r="H14" s="468" t="s">
        <v>43</v>
      </c>
      <c r="I14" s="468" t="s">
        <v>43</v>
      </c>
      <c r="J14" s="471" t="s">
        <v>47</v>
      </c>
      <c r="K14" s="471" t="s">
        <v>47</v>
      </c>
      <c r="L14" s="468" t="s">
        <v>43</v>
      </c>
      <c r="M14" s="477"/>
      <c r="N14" s="472"/>
      <c r="O14" s="472"/>
      <c r="P14" s="477"/>
      <c r="Q14" s="471" t="s">
        <v>47</v>
      </c>
      <c r="R14" s="471" t="s">
        <v>47</v>
      </c>
      <c r="S14" s="488"/>
      <c r="T14" s="488"/>
      <c r="U14" s="472"/>
      <c r="V14" s="472"/>
      <c r="W14" s="477"/>
      <c r="X14" s="471" t="s">
        <v>47</v>
      </c>
      <c r="Y14" s="471" t="s">
        <v>47</v>
      </c>
      <c r="Z14" s="488"/>
      <c r="AA14" s="470"/>
      <c r="AB14" s="470"/>
      <c r="AC14" s="472"/>
      <c r="AD14" s="472"/>
      <c r="AE14" s="471" t="s">
        <v>47</v>
      </c>
      <c r="AF14" s="471" t="s">
        <v>47</v>
      </c>
      <c r="AG14" s="474" t="s">
        <v>20</v>
      </c>
    </row>
    <row r="15" ht="22.5" customHeight="1">
      <c r="A15" s="468" t="s">
        <v>110</v>
      </c>
      <c r="B15" s="475" t="s">
        <v>111</v>
      </c>
      <c r="C15" s="476"/>
      <c r="D15" s="472"/>
      <c r="E15" s="472"/>
      <c r="F15" s="472"/>
      <c r="G15" s="471" t="s">
        <v>47</v>
      </c>
      <c r="H15" s="471" t="s">
        <v>47</v>
      </c>
      <c r="I15" s="470"/>
      <c r="J15" s="468" t="s">
        <v>43</v>
      </c>
      <c r="K15" s="468" t="s">
        <v>43</v>
      </c>
      <c r="L15" s="468" t="s">
        <v>43</v>
      </c>
      <c r="M15" s="468" t="s">
        <v>43</v>
      </c>
      <c r="N15" s="471" t="s">
        <v>47</v>
      </c>
      <c r="O15" s="471" t="s">
        <v>47</v>
      </c>
      <c r="P15" s="470"/>
      <c r="Q15" s="470"/>
      <c r="R15" s="470"/>
      <c r="S15" s="470"/>
      <c r="T15" s="470"/>
      <c r="U15" s="471" t="s">
        <v>47</v>
      </c>
      <c r="V15" s="471" t="s">
        <v>47</v>
      </c>
      <c r="W15" s="468" t="s">
        <v>43</v>
      </c>
      <c r="X15" s="470"/>
      <c r="Y15" s="470"/>
      <c r="Z15" s="470"/>
      <c r="AA15" s="470"/>
      <c r="AB15" s="471" t="s">
        <v>47</v>
      </c>
      <c r="AC15" s="471" t="s">
        <v>47</v>
      </c>
      <c r="AD15" s="468" t="s">
        <v>43</v>
      </c>
      <c r="AE15" s="473"/>
      <c r="AF15" s="470"/>
      <c r="AG15" s="474" t="s">
        <v>22</v>
      </c>
    </row>
    <row r="16" ht="22.5" customHeight="1">
      <c r="A16" s="468" t="s">
        <v>113</v>
      </c>
      <c r="B16" s="475" t="s">
        <v>114</v>
      </c>
      <c r="C16" s="471" t="s">
        <v>47</v>
      </c>
      <c r="D16" s="471" t="s">
        <v>47</v>
      </c>
      <c r="E16" s="468" t="s">
        <v>43</v>
      </c>
      <c r="F16" s="468" t="s">
        <v>43</v>
      </c>
      <c r="G16" s="470"/>
      <c r="H16" s="470"/>
      <c r="I16" s="470"/>
      <c r="J16" s="471" t="s">
        <v>47</v>
      </c>
      <c r="K16" s="471" t="s">
        <v>47</v>
      </c>
      <c r="L16" s="473"/>
      <c r="M16" s="470"/>
      <c r="N16" s="470"/>
      <c r="O16" s="470"/>
      <c r="P16" s="468" t="s">
        <v>43</v>
      </c>
      <c r="Q16" s="471" t="s">
        <v>47</v>
      </c>
      <c r="R16" s="471" t="s">
        <v>47</v>
      </c>
      <c r="S16" s="477"/>
      <c r="T16" s="473"/>
      <c r="U16" s="470"/>
      <c r="V16" s="470"/>
      <c r="W16" s="470"/>
      <c r="X16" s="471" t="s">
        <v>47</v>
      </c>
      <c r="Y16" s="471" t="s">
        <v>47</v>
      </c>
      <c r="Z16" s="473"/>
      <c r="AA16" s="473"/>
      <c r="AB16" s="470"/>
      <c r="AC16" s="470"/>
      <c r="AD16" s="477"/>
      <c r="AE16" s="471" t="s">
        <v>47</v>
      </c>
      <c r="AF16" s="471" t="s">
        <v>47</v>
      </c>
      <c r="AG16" s="474" t="s">
        <v>19</v>
      </c>
    </row>
    <row r="17" ht="22.5" customHeight="1">
      <c r="A17" s="468" t="s">
        <v>122</v>
      </c>
      <c r="B17" s="475" t="s">
        <v>123</v>
      </c>
      <c r="C17" s="471" t="s">
        <v>47</v>
      </c>
      <c r="D17" s="471" t="s">
        <v>47</v>
      </c>
      <c r="E17" s="470"/>
      <c r="F17" s="470"/>
      <c r="G17" s="468" t="s">
        <v>43</v>
      </c>
      <c r="H17" s="470"/>
      <c r="I17" s="470"/>
      <c r="J17" s="471" t="s">
        <v>47</v>
      </c>
      <c r="K17" s="471" t="s">
        <v>47</v>
      </c>
      <c r="L17" s="473"/>
      <c r="M17" s="470"/>
      <c r="N17" s="468" t="s">
        <v>43</v>
      </c>
      <c r="O17" s="470"/>
      <c r="P17" s="470"/>
      <c r="Q17" s="471" t="s">
        <v>47</v>
      </c>
      <c r="R17" s="471" t="s">
        <v>47</v>
      </c>
      <c r="S17" s="473"/>
      <c r="T17" s="470"/>
      <c r="U17" s="468" t="s">
        <v>43</v>
      </c>
      <c r="V17" s="470"/>
      <c r="W17" s="470"/>
      <c r="X17" s="471" t="s">
        <v>47</v>
      </c>
      <c r="Y17" s="471" t="s">
        <v>47</v>
      </c>
      <c r="Z17" s="473"/>
      <c r="AA17" s="472"/>
      <c r="AB17" s="468" t="s">
        <v>43</v>
      </c>
      <c r="AC17" s="470"/>
      <c r="AD17" s="470"/>
      <c r="AE17" s="471" t="s">
        <v>47</v>
      </c>
      <c r="AF17" s="471" t="s">
        <v>47</v>
      </c>
      <c r="AG17" s="474" t="s">
        <v>20</v>
      </c>
    </row>
    <row r="18" ht="22.5" customHeight="1">
      <c r="A18" s="468" t="s">
        <v>125</v>
      </c>
      <c r="B18" s="475" t="s">
        <v>126</v>
      </c>
      <c r="C18" s="470"/>
      <c r="D18" s="470"/>
      <c r="E18" s="470"/>
      <c r="F18" s="471" t="s">
        <v>47</v>
      </c>
      <c r="G18" s="471" t="s">
        <v>47</v>
      </c>
      <c r="H18" s="470"/>
      <c r="I18" s="470"/>
      <c r="J18" s="470"/>
      <c r="K18" s="470"/>
      <c r="L18" s="470"/>
      <c r="M18" s="471" t="s">
        <v>47</v>
      </c>
      <c r="N18" s="471" t="s">
        <v>47</v>
      </c>
      <c r="O18" s="468" t="s">
        <v>43</v>
      </c>
      <c r="P18" s="468" t="s">
        <v>43</v>
      </c>
      <c r="Q18" s="470"/>
      <c r="R18" s="470"/>
      <c r="S18" s="472"/>
      <c r="T18" s="471" t="s">
        <v>47</v>
      </c>
      <c r="U18" s="471" t="s">
        <v>47</v>
      </c>
      <c r="V18" s="468" t="s">
        <v>43</v>
      </c>
      <c r="W18" s="470"/>
      <c r="X18" s="470"/>
      <c r="Y18" s="468" t="s">
        <v>43</v>
      </c>
      <c r="Z18" s="468" t="s">
        <v>43</v>
      </c>
      <c r="AA18" s="471" t="s">
        <v>47</v>
      </c>
      <c r="AB18" s="471" t="s">
        <v>47</v>
      </c>
      <c r="AC18" s="470"/>
      <c r="AD18" s="470"/>
      <c r="AE18" s="470"/>
      <c r="AF18" s="470"/>
      <c r="AG18" s="474" t="s">
        <v>21</v>
      </c>
    </row>
    <row r="19" ht="22.5" customHeight="1">
      <c r="A19" s="468" t="s">
        <v>128</v>
      </c>
      <c r="B19" s="475" t="s">
        <v>129</v>
      </c>
      <c r="C19" s="468" t="s">
        <v>43</v>
      </c>
      <c r="D19" s="471" t="s">
        <v>47</v>
      </c>
      <c r="E19" s="471" t="s">
        <v>47</v>
      </c>
      <c r="F19" s="473"/>
      <c r="G19" s="470"/>
      <c r="H19" s="477"/>
      <c r="I19" s="477"/>
      <c r="J19" s="477"/>
      <c r="K19" s="471" t="s">
        <v>47</v>
      </c>
      <c r="L19" s="471" t="s">
        <v>47</v>
      </c>
      <c r="M19" s="470"/>
      <c r="N19" s="470"/>
      <c r="O19" s="470"/>
      <c r="P19" s="470"/>
      <c r="Q19" s="470"/>
      <c r="R19" s="471" t="s">
        <v>47</v>
      </c>
      <c r="S19" s="471" t="s">
        <v>47</v>
      </c>
      <c r="T19" s="473"/>
      <c r="U19" s="470"/>
      <c r="V19" s="470"/>
      <c r="W19" s="470"/>
      <c r="X19" s="470"/>
      <c r="Y19" s="471" t="s">
        <v>47</v>
      </c>
      <c r="Z19" s="471" t="s">
        <v>47</v>
      </c>
      <c r="AA19" s="470"/>
      <c r="AB19" s="470"/>
      <c r="AC19" s="470"/>
      <c r="AD19" s="470"/>
      <c r="AE19" s="470"/>
      <c r="AF19" s="471" t="s">
        <v>47</v>
      </c>
      <c r="AG19" s="474" t="s">
        <v>17</v>
      </c>
    </row>
    <row r="20" ht="22.5" customHeight="1">
      <c r="A20" s="468" t="s">
        <v>131</v>
      </c>
      <c r="B20" s="475" t="s">
        <v>132</v>
      </c>
      <c r="C20" s="470"/>
      <c r="D20" s="470"/>
      <c r="E20" s="470"/>
      <c r="F20" s="471" t="s">
        <v>47</v>
      </c>
      <c r="G20" s="471" t="s">
        <v>47</v>
      </c>
      <c r="H20" s="470"/>
      <c r="I20" s="470"/>
      <c r="J20" s="470"/>
      <c r="K20" s="470"/>
      <c r="L20" s="470"/>
      <c r="M20" s="471" t="s">
        <v>47</v>
      </c>
      <c r="N20" s="471" t="s">
        <v>47</v>
      </c>
      <c r="O20" s="468" t="s">
        <v>43</v>
      </c>
      <c r="P20" s="468" t="s">
        <v>43</v>
      </c>
      <c r="Q20" s="468" t="s">
        <v>43</v>
      </c>
      <c r="R20" s="470"/>
      <c r="S20" s="472"/>
      <c r="T20" s="471" t="s">
        <v>47</v>
      </c>
      <c r="U20" s="471" t="s">
        <v>47</v>
      </c>
      <c r="V20" s="470"/>
      <c r="W20" s="470"/>
      <c r="X20" s="470"/>
      <c r="Y20" s="468" t="s">
        <v>43</v>
      </c>
      <c r="Z20" s="468" t="s">
        <v>43</v>
      </c>
      <c r="AA20" s="471" t="s">
        <v>47</v>
      </c>
      <c r="AB20" s="471" t="s">
        <v>47</v>
      </c>
      <c r="AC20" s="470"/>
      <c r="AD20" s="470"/>
      <c r="AE20" s="470"/>
      <c r="AF20" s="470"/>
      <c r="AG20" s="474" t="s">
        <v>21</v>
      </c>
    </row>
    <row r="21" ht="22.5" customHeight="1">
      <c r="A21" s="468" t="s">
        <v>137</v>
      </c>
      <c r="B21" s="475" t="s">
        <v>138</v>
      </c>
      <c r="C21" s="468" t="s">
        <v>43</v>
      </c>
      <c r="D21" s="468" t="s">
        <v>43</v>
      </c>
      <c r="E21" s="468" t="s">
        <v>43</v>
      </c>
      <c r="F21" s="477"/>
      <c r="G21" s="471" t="s">
        <v>47</v>
      </c>
      <c r="H21" s="471" t="s">
        <v>47</v>
      </c>
      <c r="I21" s="477"/>
      <c r="J21" s="477"/>
      <c r="K21" s="477"/>
      <c r="L21" s="477"/>
      <c r="M21" s="477"/>
      <c r="N21" s="471" t="s">
        <v>47</v>
      </c>
      <c r="O21" s="471" t="s">
        <v>47</v>
      </c>
      <c r="P21" s="480"/>
      <c r="Q21" s="480"/>
      <c r="R21" s="480"/>
      <c r="S21" s="480"/>
      <c r="T21" s="480"/>
      <c r="U21" s="471" t="s">
        <v>47</v>
      </c>
      <c r="V21" s="471" t="s">
        <v>47</v>
      </c>
      <c r="W21" s="480"/>
      <c r="X21" s="480"/>
      <c r="Y21" s="480"/>
      <c r="Z21" s="480"/>
      <c r="AA21" s="480"/>
      <c r="AB21" s="471" t="s">
        <v>47</v>
      </c>
      <c r="AC21" s="471" t="s">
        <v>47</v>
      </c>
      <c r="AD21" s="480"/>
      <c r="AE21" s="480"/>
      <c r="AF21" s="480"/>
      <c r="AG21" s="483" t="s">
        <v>19</v>
      </c>
    </row>
    <row r="22" ht="22.5" customHeight="1">
      <c r="A22" s="468" t="s">
        <v>147</v>
      </c>
      <c r="B22" s="475" t="s">
        <v>148</v>
      </c>
      <c r="C22" s="482"/>
      <c r="D22" s="482"/>
      <c r="E22" s="470"/>
      <c r="F22" s="470"/>
      <c r="G22" s="471" t="s">
        <v>47</v>
      </c>
      <c r="H22" s="471" t="s">
        <v>47</v>
      </c>
      <c r="I22" s="468" t="s">
        <v>43</v>
      </c>
      <c r="J22" s="468" t="s">
        <v>43</v>
      </c>
      <c r="K22" s="470"/>
      <c r="L22" s="470"/>
      <c r="M22" s="468" t="s">
        <v>43</v>
      </c>
      <c r="N22" s="471" t="s">
        <v>47</v>
      </c>
      <c r="O22" s="471" t="s">
        <v>47</v>
      </c>
      <c r="P22" s="480"/>
      <c r="Q22" s="480"/>
      <c r="R22" s="470"/>
      <c r="S22" s="470"/>
      <c r="T22" s="468" t="s">
        <v>43</v>
      </c>
      <c r="U22" s="471" t="s">
        <v>47</v>
      </c>
      <c r="V22" s="471" t="s">
        <v>47</v>
      </c>
      <c r="W22" s="480"/>
      <c r="X22" s="480"/>
      <c r="Y22" s="470"/>
      <c r="Z22" s="470"/>
      <c r="AA22" s="470"/>
      <c r="AB22" s="471" t="s">
        <v>47</v>
      </c>
      <c r="AC22" s="471" t="s">
        <v>47</v>
      </c>
      <c r="AD22" s="473"/>
      <c r="AE22" s="482"/>
      <c r="AF22" s="470"/>
      <c r="AG22" s="474" t="s">
        <v>20</v>
      </c>
    </row>
    <row r="23" ht="22.5" customHeight="1">
      <c r="A23" s="468" t="s">
        <v>153</v>
      </c>
      <c r="B23" s="475" t="s">
        <v>154</v>
      </c>
      <c r="C23" s="489"/>
      <c r="D23" s="470"/>
      <c r="E23" s="470"/>
      <c r="F23" s="470"/>
      <c r="G23" s="468" t="s">
        <v>43</v>
      </c>
      <c r="H23" s="471" t="s">
        <v>47</v>
      </c>
      <c r="I23" s="471" t="s">
        <v>47</v>
      </c>
      <c r="J23" s="470"/>
      <c r="K23" s="470"/>
      <c r="L23" s="470"/>
      <c r="M23" s="470"/>
      <c r="N23" s="468" t="s">
        <v>43</v>
      </c>
      <c r="O23" s="471" t="s">
        <v>47</v>
      </c>
      <c r="P23" s="471" t="s">
        <v>47</v>
      </c>
      <c r="Q23" s="473"/>
      <c r="R23" s="470"/>
      <c r="S23" s="470"/>
      <c r="T23" s="470"/>
      <c r="U23" s="470"/>
      <c r="V23" s="471" t="s">
        <v>47</v>
      </c>
      <c r="W23" s="471" t="s">
        <v>47</v>
      </c>
      <c r="X23" s="470"/>
      <c r="Y23" s="470"/>
      <c r="Z23" s="468" t="s">
        <v>43</v>
      </c>
      <c r="AA23" s="468" t="s">
        <v>43</v>
      </c>
      <c r="AB23" s="477"/>
      <c r="AC23" s="471" t="s">
        <v>47</v>
      </c>
      <c r="AD23" s="471" t="s">
        <v>47</v>
      </c>
      <c r="AE23" s="470"/>
      <c r="AF23" s="470"/>
      <c r="AG23" s="474" t="s">
        <v>20</v>
      </c>
    </row>
    <row r="24" ht="22.5" customHeight="1">
      <c r="A24" s="468" t="s">
        <v>156</v>
      </c>
      <c r="B24" s="475" t="s">
        <v>157</v>
      </c>
      <c r="C24" s="470"/>
      <c r="D24" s="472"/>
      <c r="E24" s="468" t="s">
        <v>43</v>
      </c>
      <c r="F24" s="471" t="s">
        <v>47</v>
      </c>
      <c r="G24" s="471" t="s">
        <v>47</v>
      </c>
      <c r="H24" s="470"/>
      <c r="I24" s="470"/>
      <c r="J24" s="470"/>
      <c r="K24" s="470"/>
      <c r="L24" s="472"/>
      <c r="M24" s="471" t="s">
        <v>47</v>
      </c>
      <c r="N24" s="471" t="s">
        <v>47</v>
      </c>
      <c r="O24" s="470"/>
      <c r="P24" s="470"/>
      <c r="Q24" s="470"/>
      <c r="R24" s="470"/>
      <c r="S24" s="468" t="s">
        <v>43</v>
      </c>
      <c r="T24" s="471" t="s">
        <v>47</v>
      </c>
      <c r="U24" s="471" t="s">
        <v>47</v>
      </c>
      <c r="V24" s="468" t="s">
        <v>43</v>
      </c>
      <c r="W24" s="470"/>
      <c r="X24" s="470"/>
      <c r="Y24" s="470"/>
      <c r="Z24" s="472"/>
      <c r="AA24" s="471" t="s">
        <v>47</v>
      </c>
      <c r="AB24" s="471" t="s">
        <v>47</v>
      </c>
      <c r="AC24" s="470"/>
      <c r="AD24" s="470"/>
      <c r="AE24" s="470"/>
      <c r="AF24" s="470"/>
      <c r="AG24" s="474" t="s">
        <v>19</v>
      </c>
    </row>
    <row r="25" ht="22.5" customHeight="1">
      <c r="A25" s="468" t="s">
        <v>159</v>
      </c>
      <c r="B25" s="475" t="s">
        <v>160</v>
      </c>
      <c r="C25" s="470"/>
      <c r="D25" s="470"/>
      <c r="E25" s="470"/>
      <c r="F25" s="470"/>
      <c r="G25" s="470"/>
      <c r="H25" s="471" t="s">
        <v>47</v>
      </c>
      <c r="I25" s="471" t="s">
        <v>47</v>
      </c>
      <c r="J25" s="470"/>
      <c r="K25" s="470"/>
      <c r="L25" s="470"/>
      <c r="M25" s="470"/>
      <c r="N25" s="470"/>
      <c r="O25" s="471" t="s">
        <v>47</v>
      </c>
      <c r="P25" s="471" t="s">
        <v>47</v>
      </c>
      <c r="Q25" s="470"/>
      <c r="R25" s="470"/>
      <c r="S25" s="468" t="s">
        <v>43</v>
      </c>
      <c r="T25" s="470"/>
      <c r="U25" s="470"/>
      <c r="V25" s="471" t="s">
        <v>47</v>
      </c>
      <c r="W25" s="471" t="s">
        <v>47</v>
      </c>
      <c r="X25" s="470"/>
      <c r="Y25" s="470"/>
      <c r="Z25" s="470"/>
      <c r="AA25" s="470"/>
      <c r="AB25" s="470"/>
      <c r="AC25" s="471" t="s">
        <v>47</v>
      </c>
      <c r="AD25" s="471" t="s">
        <v>47</v>
      </c>
      <c r="AE25" s="473"/>
      <c r="AF25" s="470"/>
      <c r="AG25" s="474" t="s">
        <v>17</v>
      </c>
    </row>
    <row r="26" ht="22.5" customHeight="1">
      <c r="A26" s="468" t="s">
        <v>162</v>
      </c>
      <c r="B26" s="490" t="s">
        <v>163</v>
      </c>
      <c r="C26" s="471" t="s">
        <v>47</v>
      </c>
      <c r="D26" s="471" t="s">
        <v>47</v>
      </c>
      <c r="E26" s="470"/>
      <c r="F26" s="470"/>
      <c r="G26" s="470"/>
      <c r="H26" s="470"/>
      <c r="I26" s="470"/>
      <c r="J26" s="471" t="s">
        <v>47</v>
      </c>
      <c r="K26" s="471" t="s">
        <v>47</v>
      </c>
      <c r="L26" s="470"/>
      <c r="M26" s="470"/>
      <c r="N26" s="470"/>
      <c r="O26" s="468" t="s">
        <v>43</v>
      </c>
      <c r="P26" s="470"/>
      <c r="Q26" s="471" t="s">
        <v>47</v>
      </c>
      <c r="R26" s="471" t="s">
        <v>47</v>
      </c>
      <c r="S26" s="470"/>
      <c r="T26" s="470"/>
      <c r="U26" s="470"/>
      <c r="V26" s="470"/>
      <c r="W26" s="470"/>
      <c r="X26" s="471" t="s">
        <v>47</v>
      </c>
      <c r="Y26" s="471" t="s">
        <v>47</v>
      </c>
      <c r="Z26" s="470"/>
      <c r="AA26" s="470"/>
      <c r="AB26" s="470"/>
      <c r="AC26" s="470"/>
      <c r="AD26" s="470"/>
      <c r="AE26" s="471" t="s">
        <v>47</v>
      </c>
      <c r="AF26" s="471" t="s">
        <v>47</v>
      </c>
      <c r="AG26" s="474" t="s">
        <v>17</v>
      </c>
    </row>
    <row r="27" ht="22.5" customHeight="1">
      <c r="A27" s="468" t="s">
        <v>165</v>
      </c>
      <c r="B27" s="475" t="s">
        <v>166</v>
      </c>
      <c r="C27" s="471" t="s">
        <v>47</v>
      </c>
      <c r="D27" s="473"/>
      <c r="E27" s="491"/>
      <c r="F27" s="492"/>
      <c r="G27" s="492"/>
      <c r="H27" s="492"/>
      <c r="I27" s="471" t="s">
        <v>47</v>
      </c>
      <c r="J27" s="471" t="s">
        <v>47</v>
      </c>
      <c r="K27" s="468" t="s">
        <v>43</v>
      </c>
      <c r="L27" s="491"/>
      <c r="M27" s="492"/>
      <c r="N27" s="492"/>
      <c r="O27" s="492"/>
      <c r="P27" s="471" t="s">
        <v>47</v>
      </c>
      <c r="Q27" s="471" t="s">
        <v>47</v>
      </c>
      <c r="R27" s="473"/>
      <c r="S27" s="472"/>
      <c r="T27" s="492"/>
      <c r="U27" s="492"/>
      <c r="V27" s="492"/>
      <c r="W27" s="471" t="s">
        <v>47</v>
      </c>
      <c r="X27" s="471" t="s">
        <v>47</v>
      </c>
      <c r="Y27" s="470"/>
      <c r="Z27" s="492"/>
      <c r="AA27" s="492"/>
      <c r="AB27" s="470"/>
      <c r="AC27" s="470"/>
      <c r="AD27" s="471" t="s">
        <v>47</v>
      </c>
      <c r="AE27" s="471" t="s">
        <v>47</v>
      </c>
      <c r="AF27" s="473"/>
      <c r="AG27" s="474" t="s">
        <v>17</v>
      </c>
    </row>
    <row r="28" ht="22.5" customHeight="1">
      <c r="A28" s="468" t="s">
        <v>168</v>
      </c>
      <c r="B28" s="475" t="s">
        <v>169</v>
      </c>
      <c r="C28" s="471" t="s">
        <v>47</v>
      </c>
      <c r="D28" s="473"/>
      <c r="E28" s="470"/>
      <c r="F28" s="470"/>
      <c r="G28" s="470"/>
      <c r="H28" s="468" t="s">
        <v>43</v>
      </c>
      <c r="I28" s="471" t="s">
        <v>47</v>
      </c>
      <c r="J28" s="471" t="s">
        <v>47</v>
      </c>
      <c r="K28" s="470"/>
      <c r="L28" s="470"/>
      <c r="M28" s="470"/>
      <c r="N28" s="470"/>
      <c r="O28" s="468" t="s">
        <v>43</v>
      </c>
      <c r="P28" s="471" t="s">
        <v>47</v>
      </c>
      <c r="Q28" s="471" t="s">
        <v>47</v>
      </c>
      <c r="R28" s="470"/>
      <c r="S28" s="470"/>
      <c r="T28" s="470"/>
      <c r="U28" s="468" t="s">
        <v>43</v>
      </c>
      <c r="V28" s="468" t="s">
        <v>43</v>
      </c>
      <c r="W28" s="471" t="s">
        <v>47</v>
      </c>
      <c r="X28" s="471" t="s">
        <v>47</v>
      </c>
      <c r="Y28" s="472"/>
      <c r="Z28" s="470"/>
      <c r="AA28" s="470"/>
      <c r="AB28" s="470"/>
      <c r="AC28" s="468" t="s">
        <v>43</v>
      </c>
      <c r="AD28" s="471" t="s">
        <v>47</v>
      </c>
      <c r="AE28" s="471" t="s">
        <v>47</v>
      </c>
      <c r="AF28" s="470"/>
      <c r="AG28" s="474" t="s">
        <v>21</v>
      </c>
    </row>
    <row r="29" ht="22.5" customHeight="1">
      <c r="A29" s="468" t="s">
        <v>171</v>
      </c>
      <c r="B29" s="475" t="s">
        <v>172</v>
      </c>
      <c r="C29" s="484"/>
      <c r="D29" s="470"/>
      <c r="E29" s="470"/>
      <c r="F29" s="470"/>
      <c r="G29" s="470"/>
      <c r="H29" s="471" t="s">
        <v>47</v>
      </c>
      <c r="I29" s="471" t="s">
        <v>47</v>
      </c>
      <c r="J29" s="473"/>
      <c r="K29" s="470"/>
      <c r="L29" s="470"/>
      <c r="M29" s="468" t="s">
        <v>43</v>
      </c>
      <c r="N29" s="468" t="s">
        <v>43</v>
      </c>
      <c r="O29" s="471" t="s">
        <v>47</v>
      </c>
      <c r="P29" s="471" t="s">
        <v>47</v>
      </c>
      <c r="Q29" s="468" t="s">
        <v>43</v>
      </c>
      <c r="R29" s="468" t="s">
        <v>43</v>
      </c>
      <c r="S29" s="468" t="s">
        <v>43</v>
      </c>
      <c r="T29" s="468" t="s">
        <v>43</v>
      </c>
      <c r="U29" s="470"/>
      <c r="V29" s="471" t="s">
        <v>47</v>
      </c>
      <c r="W29" s="471" t="s">
        <v>47</v>
      </c>
      <c r="X29" s="472"/>
      <c r="Y29" s="472"/>
      <c r="Z29" s="477"/>
      <c r="AA29" s="477"/>
      <c r="AB29" s="477"/>
      <c r="AC29" s="471" t="s">
        <v>47</v>
      </c>
      <c r="AD29" s="471" t="s">
        <v>47</v>
      </c>
      <c r="AE29" s="470"/>
      <c r="AF29" s="470"/>
      <c r="AG29" s="474" t="s">
        <v>22</v>
      </c>
    </row>
    <row r="30" ht="22.5" customHeight="1">
      <c r="A30" s="493" t="s">
        <v>174</v>
      </c>
      <c r="B30" s="475" t="s">
        <v>175</v>
      </c>
      <c r="C30" s="471" t="s">
        <v>47</v>
      </c>
      <c r="D30" s="477"/>
      <c r="E30" s="477"/>
      <c r="F30" s="468" t="s">
        <v>43</v>
      </c>
      <c r="G30" s="492"/>
      <c r="H30" s="492"/>
      <c r="I30" s="471" t="s">
        <v>47</v>
      </c>
      <c r="J30" s="471" t="s">
        <v>47</v>
      </c>
      <c r="K30" s="473"/>
      <c r="L30" s="492"/>
      <c r="M30" s="470"/>
      <c r="N30" s="492"/>
      <c r="O30" s="492"/>
      <c r="P30" s="471" t="s">
        <v>47</v>
      </c>
      <c r="Q30" s="471" t="s">
        <v>47</v>
      </c>
      <c r="R30" s="470"/>
      <c r="S30" s="492"/>
      <c r="T30" s="492"/>
      <c r="U30" s="470"/>
      <c r="V30" s="470"/>
      <c r="W30" s="471" t="s">
        <v>47</v>
      </c>
      <c r="X30" s="471" t="s">
        <v>47</v>
      </c>
      <c r="Y30" s="488"/>
      <c r="Z30" s="470"/>
      <c r="AA30" s="470"/>
      <c r="AB30" s="492"/>
      <c r="AC30" s="470"/>
      <c r="AD30" s="471" t="s">
        <v>47</v>
      </c>
      <c r="AE30" s="471" t="s">
        <v>47</v>
      </c>
      <c r="AF30" s="468" t="s">
        <v>43</v>
      </c>
      <c r="AG30" s="47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