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2" sheetId="2" r:id="rId6"/>
    <sheet state="visible" name="ORIGIN MONTH 7" sheetId="3" r:id="rId7"/>
    <sheet state="visible" name="M0NTH7" sheetId="4" r:id="rId8"/>
    <sheet state="visible" name="ManPower7" sheetId="5" r:id="rId9"/>
  </sheets>
  <definedNames/>
  <calcPr/>
</workbook>
</file>

<file path=xl/sharedStrings.xml><?xml version="1.0" encoding="utf-8"?>
<sst xmlns="http://schemas.openxmlformats.org/spreadsheetml/2006/main" count="4570" uniqueCount="275">
  <si>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</si>
  <si>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</si>
  <si>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</si>
  <si>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</si>
  <si>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</si>
  <si>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</si>
  <si>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</si>
  <si>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</si>
  <si>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</si>
  <si>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</si>
  <si>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</si>
  <si>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</si>
  <si>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</si>
  <si>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</si>
  <si>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</si>
  <si>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</si>
  <si>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</si>
  <si>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</si>
  <si>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</si>
  <si>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</si>
  <si>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</si>
  <si>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</si>
  <si>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</si>
  <si>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</si>
  <si>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</si>
  <si>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</si>
  <si>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</si>
  <si>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</si>
  <si>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</si>
  <si>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</si>
  <si>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</si>
  <si>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</si>
  <si>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</si>
  <si>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</si>
  <si>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</si>
  <si>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</si>
  <si>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</si>
  <si>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</si>
  <si>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</si>
  <si>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</si>
  <si>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</si>
  <si>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</si>
  <si>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</si>
  <si>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</si>
  <si>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</si>
  <si>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</si>
  <si>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</si>
  <si>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</si>
  <si>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</si>
  <si>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</si>
  <si>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</si>
  <si>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</si>
  <si>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</si>
  <si>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</si>
  <si>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</si>
  <si>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</si>
  <si>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</si>
  <si>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</si>
  <si>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</si>
  <si>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</si>
  <si>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</si>
  <si>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</si>
  <si>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</si>
  <si>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</si>
  <si>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</si>
  <si>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</si>
  <si>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</si>
  <si>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</si>
  <si>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</si>
  <si>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</si>
  <si>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</si>
  <si>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</si>
  <si>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</si>
  <si>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</si>
  <si>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</si>
  <si>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</si>
  <si>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</si>
  <si>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</si>
  <si>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</si>
  <si>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</si>
  <si>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</si>
  <si>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</si>
  <si>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</si>
  <si>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</si>
  <si>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</si>
  <si>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</si>
  <si>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</si>
  <si>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</si>
  <si>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</si>
  <si>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</si>
  <si>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</si>
  <si>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</si>
  <si>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</si>
  <si>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</si>
  <si>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</si>
  <si>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</si>
  <si>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</si>
  <si>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</si>
  <si>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</si>
  <si>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</si>
  <si>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</si>
  <si>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</si>
  <si>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</si>
  <si>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</si>
  <si>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</si>
  <si>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</si>
  <si>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</si>
  <si>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</si>
  <si>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</si>
  <si>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</si>
  <si>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</si>
  <si>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</si>
  <si>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</si>
  <si>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</si>
  <si>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</si>
  <si>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</si>
  <si>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</si>
  <si>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</si>
  <si>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</si>
  <si>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</si>
  <si>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</si>
  <si>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</si>
  <si>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</si>
  <si>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</si>
  <si>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</si>
  <si>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</si>
  <si>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</si>
  <si>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</si>
  <si>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</si>
  <si>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</si>
  <si>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</si>
  <si>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</si>
  <si>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</si>
  <si>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</si>
  <si>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</si>
  <si>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</si>
  <si>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</si>
  <si>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</si>
  <si>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</si>
  <si>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</si>
  <si>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</si>
  <si>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</si>
  <si>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</si>
  <si>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</si>
  <si>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</si>
  <si>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</si>
  <si>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</si>
  <si>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</si>
  <si>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</si>
  <si>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</si>
  <si>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</si>
  <si>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</si>
  <si>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</si>
  <si>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</si>
  <si>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</si>
  <si>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</si>
  <si>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</si>
  <si>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</si>
  <si>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</si>
  <si>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</si>
  <si>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</si>
  <si>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</si>
  <si>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</si>
  <si>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</si>
  <si>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</si>
  <si>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</si>
  <si>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</si>
  <si>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</si>
  <si>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</si>
  <si>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</si>
  <si>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</si>
  <si>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</si>
  <si>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</si>
  <si>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</si>
  <si>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</si>
  <si>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</si>
  <si>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</si>
  <si>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</si>
  <si>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</si>
  <si>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</si>
  <si>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</si>
  <si>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</si>
  <si>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</si>
  <si>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</si>
  <si>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</si>
  <si>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</si>
  <si>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</si>
  <si>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</si>
  <si>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</si>
  <si>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</si>
  <si>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</si>
  <si>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</si>
  <si>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</si>
  <si>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</si>
  <si>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</si>
  <si>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</si>
  <si>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</si>
  <si>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</si>
  <si>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</si>
  <si>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</si>
  <si>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</si>
  <si>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</si>
  <si>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</si>
  <si>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</si>
  <si>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</si>
  <si>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</si>
  <si>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</si>
  <si>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</si>
  <si>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</si>
  <si>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</si>
  <si>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</si>
  <si>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</si>
  <si>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</si>
  <si>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</si>
  <si>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</si>
  <si>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</si>
  <si>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</si>
  <si>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</si>
  <si>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</si>
  <si>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</si>
  <si>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</si>
  <si>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</si>
  <si>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</si>
  <si>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</si>
  <si>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From Date  26/06/2026 to Date  25/07/2026</t>
  </si>
  <si>
    <t>Prepared by: MIN</t>
  </si>
  <si>
    <t>E .NAME</t>
  </si>
  <si>
    <t>Name</t>
  </si>
  <si>
    <t>29</t>
  </si>
  <si>
    <t>30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</si>
  <si>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</si>
  <si>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</si>
  <si>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</si>
  <si>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</si>
  <si>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</si>
  <si>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</si>
  <si>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</si>
  <si>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</si>
  <si>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</si>
  <si>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</si>
  <si>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</si>
  <si>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</si>
  <si>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</si>
  <si>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</si>
  <si>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</si>
  <si>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</si>
  <si>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</si>
  <si>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</si>
  <si>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</si>
  <si>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</si>
  <si>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</si>
  <si>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</si>
  <si>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</si>
  <si>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</si>
  <si>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</si>
  <si>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</si>
  <si>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</si>
  <si>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</si>
  <si>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</si>
  <si>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</si>
  <si>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</si>
  <si>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</si>
  <si>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</si>
  <si>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</si>
  <si>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</si>
  <si>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</si>
  <si>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</si>
  <si>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</si>
  <si>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</si>
  <si>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</si>
  <si>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</si>
  <si>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</si>
  <si>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</si>
  <si>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 xml:space="preserve">Yen Nhi </t>
  </si>
  <si>
    <t>*****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</si>
</sst>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0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i/>
      <sz val="9.0"/>
      <color rgb="FFFF0000"/>
      <name val="Calibri"/>
    </font>
    <font>
      <sz val="14.0"/>
      <color theme="1"/>
      <name val="Arial"/>
    </font>
    <font>
      <i/>
      <sz val="12.0"/>
      <color theme="1"/>
      <name val="Arial"/>
    </font>
    <font>
      <u/>
      <sz val="9.0"/>
      <color rgb="FFFF00FF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</fills>
  <borders count="46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/>
      <right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23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0" fillId="0" fontId="32" numFmtId="0" xfId="0" applyAlignment="1" applyFont="1">
      <alignment readingOrder="0"/>
    </xf>
    <xf borderId="0" fillId="0" fontId="32" numFmtId="164" xfId="0" applyAlignment="1" applyFont="1" applyNumberFormat="1">
      <alignment horizontal="center" readingOrder="0"/>
    </xf>
    <xf borderId="0" fillId="0" fontId="32" numFmtId="0" xfId="0" applyAlignment="1" applyFont="1">
      <alignment horizontal="center" readingOrder="0"/>
    </xf>
    <xf borderId="0" fillId="0" fontId="32" numFmtId="164" xfId="0" applyAlignment="1" applyFont="1" applyNumberFormat="1">
      <alignment readingOrder="0"/>
    </xf>
    <xf borderId="2" fillId="3" fontId="33" numFmtId="0" xfId="0" applyAlignment="1" applyBorder="1" applyFont="1">
      <alignment horizontal="left" vertical="center"/>
    </xf>
    <xf borderId="3" fillId="3" fontId="33" numFmtId="0" xfId="0" applyAlignment="1" applyBorder="1" applyFont="1">
      <alignment horizontal="center" readingOrder="0" vertical="center"/>
    </xf>
    <xf borderId="3" fillId="3" fontId="33" numFmtId="0" xfId="0" applyAlignment="1" applyBorder="1" applyFont="1">
      <alignment horizontal="center" vertical="center"/>
    </xf>
    <xf borderId="39" fillId="3" fontId="33" numFmtId="0" xfId="0" applyAlignment="1" applyBorder="1" applyFont="1">
      <alignment horizontal="center" vertical="center"/>
    </xf>
    <xf borderId="1" fillId="2" fontId="34" numFmtId="49" xfId="0" applyAlignment="1" applyBorder="1" applyFont="1" applyNumberFormat="1">
      <alignment horizontal="center" vertical="center"/>
    </xf>
    <xf borderId="1" fillId="2" fontId="34" numFmtId="0" xfId="0" applyAlignment="1" applyBorder="1" applyFont="1">
      <alignment horizontal="center" vertical="center"/>
    </xf>
    <xf borderId="1" fillId="2" fontId="34" numFmtId="0" xfId="0" applyAlignment="1" applyBorder="1" applyFont="1">
      <alignment vertical="center"/>
    </xf>
    <xf borderId="40" fillId="2" fontId="35" numFmtId="0" xfId="0" applyAlignment="1" applyBorder="1" applyFont="1">
      <alignment horizontal="left"/>
    </xf>
    <xf borderId="40" fillId="3" fontId="35" numFmtId="0" xfId="0" applyBorder="1" applyFont="1"/>
    <xf borderId="40" fillId="2" fontId="31" numFmtId="0" xfId="0" applyAlignment="1" applyBorder="1" applyFont="1">
      <alignment readingOrder="0" vertical="center"/>
    </xf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readingOrder="0" vertical="center"/>
    </xf>
    <xf borderId="42" fillId="0" fontId="3" numFmtId="0" xfId="0" applyBorder="1" applyFont="1"/>
    <xf borderId="40" fillId="3" fontId="35" numFmtId="49" xfId="0" applyAlignment="1" applyBorder="1" applyFont="1" applyNumberFormat="1">
      <alignment horizontal="center" vertical="center"/>
    </xf>
    <xf borderId="1" fillId="3" fontId="35" numFmtId="49" xfId="0" applyAlignment="1" applyBorder="1" applyFont="1" applyNumberFormat="1">
      <alignment horizontal="center" vertical="center"/>
    </xf>
    <xf borderId="1" fillId="3" fontId="35" numFmtId="0" xfId="0" applyAlignment="1" applyBorder="1" applyFont="1">
      <alignment horizontal="center" vertical="center"/>
    </xf>
    <xf borderId="1" fillId="3" fontId="35" numFmtId="0" xfId="0" applyAlignment="1" applyBorder="1" applyFont="1">
      <alignment vertical="center"/>
    </xf>
    <xf borderId="11" fillId="2" fontId="6" numFmtId="0" xfId="0" applyAlignment="1" applyBorder="1" applyFont="1">
      <alignment horizontal="left" readingOrder="0" vertical="center"/>
    </xf>
    <xf borderId="11" fillId="2" fontId="8" numFmtId="49" xfId="0" applyAlignment="1" applyBorder="1" applyFont="1" applyNumberFormat="1">
      <alignment horizontal="center" shrinkToFit="0" vertical="center" wrapText="1"/>
    </xf>
    <xf borderId="11" fillId="2" fontId="9" numFmtId="49" xfId="0" applyAlignment="1" applyBorder="1" applyFont="1" applyNumberFormat="1">
      <alignment horizontal="center" readingOrder="0" shrinkToFit="0" vertical="center" wrapText="1"/>
    </xf>
    <xf borderId="11" fillId="3" fontId="6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11" fillId="2" fontId="8" numFmtId="49" xfId="0" applyAlignment="1" applyBorder="1" applyFont="1" applyNumberFormat="1">
      <alignment horizontal="center" readingOrder="0" shrinkToFit="0" vertical="center" wrapText="1"/>
    </xf>
    <xf borderId="11" fillId="3" fontId="6" numFmtId="49" xfId="0" applyAlignment="1" applyBorder="1" applyFont="1" applyNumberFormat="1">
      <alignment horizontal="center" readingOrder="0" vertical="center"/>
    </xf>
    <xf borderId="11" fillId="2" fontId="6" numFmtId="49" xfId="0" applyAlignment="1" applyBorder="1" applyFont="1" applyNumberFormat="1">
      <alignment horizontal="left" readingOrder="0" vertical="center"/>
    </xf>
    <xf borderId="11" fillId="2" fontId="15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readingOrder="0" vertical="center"/>
    </xf>
    <xf borderId="11" fillId="4" fontId="13" numFmtId="49" xfId="0" applyAlignment="1" applyBorder="1" applyFont="1" applyNumberFormat="1">
      <alignment horizontal="center" readingOrder="0" vertical="center"/>
    </xf>
    <xf borderId="11" fillId="2" fontId="13" numFmtId="0" xfId="0" applyAlignment="1" applyBorder="1" applyFont="1">
      <alignment horizontal="center" readingOrder="0" vertical="center"/>
    </xf>
    <xf borderId="11" fillId="2" fontId="36" numFmtId="0" xfId="0" applyAlignment="1" applyBorder="1" applyFont="1">
      <alignment horizontal="left" vertical="center"/>
    </xf>
    <xf borderId="11" fillId="0" fontId="37" numFmtId="49" xfId="0" applyAlignment="1" applyBorder="1" applyFont="1" applyNumberFormat="1">
      <alignment horizontal="center" vertical="center"/>
    </xf>
    <xf borderId="11" fillId="2" fontId="38" numFmtId="49" xfId="0" applyAlignment="1" applyBorder="1" applyFont="1" applyNumberFormat="1">
      <alignment horizontal="center" readingOrder="0" vertical="center"/>
    </xf>
    <xf borderId="11" fillId="0" fontId="39" numFmtId="49" xfId="0" applyAlignment="1" applyBorder="1" applyFont="1" applyNumberFormat="1">
      <alignment vertical="center"/>
    </xf>
    <xf borderId="11" fillId="2" fontId="15" numFmtId="0" xfId="0" applyAlignment="1" applyBorder="1" applyFont="1">
      <alignment horizontal="left" vertical="center"/>
    </xf>
    <xf borderId="11" fillId="2" fontId="13" numFmtId="0" xfId="0" applyAlignment="1" applyBorder="1" applyFont="1">
      <alignment horizontal="center" readingOrder="0" shrinkToFit="0" vertical="center" wrapText="1"/>
    </xf>
    <xf borderId="11" fillId="2" fontId="6" numFmtId="0" xfId="0" applyAlignment="1" applyBorder="1" applyFont="1">
      <alignment horizontal="left" readingOrder="0"/>
    </xf>
    <xf borderId="11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horizontal="center" readingOrder="0" vertical="center"/>
    </xf>
    <xf borderId="11" fillId="2" fontId="15" numFmtId="0" xfId="0" applyAlignment="1" applyBorder="1" applyFont="1">
      <alignment horizontal="left" readingOrder="0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43" fillId="2" fontId="25" numFmtId="0" xfId="0" applyAlignment="1" applyBorder="1" applyFont="1">
      <alignment vertical="center"/>
    </xf>
    <xf borderId="0" fillId="2" fontId="26" numFmtId="0" xfId="0" applyAlignment="1" applyFont="1">
      <alignment horizontal="left" shrinkToFit="0" wrapText="1"/>
    </xf>
    <xf borderId="43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1" fillId="2" fontId="1" numFmtId="0" xfId="0" applyAlignment="1" applyBorder="1" applyFont="1">
      <alignment horizontal="left"/>
    </xf>
    <xf borderId="6" fillId="2" fontId="9" numFmtId="49" xfId="0" applyAlignment="1" applyBorder="1" applyFont="1" applyNumberFormat="1">
      <alignment horizontal="center" vertical="center"/>
    </xf>
    <xf borderId="44" fillId="2" fontId="9" numFmtId="49" xfId="0" applyAlignment="1" applyBorder="1" applyFont="1" applyNumberFormat="1">
      <alignment horizontal="center" readingOrder="0" vertical="center"/>
    </xf>
    <xf borderId="11" fillId="14" fontId="6" numFmtId="49" xfId="0" applyAlignment="1" applyBorder="1" applyFont="1" applyNumberFormat="1">
      <alignment horizontal="center" vertical="center"/>
    </xf>
    <xf borderId="11" fillId="14" fontId="6" numFmtId="49" xfId="0" applyAlignment="1" applyBorder="1" applyFont="1" applyNumberFormat="1">
      <alignment horizontal="center" readingOrder="0" vertical="center"/>
    </xf>
    <xf borderId="11" fillId="2" fontId="28" numFmtId="0" xfId="0" applyAlignment="1" applyBorder="1" applyFont="1">
      <alignment horizontal="center" vertical="center"/>
    </xf>
    <xf borderId="11" fillId="2" fontId="28" numFmtId="49" xfId="0" applyAlignment="1" applyBorder="1" applyFont="1" applyNumberFormat="1">
      <alignment horizontal="center" vertical="center"/>
    </xf>
    <xf borderId="11" fillId="2" fontId="28" numFmtId="1" xfId="0" applyAlignment="1" applyBorder="1" applyFont="1" applyNumberFormat="1">
      <alignment horizontal="center" vertical="center"/>
    </xf>
    <xf borderId="11" fillId="3" fontId="31" numFmtId="0" xfId="0" applyAlignment="1" applyBorder="1" applyFont="1">
      <alignment horizontal="center" vertical="center"/>
    </xf>
    <xf borderId="45" fillId="2" fontId="25" numFmtId="0" xfId="0" applyAlignment="1" applyBorder="1" applyFont="1">
      <alignment vertical="center"/>
    </xf>
    <xf borderId="1" fillId="2" fontId="25" numFmtId="0" xfId="0" applyAlignment="1" applyBorder="1" applyFont="1">
      <alignment vertical="center"/>
    </xf>
    <xf borderId="0" fillId="2" fontId="32" numFmtId="0" xfId="0" applyAlignment="1" applyFont="1">
      <alignment horizontal="left"/>
    </xf>
    <xf borderId="0" fillId="2" fontId="32" numFmtId="0" xfId="0" applyFont="1"/>
    <xf borderId="11" fillId="0" fontId="32" numFmtId="0" xfId="0" applyAlignment="1" applyBorder="1" applyFont="1">
      <alignment horizontal="center"/>
    </xf>
    <xf borderId="11" fillId="0" fontId="32" numFmtId="49" xfId="0" applyAlignment="1" applyBorder="1" applyFont="1" applyNumberFormat="1">
      <alignment horizontal="center"/>
    </xf>
    <xf borderId="11" fillId="0" fontId="32" numFmtId="49" xfId="0" applyBorder="1" applyFont="1" applyNumberFormat="1"/>
    <xf borderId="11" fillId="0" fontId="32" numFmtId="0" xfId="0" applyBorder="1" applyFont="1"/>
    <xf borderId="0" fillId="0" fontId="32" numFmtId="0" xfId="0" applyAlignment="1" applyFont="1">
      <alignment horizontal="center"/>
    </xf>
    <xf borderId="11" fillId="0" fontId="32" numFmtId="1" xfId="0" applyAlignment="1" applyBorder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189</v>
      </c>
      <c r="B1" s="162">
        <v>46210.0</v>
      </c>
    </row>
    <row r="2">
      <c r="A2" s="161" t="s">
        <v>190</v>
      </c>
      <c r="B2" s="163" t="s">
        <v>191</v>
      </c>
    </row>
    <row r="3">
      <c r="A3" s="161" t="s">
        <v>192</v>
      </c>
      <c r="B3" s="163" t="s">
        <v>193</v>
      </c>
    </row>
    <row r="4">
      <c r="A4" s="161" t="s">
        <v>194</v>
      </c>
      <c r="B4" s="164">
        <v>46363.0</v>
      </c>
    </row>
    <row r="5">
      <c r="A5" s="161" t="s">
        <v>195</v>
      </c>
      <c r="B5" s="161" t="s">
        <v>196</v>
      </c>
    </row>
    <row r="6">
      <c r="A6" s="161" t="s">
        <v>197</v>
      </c>
      <c r="B6" s="161" t="s">
        <v>198</v>
      </c>
    </row>
    <row r="7">
      <c r="A7" s="161" t="s">
        <v>147</v>
      </c>
      <c r="B7" s="161" t="s">
        <v>199</v>
      </c>
    </row>
    <row r="8">
      <c r="A8" s="161" t="s">
        <v>200</v>
      </c>
      <c r="B8" s="161" t="s">
        <v>201</v>
      </c>
    </row>
    <row r="9">
      <c r="A9" s="161" t="s">
        <v>202</v>
      </c>
      <c r="B9" s="161" t="s">
        <v>203</v>
      </c>
    </row>
    <row r="10">
      <c r="A10" s="161" t="s">
        <v>204</v>
      </c>
      <c r="B10" s="161" t="s">
        <v>205</v>
      </c>
    </row>
    <row r="11">
      <c r="A11" s="161" t="s">
        <v>206</v>
      </c>
      <c r="B11" s="161" t="s">
        <v>207</v>
      </c>
    </row>
    <row r="12">
      <c r="A12" s="161" t="s">
        <v>208</v>
      </c>
      <c r="B12" s="161" t="s">
        <v>209</v>
      </c>
    </row>
    <row r="13">
      <c r="A13" s="161" t="s">
        <v>210</v>
      </c>
      <c r="B13" s="161" t="s">
        <v>211</v>
      </c>
      <c r="C13" s="161" t="s">
        <v>212</v>
      </c>
    </row>
    <row r="14">
      <c r="B14" s="161" t="s">
        <v>213</v>
      </c>
      <c r="C14" s="161" t="s">
        <v>214</v>
      </c>
    </row>
    <row r="15">
      <c r="A15" s="161" t="s">
        <v>215</v>
      </c>
      <c r="B15" s="164">
        <v>46060.0</v>
      </c>
      <c r="C15" s="161" t="s">
        <v>212</v>
      </c>
    </row>
    <row r="16">
      <c r="B16" s="164">
        <v>46088.0</v>
      </c>
      <c r="C16" s="161" t="s">
        <v>214</v>
      </c>
    </row>
    <row r="17">
      <c r="A17" s="161" t="s">
        <v>216</v>
      </c>
      <c r="B17" s="161" t="s">
        <v>217</v>
      </c>
      <c r="C17" s="161" t="s">
        <v>214</v>
      </c>
    </row>
    <row r="18">
      <c r="B18" s="164">
        <v>46241.0</v>
      </c>
      <c r="C18" s="161" t="s">
        <v>212</v>
      </c>
    </row>
    <row r="19">
      <c r="A19" s="161" t="s">
        <v>218</v>
      </c>
      <c r="B19" s="161" t="s">
        <v>219</v>
      </c>
      <c r="C19" s="161" t="s">
        <v>214</v>
      </c>
    </row>
    <row r="20">
      <c r="B20" s="161" t="s">
        <v>220</v>
      </c>
      <c r="C20" s="161" t="s">
        <v>212</v>
      </c>
    </row>
    <row r="21">
      <c r="A21" s="161" t="s">
        <v>221</v>
      </c>
      <c r="B21" s="161" t="s">
        <v>222</v>
      </c>
      <c r="C21" s="161" t="s">
        <v>212</v>
      </c>
    </row>
    <row r="22">
      <c r="B22" s="161" t="s">
        <v>213</v>
      </c>
      <c r="C22" s="161" t="s">
        <v>214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4.25"/>
    <col customWidth="1" min="3" max="3" width="9.25"/>
    <col customWidth="1" min="4" max="33" width="4.5"/>
    <col customWidth="1" min="34" max="34" width="3.63"/>
    <col customWidth="1" min="35" max="42" width="3.75"/>
    <col customWidth="1" min="43" max="47" width="8.0"/>
  </cols>
  <sheetData>
    <row r="1" ht="21.0" customHeight="1">
      <c r="A1" s="165"/>
      <c r="B1" s="166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6" t="s">
        <v>223</v>
      </c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8"/>
      <c r="AH1" s="169"/>
      <c r="AI1" s="169"/>
      <c r="AJ1" s="169"/>
      <c r="AK1" s="170"/>
      <c r="AL1" s="170"/>
      <c r="AM1" s="170"/>
      <c r="AN1" s="171"/>
      <c r="AO1" s="171"/>
      <c r="AP1" s="171"/>
      <c r="AQ1" s="171"/>
      <c r="AR1" s="171"/>
      <c r="AS1" s="171"/>
      <c r="AT1" s="171"/>
      <c r="AU1" s="171"/>
    </row>
    <row r="2" ht="15.0" customHeight="1">
      <c r="A2" s="172"/>
      <c r="B2" s="173"/>
      <c r="C2" s="174" t="s">
        <v>224</v>
      </c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6" t="s">
        <v>225</v>
      </c>
      <c r="U2" s="177"/>
      <c r="V2" s="177"/>
      <c r="W2" s="177"/>
      <c r="X2" s="177"/>
      <c r="Y2" s="177"/>
      <c r="Z2" s="177"/>
      <c r="AA2" s="177"/>
      <c r="AB2" s="178"/>
      <c r="AC2" s="178"/>
      <c r="AD2" s="178"/>
      <c r="AE2" s="178"/>
      <c r="AF2" s="178"/>
      <c r="AG2" s="178"/>
      <c r="AH2" s="179"/>
      <c r="AI2" s="179"/>
      <c r="AJ2" s="179"/>
      <c r="AK2" s="180"/>
      <c r="AL2" s="180"/>
      <c r="AM2" s="180"/>
      <c r="AN2" s="181"/>
      <c r="AO2" s="181"/>
      <c r="AP2" s="181"/>
      <c r="AQ2" s="181"/>
      <c r="AR2" s="181"/>
      <c r="AS2" s="181"/>
      <c r="AT2" s="181"/>
      <c r="AU2" s="181"/>
    </row>
    <row r="3" ht="12.0" customHeight="1">
      <c r="A3" s="182" t="s">
        <v>226</v>
      </c>
      <c r="B3" s="183" t="s">
        <v>5</v>
      </c>
      <c r="C3" s="184" t="s">
        <v>227</v>
      </c>
      <c r="D3" s="185" t="s">
        <v>8</v>
      </c>
      <c r="E3" s="185" t="s">
        <v>9</v>
      </c>
      <c r="F3" s="185" t="s">
        <v>10</v>
      </c>
      <c r="G3" s="185" t="s">
        <v>11</v>
      </c>
      <c r="H3" s="185" t="s">
        <v>12</v>
      </c>
      <c r="I3" s="185" t="s">
        <v>13</v>
      </c>
      <c r="J3" s="185" t="s">
        <v>7</v>
      </c>
      <c r="K3" s="185" t="s">
        <v>8</v>
      </c>
      <c r="L3" s="185" t="s">
        <v>9</v>
      </c>
      <c r="M3" s="185" t="s">
        <v>10</v>
      </c>
      <c r="N3" s="185" t="s">
        <v>11</v>
      </c>
      <c r="O3" s="185" t="s">
        <v>12</v>
      </c>
      <c r="P3" s="185" t="s">
        <v>13</v>
      </c>
      <c r="Q3" s="185" t="s">
        <v>7</v>
      </c>
      <c r="R3" s="185" t="s">
        <v>8</v>
      </c>
      <c r="S3" s="185" t="s">
        <v>9</v>
      </c>
      <c r="T3" s="185" t="s">
        <v>10</v>
      </c>
      <c r="U3" s="185" t="s">
        <v>11</v>
      </c>
      <c r="V3" s="185" t="s">
        <v>12</v>
      </c>
      <c r="W3" s="185" t="s">
        <v>13</v>
      </c>
      <c r="X3" s="185" t="s">
        <v>7</v>
      </c>
      <c r="Y3" s="185" t="s">
        <v>8</v>
      </c>
      <c r="Z3" s="185" t="s">
        <v>9</v>
      </c>
      <c r="AA3" s="185" t="s">
        <v>10</v>
      </c>
      <c r="AB3" s="185" t="s">
        <v>11</v>
      </c>
      <c r="AC3" s="185" t="s">
        <v>12</v>
      </c>
      <c r="AD3" s="185" t="s">
        <v>13</v>
      </c>
      <c r="AE3" s="185" t="s">
        <v>7</v>
      </c>
      <c r="AF3" s="185" t="s">
        <v>8</v>
      </c>
      <c r="AG3" s="185" t="s">
        <v>9</v>
      </c>
      <c r="AH3" s="186"/>
      <c r="AI3" s="20"/>
      <c r="AJ3" s="20"/>
      <c r="AK3" s="21"/>
      <c r="AL3" s="21"/>
      <c r="AM3" s="21"/>
      <c r="AN3" s="22"/>
      <c r="AO3" s="22"/>
      <c r="AP3" s="22"/>
      <c r="AQ3" s="22"/>
      <c r="AR3" s="22"/>
      <c r="AS3" s="22"/>
      <c r="AT3" s="22"/>
      <c r="AU3" s="22"/>
    </row>
    <row r="4" ht="14.25" customHeight="1">
      <c r="A4" s="182"/>
      <c r="B4" s="187"/>
      <c r="C4" s="184"/>
      <c r="D4" s="185" t="s">
        <v>14</v>
      </c>
      <c r="E4" s="185" t="s">
        <v>15</v>
      </c>
      <c r="F4" s="185" t="s">
        <v>16</v>
      </c>
      <c r="G4" s="185" t="s">
        <v>228</v>
      </c>
      <c r="H4" s="185" t="s">
        <v>229</v>
      </c>
      <c r="I4" s="188" t="s">
        <v>17</v>
      </c>
      <c r="J4" s="188" t="s">
        <v>18</v>
      </c>
      <c r="K4" s="188" t="s">
        <v>19</v>
      </c>
      <c r="L4" s="188" t="s">
        <v>20</v>
      </c>
      <c r="M4" s="188" t="s">
        <v>21</v>
      </c>
      <c r="N4" s="188" t="s">
        <v>22</v>
      </c>
      <c r="O4" s="188" t="s">
        <v>23</v>
      </c>
      <c r="P4" s="188" t="s">
        <v>24</v>
      </c>
      <c r="Q4" s="188" t="s">
        <v>25</v>
      </c>
      <c r="R4" s="188" t="s">
        <v>26</v>
      </c>
      <c r="S4" s="188" t="s">
        <v>27</v>
      </c>
      <c r="T4" s="188" t="s">
        <v>28</v>
      </c>
      <c r="U4" s="188" t="s">
        <v>29</v>
      </c>
      <c r="V4" s="188" t="s">
        <v>30</v>
      </c>
      <c r="W4" s="188" t="s">
        <v>31</v>
      </c>
      <c r="X4" s="188" t="s">
        <v>32</v>
      </c>
      <c r="Y4" s="188" t="s">
        <v>33</v>
      </c>
      <c r="Z4" s="188" t="s">
        <v>34</v>
      </c>
      <c r="AA4" s="188" t="s">
        <v>35</v>
      </c>
      <c r="AB4" s="188" t="s">
        <v>36</v>
      </c>
      <c r="AC4" s="188" t="s">
        <v>37</v>
      </c>
      <c r="AD4" s="188" t="s">
        <v>38</v>
      </c>
      <c r="AE4" s="188" t="s">
        <v>39</v>
      </c>
      <c r="AF4" s="188" t="s">
        <v>40</v>
      </c>
      <c r="AG4" s="188" t="s">
        <v>41</v>
      </c>
      <c r="AH4" s="25"/>
      <c r="AI4" s="26" t="s">
        <v>42</v>
      </c>
      <c r="AJ4" s="27" t="s">
        <v>43</v>
      </c>
      <c r="AK4" s="27" t="s">
        <v>44</v>
      </c>
      <c r="AL4" s="28" t="s">
        <v>45</v>
      </c>
      <c r="AM4" s="29" t="s">
        <v>46</v>
      </c>
      <c r="AN4" s="30" t="s">
        <v>47</v>
      </c>
      <c r="AO4" s="31" t="s">
        <v>48</v>
      </c>
      <c r="AP4" s="32" t="s">
        <v>49</v>
      </c>
      <c r="AQ4" s="33"/>
      <c r="AR4" s="33"/>
      <c r="AS4" s="33"/>
      <c r="AT4" s="33"/>
      <c r="AU4" s="33"/>
    </row>
    <row r="5" ht="18.75" customHeight="1">
      <c r="A5" s="189" t="s">
        <v>230</v>
      </c>
      <c r="B5" s="54" t="s">
        <v>59</v>
      </c>
      <c r="C5" s="190" t="s">
        <v>60</v>
      </c>
      <c r="D5" s="191" t="s">
        <v>47</v>
      </c>
      <c r="E5" s="192" t="s">
        <v>53</v>
      </c>
      <c r="F5" s="192" t="s">
        <v>53</v>
      </c>
      <c r="G5" s="191" t="s">
        <v>47</v>
      </c>
      <c r="H5" s="191" t="s">
        <v>47</v>
      </c>
      <c r="I5" s="191" t="s">
        <v>47</v>
      </c>
      <c r="J5" s="191" t="s">
        <v>47</v>
      </c>
      <c r="K5" s="191" t="s">
        <v>47</v>
      </c>
      <c r="L5" s="192" t="s">
        <v>53</v>
      </c>
      <c r="M5" s="192" t="s">
        <v>53</v>
      </c>
      <c r="N5" s="191" t="s">
        <v>47</v>
      </c>
      <c r="O5" s="191" t="s">
        <v>47</v>
      </c>
      <c r="P5" s="191" t="s">
        <v>47</v>
      </c>
      <c r="Q5" s="191" t="s">
        <v>47</v>
      </c>
      <c r="R5" s="191" t="s">
        <v>47</v>
      </c>
      <c r="S5" s="192" t="s">
        <v>53</v>
      </c>
      <c r="T5" s="192" t="s">
        <v>53</v>
      </c>
      <c r="U5" s="191" t="s">
        <v>47</v>
      </c>
      <c r="V5" s="191" t="s">
        <v>47</v>
      </c>
      <c r="W5" s="191" t="s">
        <v>47</v>
      </c>
      <c r="X5" s="191" t="s">
        <v>47</v>
      </c>
      <c r="Y5" s="193" t="s">
        <v>47</v>
      </c>
      <c r="Z5" s="192" t="s">
        <v>53</v>
      </c>
      <c r="AA5" s="192" t="s">
        <v>53</v>
      </c>
      <c r="AB5" s="191" t="s">
        <v>47</v>
      </c>
      <c r="AC5" s="191" t="s">
        <v>47</v>
      </c>
      <c r="AD5" s="191" t="s">
        <v>47</v>
      </c>
      <c r="AE5" s="191" t="s">
        <v>47</v>
      </c>
      <c r="AF5" s="191" t="s">
        <v>47</v>
      </c>
      <c r="AG5" s="192" t="s">
        <v>53</v>
      </c>
      <c r="AH5" s="25"/>
      <c r="AI5" s="47">
        <f t="shared" ref="AI5:AI46" si="2">SUM(AJ5:AK5)</f>
        <v>0</v>
      </c>
      <c r="AJ5" s="48">
        <f t="shared" ref="AJ5:AJ46" si="3">COUNTIF($D5:$AE5,"D5")</f>
        <v>0</v>
      </c>
      <c r="AK5" s="48">
        <f t="shared" ref="AK5:AK46" si="4">COUNTIF($D5:$AE5,"C6")</f>
        <v>0</v>
      </c>
      <c r="AL5" s="49">
        <f t="shared" ref="AL5:AL46" si="5">COUNTIF($D5:$AE5,"B5")</f>
        <v>0</v>
      </c>
      <c r="AM5" s="50">
        <f t="shared" ref="AM5:AM46" si="6">COUNTIF($D5:$AE5,"A8")</f>
        <v>0</v>
      </c>
      <c r="AN5" s="51">
        <f t="shared" ref="AN5:AN46" si="7">COUNTIF($D5:$AE5,"A2")</f>
        <v>20</v>
      </c>
      <c r="AO5" s="52">
        <f t="shared" ref="AO5:AP5" si="1">COUNTIF($D5:$AE5,"PH")</f>
        <v>0</v>
      </c>
      <c r="AP5" s="52">
        <f t="shared" si="1"/>
        <v>0</v>
      </c>
      <c r="AQ5" s="67"/>
      <c r="AR5" s="67"/>
      <c r="AS5" s="67"/>
      <c r="AT5" s="67"/>
      <c r="AU5" s="67"/>
    </row>
    <row r="6" ht="18.75" customHeight="1">
      <c r="A6" s="189" t="s">
        <v>231</v>
      </c>
      <c r="B6" s="54" t="s">
        <v>62</v>
      </c>
      <c r="C6" s="194" t="s">
        <v>63</v>
      </c>
      <c r="D6" s="191" t="s">
        <v>47</v>
      </c>
      <c r="E6" s="192" t="s">
        <v>53</v>
      </c>
      <c r="F6" s="192" t="s">
        <v>53</v>
      </c>
      <c r="G6" s="191" t="s">
        <v>47</v>
      </c>
      <c r="H6" s="191" t="s">
        <v>47</v>
      </c>
      <c r="I6" s="191" t="s">
        <v>47</v>
      </c>
      <c r="J6" s="191" t="s">
        <v>47</v>
      </c>
      <c r="K6" s="193" t="s">
        <v>47</v>
      </c>
      <c r="L6" s="192" t="s">
        <v>53</v>
      </c>
      <c r="M6" s="192" t="s">
        <v>53</v>
      </c>
      <c r="N6" s="191" t="s">
        <v>47</v>
      </c>
      <c r="O6" s="191" t="s">
        <v>47</v>
      </c>
      <c r="P6" s="191" t="s">
        <v>47</v>
      </c>
      <c r="Q6" s="191" t="s">
        <v>47</v>
      </c>
      <c r="R6" s="191" t="s">
        <v>47</v>
      </c>
      <c r="S6" s="192" t="s">
        <v>53</v>
      </c>
      <c r="T6" s="192" t="s">
        <v>53</v>
      </c>
      <c r="U6" s="191" t="s">
        <v>47</v>
      </c>
      <c r="V6" s="191" t="s">
        <v>47</v>
      </c>
      <c r="W6" s="191" t="s">
        <v>47</v>
      </c>
      <c r="X6" s="191" t="s">
        <v>47</v>
      </c>
      <c r="Y6" s="191" t="s">
        <v>47</v>
      </c>
      <c r="Z6" s="192" t="s">
        <v>53</v>
      </c>
      <c r="AA6" s="192" t="s">
        <v>53</v>
      </c>
      <c r="AB6" s="191" t="s">
        <v>47</v>
      </c>
      <c r="AC6" s="191" t="s">
        <v>47</v>
      </c>
      <c r="AD6" s="191" t="s">
        <v>47</v>
      </c>
      <c r="AE6" s="191" t="s">
        <v>47</v>
      </c>
      <c r="AF6" s="191" t="s">
        <v>47</v>
      </c>
      <c r="AG6" s="192" t="s">
        <v>53</v>
      </c>
      <c r="AH6" s="25"/>
      <c r="AI6" s="47">
        <f t="shared" si="2"/>
        <v>0</v>
      </c>
      <c r="AJ6" s="48">
        <f t="shared" si="3"/>
        <v>0</v>
      </c>
      <c r="AK6" s="48">
        <f t="shared" si="4"/>
        <v>0</v>
      </c>
      <c r="AL6" s="49">
        <f t="shared" si="5"/>
        <v>0</v>
      </c>
      <c r="AM6" s="50">
        <f t="shared" si="6"/>
        <v>0</v>
      </c>
      <c r="AN6" s="51">
        <f t="shared" si="7"/>
        <v>20</v>
      </c>
      <c r="AO6" s="52">
        <f t="shared" ref="AO6:AO46" si="8">COUNTIF($D6:$AE6,"AL")</f>
        <v>0</v>
      </c>
      <c r="AP6" s="52">
        <f t="shared" ref="AP6:AP46" si="9">COUNTIF($D6:$AE6,"PH")</f>
        <v>0</v>
      </c>
      <c r="AQ6" s="67"/>
      <c r="AR6" s="67"/>
      <c r="AS6" s="67"/>
      <c r="AT6" s="67"/>
      <c r="AU6" s="67"/>
    </row>
    <row r="7" ht="18.75" customHeight="1">
      <c r="A7" s="189" t="s">
        <v>232</v>
      </c>
      <c r="B7" s="54" t="s">
        <v>65</v>
      </c>
      <c r="C7" s="190" t="s">
        <v>66</v>
      </c>
      <c r="D7" s="193" t="s">
        <v>47</v>
      </c>
      <c r="E7" s="193" t="s">
        <v>47</v>
      </c>
      <c r="F7" s="192" t="s">
        <v>53</v>
      </c>
      <c r="G7" s="192" t="s">
        <v>53</v>
      </c>
      <c r="H7" s="191" t="s">
        <v>47</v>
      </c>
      <c r="I7" s="191" t="s">
        <v>47</v>
      </c>
      <c r="J7" s="191" t="s">
        <v>47</v>
      </c>
      <c r="K7" s="191" t="s">
        <v>47</v>
      </c>
      <c r="L7" s="191" t="s">
        <v>47</v>
      </c>
      <c r="M7" s="192" t="s">
        <v>53</v>
      </c>
      <c r="N7" s="192" t="s">
        <v>53</v>
      </c>
      <c r="O7" s="191" t="s">
        <v>47</v>
      </c>
      <c r="P7" s="191" t="s">
        <v>47</v>
      </c>
      <c r="Q7" s="191" t="s">
        <v>47</v>
      </c>
      <c r="R7" s="191" t="s">
        <v>47</v>
      </c>
      <c r="S7" s="191" t="s">
        <v>47</v>
      </c>
      <c r="T7" s="192" t="s">
        <v>53</v>
      </c>
      <c r="U7" s="192" t="s">
        <v>53</v>
      </c>
      <c r="V7" s="191" t="s">
        <v>47</v>
      </c>
      <c r="W7" s="191" t="s">
        <v>47</v>
      </c>
      <c r="X7" s="191" t="s">
        <v>47</v>
      </c>
      <c r="Y7" s="191" t="s">
        <v>47</v>
      </c>
      <c r="Z7" s="191" t="s">
        <v>47</v>
      </c>
      <c r="AA7" s="192" t="s">
        <v>53</v>
      </c>
      <c r="AB7" s="192" t="s">
        <v>53</v>
      </c>
      <c r="AC7" s="191" t="s">
        <v>47</v>
      </c>
      <c r="AD7" s="191" t="s">
        <v>47</v>
      </c>
      <c r="AE7" s="191" t="s">
        <v>47</v>
      </c>
      <c r="AF7" s="191" t="s">
        <v>47</v>
      </c>
      <c r="AG7" s="191" t="s">
        <v>47</v>
      </c>
      <c r="AH7" s="25"/>
      <c r="AI7" s="47">
        <f t="shared" si="2"/>
        <v>0</v>
      </c>
      <c r="AJ7" s="48">
        <f t="shared" si="3"/>
        <v>0</v>
      </c>
      <c r="AK7" s="48">
        <f t="shared" si="4"/>
        <v>0</v>
      </c>
      <c r="AL7" s="49">
        <f t="shared" si="5"/>
        <v>0</v>
      </c>
      <c r="AM7" s="50">
        <f t="shared" si="6"/>
        <v>0</v>
      </c>
      <c r="AN7" s="51">
        <f t="shared" si="7"/>
        <v>20</v>
      </c>
      <c r="AO7" s="52">
        <f t="shared" si="8"/>
        <v>0</v>
      </c>
      <c r="AP7" s="52">
        <f t="shared" si="9"/>
        <v>0</v>
      </c>
      <c r="AQ7" s="67"/>
      <c r="AR7" s="67"/>
      <c r="AS7" s="67"/>
      <c r="AT7" s="67"/>
      <c r="AU7" s="67"/>
    </row>
    <row r="8" ht="18.75" customHeight="1">
      <c r="A8" s="189" t="s">
        <v>233</v>
      </c>
      <c r="B8" s="54" t="s">
        <v>68</v>
      </c>
      <c r="C8" s="190" t="s">
        <v>69</v>
      </c>
      <c r="D8" s="193" t="s">
        <v>47</v>
      </c>
      <c r="E8" s="193" t="s">
        <v>47</v>
      </c>
      <c r="F8" s="192" t="s">
        <v>53</v>
      </c>
      <c r="G8" s="192" t="s">
        <v>53</v>
      </c>
      <c r="H8" s="191" t="s">
        <v>47</v>
      </c>
      <c r="I8" s="193" t="s">
        <v>47</v>
      </c>
      <c r="J8" s="193" t="s">
        <v>47</v>
      </c>
      <c r="K8" s="191" t="s">
        <v>47</v>
      </c>
      <c r="L8" s="191" t="s">
        <v>47</v>
      </c>
      <c r="M8" s="192" t="s">
        <v>53</v>
      </c>
      <c r="N8" s="192" t="s">
        <v>53</v>
      </c>
      <c r="O8" s="191" t="s">
        <v>47</v>
      </c>
      <c r="P8" s="191" t="s">
        <v>47</v>
      </c>
      <c r="Q8" s="191" t="s">
        <v>47</v>
      </c>
      <c r="R8" s="191" t="s">
        <v>47</v>
      </c>
      <c r="S8" s="191" t="s">
        <v>47</v>
      </c>
      <c r="T8" s="192" t="s">
        <v>53</v>
      </c>
      <c r="U8" s="192" t="s">
        <v>53</v>
      </c>
      <c r="V8" s="191" t="s">
        <v>47</v>
      </c>
      <c r="W8" s="191" t="s">
        <v>47</v>
      </c>
      <c r="X8" s="191" t="s">
        <v>47</v>
      </c>
      <c r="Y8" s="191" t="s">
        <v>47</v>
      </c>
      <c r="Z8" s="191" t="s">
        <v>47</v>
      </c>
      <c r="AA8" s="192" t="s">
        <v>53</v>
      </c>
      <c r="AB8" s="192" t="s">
        <v>53</v>
      </c>
      <c r="AC8" s="191" t="s">
        <v>47</v>
      </c>
      <c r="AD8" s="191" t="s">
        <v>47</v>
      </c>
      <c r="AE8" s="191" t="s">
        <v>47</v>
      </c>
      <c r="AF8" s="191" t="s">
        <v>47</v>
      </c>
      <c r="AG8" s="191" t="s">
        <v>47</v>
      </c>
      <c r="AH8" s="25"/>
      <c r="AI8" s="47">
        <f t="shared" si="2"/>
        <v>0</v>
      </c>
      <c r="AJ8" s="48">
        <f t="shared" si="3"/>
        <v>0</v>
      </c>
      <c r="AK8" s="48">
        <f t="shared" si="4"/>
        <v>0</v>
      </c>
      <c r="AL8" s="49">
        <f t="shared" si="5"/>
        <v>0</v>
      </c>
      <c r="AM8" s="50">
        <f t="shared" si="6"/>
        <v>0</v>
      </c>
      <c r="AN8" s="51">
        <f t="shared" si="7"/>
        <v>20</v>
      </c>
      <c r="AO8" s="52">
        <f t="shared" si="8"/>
        <v>0</v>
      </c>
      <c r="AP8" s="52">
        <f t="shared" si="9"/>
        <v>0</v>
      </c>
      <c r="AQ8" s="67"/>
      <c r="AR8" s="67"/>
      <c r="AS8" s="67"/>
      <c r="AT8" s="67"/>
      <c r="AU8" s="67"/>
    </row>
    <row r="9" ht="18.75" customHeight="1">
      <c r="A9" s="189" t="s">
        <v>234</v>
      </c>
      <c r="B9" s="54" t="s">
        <v>71</v>
      </c>
      <c r="C9" s="194" t="s">
        <v>72</v>
      </c>
      <c r="D9" s="191" t="s">
        <v>47</v>
      </c>
      <c r="E9" s="192" t="s">
        <v>53</v>
      </c>
      <c r="F9" s="192" t="s">
        <v>53</v>
      </c>
      <c r="G9" s="191" t="s">
        <v>47</v>
      </c>
      <c r="H9" s="191" t="s">
        <v>47</v>
      </c>
      <c r="I9" s="191" t="s">
        <v>47</v>
      </c>
      <c r="J9" s="191" t="s">
        <v>47</v>
      </c>
      <c r="K9" s="193" t="s">
        <v>47</v>
      </c>
      <c r="L9" s="192" t="s">
        <v>53</v>
      </c>
      <c r="M9" s="192" t="s">
        <v>53</v>
      </c>
      <c r="N9" s="191" t="s">
        <v>47</v>
      </c>
      <c r="O9" s="191" t="s">
        <v>47</v>
      </c>
      <c r="P9" s="191" t="s">
        <v>47</v>
      </c>
      <c r="Q9" s="191" t="s">
        <v>47</v>
      </c>
      <c r="R9" s="191" t="s">
        <v>47</v>
      </c>
      <c r="S9" s="192" t="s">
        <v>53</v>
      </c>
      <c r="T9" s="192" t="s">
        <v>53</v>
      </c>
      <c r="U9" s="191" t="s">
        <v>47</v>
      </c>
      <c r="V9" s="191" t="s">
        <v>47</v>
      </c>
      <c r="W9" s="191" t="s">
        <v>47</v>
      </c>
      <c r="X9" s="193" t="s">
        <v>47</v>
      </c>
      <c r="Y9" s="191" t="s">
        <v>47</v>
      </c>
      <c r="Z9" s="192" t="s">
        <v>53</v>
      </c>
      <c r="AA9" s="192" t="s">
        <v>53</v>
      </c>
      <c r="AB9" s="191" t="s">
        <v>47</v>
      </c>
      <c r="AC9" s="191" t="s">
        <v>47</v>
      </c>
      <c r="AD9" s="191" t="s">
        <v>47</v>
      </c>
      <c r="AE9" s="193" t="s">
        <v>47</v>
      </c>
      <c r="AF9" s="195" t="s">
        <v>49</v>
      </c>
      <c r="AG9" s="192" t="s">
        <v>53</v>
      </c>
      <c r="AH9" s="25"/>
      <c r="AI9" s="47">
        <f t="shared" si="2"/>
        <v>0</v>
      </c>
      <c r="AJ9" s="48">
        <f t="shared" si="3"/>
        <v>0</v>
      </c>
      <c r="AK9" s="48">
        <f t="shared" si="4"/>
        <v>0</v>
      </c>
      <c r="AL9" s="49">
        <f t="shared" si="5"/>
        <v>0</v>
      </c>
      <c r="AM9" s="50">
        <f t="shared" si="6"/>
        <v>0</v>
      </c>
      <c r="AN9" s="51">
        <f t="shared" si="7"/>
        <v>20</v>
      </c>
      <c r="AO9" s="52">
        <f t="shared" si="8"/>
        <v>0</v>
      </c>
      <c r="AP9" s="52">
        <f t="shared" si="9"/>
        <v>0</v>
      </c>
      <c r="AQ9" s="67"/>
      <c r="AR9" s="67"/>
      <c r="AS9" s="67"/>
      <c r="AT9" s="67"/>
      <c r="AU9" s="67"/>
    </row>
    <row r="10" ht="18.75" customHeight="1">
      <c r="A10" s="189" t="s">
        <v>235</v>
      </c>
      <c r="B10" s="54" t="s">
        <v>74</v>
      </c>
      <c r="C10" s="190" t="s">
        <v>75</v>
      </c>
      <c r="D10" s="191" t="s">
        <v>47</v>
      </c>
      <c r="E10" s="191" t="s">
        <v>47</v>
      </c>
      <c r="F10" s="192" t="s">
        <v>53</v>
      </c>
      <c r="G10" s="192" t="s">
        <v>53</v>
      </c>
      <c r="H10" s="195" t="s">
        <v>49</v>
      </c>
      <c r="I10" s="191" t="s">
        <v>47</v>
      </c>
      <c r="J10" s="191" t="s">
        <v>47</v>
      </c>
      <c r="K10" s="191" t="s">
        <v>47</v>
      </c>
      <c r="L10" s="195" t="s">
        <v>49</v>
      </c>
      <c r="M10" s="192" t="s">
        <v>53</v>
      </c>
      <c r="N10" s="192" t="s">
        <v>53</v>
      </c>
      <c r="O10" s="191" t="s">
        <v>47</v>
      </c>
      <c r="P10" s="191" t="s">
        <v>47</v>
      </c>
      <c r="Q10" s="191" t="s">
        <v>47</v>
      </c>
      <c r="R10" s="191" t="s">
        <v>47</v>
      </c>
      <c r="S10" s="191" t="s">
        <v>47</v>
      </c>
      <c r="T10" s="192" t="s">
        <v>53</v>
      </c>
      <c r="U10" s="192" t="s">
        <v>53</v>
      </c>
      <c r="V10" s="191" t="s">
        <v>47</v>
      </c>
      <c r="W10" s="191" t="s">
        <v>47</v>
      </c>
      <c r="X10" s="191" t="s">
        <v>47</v>
      </c>
      <c r="Y10" s="191" t="s">
        <v>47</v>
      </c>
      <c r="Z10" s="191" t="s">
        <v>47</v>
      </c>
      <c r="AA10" s="192" t="s">
        <v>53</v>
      </c>
      <c r="AB10" s="192" t="s">
        <v>53</v>
      </c>
      <c r="AC10" s="191" t="s">
        <v>47</v>
      </c>
      <c r="AD10" s="191" t="s">
        <v>47</v>
      </c>
      <c r="AE10" s="191" t="s">
        <v>47</v>
      </c>
      <c r="AF10" s="191" t="s">
        <v>47</v>
      </c>
      <c r="AG10" s="191" t="s">
        <v>47</v>
      </c>
      <c r="AH10" s="25"/>
      <c r="AI10" s="47">
        <f t="shared" si="2"/>
        <v>0</v>
      </c>
      <c r="AJ10" s="48">
        <f t="shared" si="3"/>
        <v>0</v>
      </c>
      <c r="AK10" s="48">
        <f t="shared" si="4"/>
        <v>0</v>
      </c>
      <c r="AL10" s="49">
        <f t="shared" si="5"/>
        <v>0</v>
      </c>
      <c r="AM10" s="50">
        <f t="shared" si="6"/>
        <v>0</v>
      </c>
      <c r="AN10" s="51">
        <f t="shared" si="7"/>
        <v>18</v>
      </c>
      <c r="AO10" s="52">
        <f t="shared" si="8"/>
        <v>0</v>
      </c>
      <c r="AP10" s="52">
        <f t="shared" si="9"/>
        <v>2</v>
      </c>
      <c r="AQ10" s="67"/>
      <c r="AR10" s="67"/>
      <c r="AS10" s="67"/>
      <c r="AT10" s="67"/>
      <c r="AU10" s="67"/>
    </row>
    <row r="11" ht="18.75" customHeight="1">
      <c r="A11" s="189" t="s">
        <v>236</v>
      </c>
      <c r="B11" s="54" t="s">
        <v>77</v>
      </c>
      <c r="C11" s="190" t="s">
        <v>78</v>
      </c>
      <c r="D11" s="195" t="s">
        <v>49</v>
      </c>
      <c r="E11" s="192" t="s">
        <v>53</v>
      </c>
      <c r="F11" s="192" t="s">
        <v>53</v>
      </c>
      <c r="G11" s="191" t="s">
        <v>47</v>
      </c>
      <c r="H11" s="191" t="s">
        <v>47</v>
      </c>
      <c r="I11" s="191" t="s">
        <v>47</v>
      </c>
      <c r="J11" s="191" t="s">
        <v>47</v>
      </c>
      <c r="K11" s="195" t="s">
        <v>49</v>
      </c>
      <c r="L11" s="192" t="s">
        <v>53</v>
      </c>
      <c r="M11" s="192" t="s">
        <v>53</v>
      </c>
      <c r="N11" s="191" t="s">
        <v>47</v>
      </c>
      <c r="O11" s="191" t="s">
        <v>47</v>
      </c>
      <c r="P11" s="191" t="s">
        <v>47</v>
      </c>
      <c r="Q11" s="191" t="s">
        <v>47</v>
      </c>
      <c r="R11" s="195" t="s">
        <v>49</v>
      </c>
      <c r="S11" s="192" t="s">
        <v>53</v>
      </c>
      <c r="T11" s="192" t="s">
        <v>53</v>
      </c>
      <c r="U11" s="191" t="s">
        <v>47</v>
      </c>
      <c r="V11" s="191" t="s">
        <v>47</v>
      </c>
      <c r="W11" s="191" t="s">
        <v>47</v>
      </c>
      <c r="X11" s="191" t="s">
        <v>47</v>
      </c>
      <c r="Y11" s="195" t="s">
        <v>49</v>
      </c>
      <c r="Z11" s="192" t="s">
        <v>53</v>
      </c>
      <c r="AA11" s="192" t="s">
        <v>53</v>
      </c>
      <c r="AB11" s="191" t="s">
        <v>47</v>
      </c>
      <c r="AC11" s="191" t="s">
        <v>47</v>
      </c>
      <c r="AD11" s="191" t="s">
        <v>47</v>
      </c>
      <c r="AE11" s="191" t="s">
        <v>47</v>
      </c>
      <c r="AF11" s="195" t="s">
        <v>49</v>
      </c>
      <c r="AG11" s="192" t="s">
        <v>53</v>
      </c>
      <c r="AH11" s="25"/>
      <c r="AI11" s="47">
        <f t="shared" si="2"/>
        <v>0</v>
      </c>
      <c r="AJ11" s="48">
        <f t="shared" si="3"/>
        <v>0</v>
      </c>
      <c r="AK11" s="48">
        <f t="shared" si="4"/>
        <v>0</v>
      </c>
      <c r="AL11" s="49">
        <f t="shared" si="5"/>
        <v>0</v>
      </c>
      <c r="AM11" s="50">
        <f t="shared" si="6"/>
        <v>0</v>
      </c>
      <c r="AN11" s="51">
        <f t="shared" si="7"/>
        <v>16</v>
      </c>
      <c r="AO11" s="52">
        <f t="shared" si="8"/>
        <v>0</v>
      </c>
      <c r="AP11" s="52">
        <f t="shared" si="9"/>
        <v>4</v>
      </c>
      <c r="AQ11" s="67"/>
      <c r="AR11" s="67"/>
      <c r="AS11" s="67"/>
      <c r="AT11" s="67"/>
      <c r="AU11" s="67"/>
    </row>
    <row r="12" ht="18.75" customHeight="1">
      <c r="A12" s="189" t="s">
        <v>237</v>
      </c>
      <c r="B12" s="54" t="s">
        <v>80</v>
      </c>
      <c r="C12" s="190" t="s">
        <v>81</v>
      </c>
      <c r="D12" s="191" t="s">
        <v>47</v>
      </c>
      <c r="E12" s="191" t="s">
        <v>47</v>
      </c>
      <c r="F12" s="192" t="s">
        <v>53</v>
      </c>
      <c r="G12" s="192" t="s">
        <v>53</v>
      </c>
      <c r="H12" s="191" t="s">
        <v>47</v>
      </c>
      <c r="I12" s="191" t="s">
        <v>47</v>
      </c>
      <c r="J12" s="191" t="s">
        <v>47</v>
      </c>
      <c r="K12" s="193" t="s">
        <v>47</v>
      </c>
      <c r="L12" s="193" t="s">
        <v>47</v>
      </c>
      <c r="M12" s="192" t="s">
        <v>53</v>
      </c>
      <c r="N12" s="192" t="s">
        <v>53</v>
      </c>
      <c r="O12" s="191" t="s">
        <v>47</v>
      </c>
      <c r="P12" s="191" t="s">
        <v>47</v>
      </c>
      <c r="Q12" s="191" t="s">
        <v>47</v>
      </c>
      <c r="R12" s="191" t="s">
        <v>47</v>
      </c>
      <c r="S12" s="191" t="s">
        <v>47</v>
      </c>
      <c r="T12" s="192" t="s">
        <v>53</v>
      </c>
      <c r="U12" s="192" t="s">
        <v>53</v>
      </c>
      <c r="V12" s="191" t="s">
        <v>47</v>
      </c>
      <c r="W12" s="191" t="s">
        <v>47</v>
      </c>
      <c r="X12" s="191" t="s">
        <v>47</v>
      </c>
      <c r="Y12" s="191" t="s">
        <v>47</v>
      </c>
      <c r="Z12" s="191" t="s">
        <v>47</v>
      </c>
      <c r="AA12" s="192" t="s">
        <v>53</v>
      </c>
      <c r="AB12" s="192" t="s">
        <v>53</v>
      </c>
      <c r="AC12" s="191" t="s">
        <v>47</v>
      </c>
      <c r="AD12" s="191" t="s">
        <v>47</v>
      </c>
      <c r="AE12" s="191" t="s">
        <v>47</v>
      </c>
      <c r="AF12" s="191" t="s">
        <v>47</v>
      </c>
      <c r="AG12" s="191" t="s">
        <v>47</v>
      </c>
      <c r="AH12" s="25"/>
      <c r="AI12" s="47">
        <f t="shared" si="2"/>
        <v>0</v>
      </c>
      <c r="AJ12" s="48">
        <f t="shared" si="3"/>
        <v>0</v>
      </c>
      <c r="AK12" s="48">
        <f t="shared" si="4"/>
        <v>0</v>
      </c>
      <c r="AL12" s="49">
        <f t="shared" si="5"/>
        <v>0</v>
      </c>
      <c r="AM12" s="50">
        <f t="shared" si="6"/>
        <v>0</v>
      </c>
      <c r="AN12" s="51">
        <f t="shared" si="7"/>
        <v>20</v>
      </c>
      <c r="AO12" s="52">
        <f t="shared" si="8"/>
        <v>0</v>
      </c>
      <c r="AP12" s="52">
        <f t="shared" si="9"/>
        <v>0</v>
      </c>
      <c r="AQ12" s="67"/>
      <c r="AR12" s="67"/>
      <c r="AS12" s="67"/>
      <c r="AT12" s="67"/>
      <c r="AU12" s="67"/>
    </row>
    <row r="13" ht="18.75" customHeight="1">
      <c r="A13" s="189" t="s">
        <v>238</v>
      </c>
      <c r="B13" s="54" t="s">
        <v>83</v>
      </c>
      <c r="C13" s="190" t="s">
        <v>84</v>
      </c>
      <c r="D13" s="191" t="s">
        <v>47</v>
      </c>
      <c r="E13" s="192" t="s">
        <v>53</v>
      </c>
      <c r="F13" s="192" t="s">
        <v>53</v>
      </c>
      <c r="G13" s="191" t="s">
        <v>47</v>
      </c>
      <c r="H13" s="191" t="s">
        <v>47</v>
      </c>
      <c r="I13" s="191" t="s">
        <v>47</v>
      </c>
      <c r="J13" s="191" t="s">
        <v>47</v>
      </c>
      <c r="K13" s="191" t="s">
        <v>47</v>
      </c>
      <c r="L13" s="192" t="s">
        <v>53</v>
      </c>
      <c r="M13" s="192" t="s">
        <v>53</v>
      </c>
      <c r="N13" s="191" t="s">
        <v>47</v>
      </c>
      <c r="O13" s="191" t="s">
        <v>47</v>
      </c>
      <c r="P13" s="191" t="s">
        <v>47</v>
      </c>
      <c r="Q13" s="191" t="s">
        <v>47</v>
      </c>
      <c r="R13" s="191" t="s">
        <v>47</v>
      </c>
      <c r="S13" s="192" t="s">
        <v>53</v>
      </c>
      <c r="T13" s="192" t="s">
        <v>53</v>
      </c>
      <c r="U13" s="57" t="s">
        <v>48</v>
      </c>
      <c r="V13" s="57" t="s">
        <v>48</v>
      </c>
      <c r="W13" s="57" t="s">
        <v>48</v>
      </c>
      <c r="X13" s="57" t="s">
        <v>48</v>
      </c>
      <c r="Y13" s="57" t="s">
        <v>48</v>
      </c>
      <c r="Z13" s="192" t="s">
        <v>53</v>
      </c>
      <c r="AA13" s="192" t="s">
        <v>53</v>
      </c>
      <c r="AB13" s="191" t="s">
        <v>47</v>
      </c>
      <c r="AC13" s="191" t="s">
        <v>47</v>
      </c>
      <c r="AD13" s="191" t="s">
        <v>47</v>
      </c>
      <c r="AE13" s="191" t="s">
        <v>47</v>
      </c>
      <c r="AF13" s="191" t="s">
        <v>47</v>
      </c>
      <c r="AG13" s="192" t="s">
        <v>53</v>
      </c>
      <c r="AH13" s="25"/>
      <c r="AI13" s="47">
        <f t="shared" si="2"/>
        <v>0</v>
      </c>
      <c r="AJ13" s="48">
        <f t="shared" si="3"/>
        <v>0</v>
      </c>
      <c r="AK13" s="48">
        <f t="shared" si="4"/>
        <v>0</v>
      </c>
      <c r="AL13" s="49">
        <f t="shared" si="5"/>
        <v>0</v>
      </c>
      <c r="AM13" s="50">
        <f t="shared" si="6"/>
        <v>0</v>
      </c>
      <c r="AN13" s="51">
        <f t="shared" si="7"/>
        <v>15</v>
      </c>
      <c r="AO13" s="52">
        <f t="shared" si="8"/>
        <v>5</v>
      </c>
      <c r="AP13" s="52">
        <f t="shared" si="9"/>
        <v>0</v>
      </c>
      <c r="AQ13" s="67"/>
      <c r="AR13" s="67"/>
      <c r="AS13" s="67"/>
      <c r="AT13" s="67"/>
      <c r="AU13" s="67"/>
    </row>
    <row r="14" ht="18.75" customHeight="1">
      <c r="A14" s="189" t="s">
        <v>239</v>
      </c>
      <c r="B14" s="54" t="s">
        <v>86</v>
      </c>
      <c r="C14" s="190" t="s">
        <v>87</v>
      </c>
      <c r="D14" s="191" t="s">
        <v>47</v>
      </c>
      <c r="E14" s="191" t="s">
        <v>47</v>
      </c>
      <c r="F14" s="192" t="s">
        <v>53</v>
      </c>
      <c r="G14" s="192" t="s">
        <v>53</v>
      </c>
      <c r="H14" s="191" t="s">
        <v>47</v>
      </c>
      <c r="I14" s="191" t="s">
        <v>47</v>
      </c>
      <c r="J14" s="191" t="s">
        <v>47</v>
      </c>
      <c r="K14" s="191" t="s">
        <v>47</v>
      </c>
      <c r="L14" s="191" t="s">
        <v>47</v>
      </c>
      <c r="M14" s="192" t="s">
        <v>53</v>
      </c>
      <c r="N14" s="192" t="s">
        <v>53</v>
      </c>
      <c r="O14" s="191" t="s">
        <v>47</v>
      </c>
      <c r="P14" s="191" t="s">
        <v>47</v>
      </c>
      <c r="Q14" s="191" t="s">
        <v>47</v>
      </c>
      <c r="R14" s="191" t="s">
        <v>47</v>
      </c>
      <c r="S14" s="195" t="s">
        <v>49</v>
      </c>
      <c r="T14" s="192" t="s">
        <v>53</v>
      </c>
      <c r="U14" s="192" t="s">
        <v>53</v>
      </c>
      <c r="V14" s="191" t="s">
        <v>47</v>
      </c>
      <c r="W14" s="191" t="s">
        <v>47</v>
      </c>
      <c r="X14" s="191" t="s">
        <v>47</v>
      </c>
      <c r="Y14" s="191" t="s">
        <v>47</v>
      </c>
      <c r="Z14" s="195" t="s">
        <v>49</v>
      </c>
      <c r="AA14" s="192" t="s">
        <v>53</v>
      </c>
      <c r="AB14" s="192" t="s">
        <v>53</v>
      </c>
      <c r="AC14" s="191" t="s">
        <v>47</v>
      </c>
      <c r="AD14" s="191" t="s">
        <v>47</v>
      </c>
      <c r="AE14" s="195" t="s">
        <v>49</v>
      </c>
      <c r="AF14" s="195" t="s">
        <v>49</v>
      </c>
      <c r="AG14" s="195" t="s">
        <v>49</v>
      </c>
      <c r="AH14" s="25"/>
      <c r="AI14" s="47">
        <f t="shared" si="2"/>
        <v>0</v>
      </c>
      <c r="AJ14" s="48">
        <f t="shared" si="3"/>
        <v>0</v>
      </c>
      <c r="AK14" s="48">
        <f t="shared" si="4"/>
        <v>0</v>
      </c>
      <c r="AL14" s="49">
        <f t="shared" si="5"/>
        <v>0</v>
      </c>
      <c r="AM14" s="50">
        <f t="shared" si="6"/>
        <v>0</v>
      </c>
      <c r="AN14" s="51">
        <f t="shared" si="7"/>
        <v>17</v>
      </c>
      <c r="AO14" s="52">
        <f t="shared" si="8"/>
        <v>0</v>
      </c>
      <c r="AP14" s="52">
        <f t="shared" si="9"/>
        <v>3</v>
      </c>
      <c r="AQ14" s="67"/>
      <c r="AR14" s="67"/>
      <c r="AS14" s="67"/>
      <c r="AT14" s="67"/>
      <c r="AU14" s="67"/>
    </row>
    <row r="15" ht="18.75" customHeight="1">
      <c r="A15" s="189" t="s">
        <v>240</v>
      </c>
      <c r="B15" s="54" t="s">
        <v>89</v>
      </c>
      <c r="C15" s="190" t="s">
        <v>90</v>
      </c>
      <c r="D15" s="191" t="s">
        <v>47</v>
      </c>
      <c r="E15" s="191" t="s">
        <v>47</v>
      </c>
      <c r="F15" s="191" t="s">
        <v>47</v>
      </c>
      <c r="G15" s="192" t="s">
        <v>53</v>
      </c>
      <c r="H15" s="192" t="s">
        <v>53</v>
      </c>
      <c r="I15" s="191" t="s">
        <v>47</v>
      </c>
      <c r="J15" s="191" t="s">
        <v>47</v>
      </c>
      <c r="K15" s="191" t="s">
        <v>47</v>
      </c>
      <c r="L15" s="191" t="s">
        <v>47</v>
      </c>
      <c r="M15" s="57" t="s">
        <v>48</v>
      </c>
      <c r="N15" s="192" t="s">
        <v>53</v>
      </c>
      <c r="O15" s="192" t="s">
        <v>53</v>
      </c>
      <c r="P15" s="191" t="s">
        <v>47</v>
      </c>
      <c r="Q15" s="191" t="s">
        <v>47</v>
      </c>
      <c r="R15" s="191" t="s">
        <v>47</v>
      </c>
      <c r="S15" s="191" t="s">
        <v>47</v>
      </c>
      <c r="T15" s="191" t="s">
        <v>47</v>
      </c>
      <c r="U15" s="192" t="s">
        <v>53</v>
      </c>
      <c r="V15" s="192" t="s">
        <v>53</v>
      </c>
      <c r="W15" s="191" t="s">
        <v>47</v>
      </c>
      <c r="X15" s="191" t="s">
        <v>47</v>
      </c>
      <c r="Y15" s="191" t="s">
        <v>47</v>
      </c>
      <c r="Z15" s="191" t="s">
        <v>47</v>
      </c>
      <c r="AA15" s="193" t="s">
        <v>47</v>
      </c>
      <c r="AB15" s="192" t="s">
        <v>53</v>
      </c>
      <c r="AC15" s="192" t="s">
        <v>53</v>
      </c>
      <c r="AD15" s="57" t="s">
        <v>48</v>
      </c>
      <c r="AE15" s="191" t="s">
        <v>47</v>
      </c>
      <c r="AF15" s="191" t="s">
        <v>47</v>
      </c>
      <c r="AG15" s="191" t="s">
        <v>47</v>
      </c>
      <c r="AH15" s="25"/>
      <c r="AI15" s="47">
        <f t="shared" si="2"/>
        <v>0</v>
      </c>
      <c r="AJ15" s="48">
        <f t="shared" si="3"/>
        <v>0</v>
      </c>
      <c r="AK15" s="48">
        <f t="shared" si="4"/>
        <v>0</v>
      </c>
      <c r="AL15" s="49">
        <f t="shared" si="5"/>
        <v>0</v>
      </c>
      <c r="AM15" s="50">
        <f t="shared" si="6"/>
        <v>0</v>
      </c>
      <c r="AN15" s="51">
        <f t="shared" si="7"/>
        <v>18</v>
      </c>
      <c r="AO15" s="52">
        <f t="shared" si="8"/>
        <v>2</v>
      </c>
      <c r="AP15" s="52">
        <f t="shared" si="9"/>
        <v>0</v>
      </c>
      <c r="AQ15" s="67"/>
      <c r="AR15" s="67"/>
      <c r="AS15" s="67"/>
      <c r="AT15" s="67"/>
      <c r="AU15" s="67"/>
    </row>
    <row r="16" ht="18.75" customHeight="1">
      <c r="A16" s="189" t="s">
        <v>241</v>
      </c>
      <c r="B16" s="54" t="s">
        <v>92</v>
      </c>
      <c r="C16" s="190" t="s">
        <v>93</v>
      </c>
      <c r="D16" s="191" t="s">
        <v>47</v>
      </c>
      <c r="E16" s="191" t="s">
        <v>47</v>
      </c>
      <c r="F16" s="191" t="s">
        <v>47</v>
      </c>
      <c r="G16" s="191" t="s">
        <v>47</v>
      </c>
      <c r="H16" s="191" t="s">
        <v>47</v>
      </c>
      <c r="I16" s="192" t="s">
        <v>53</v>
      </c>
      <c r="J16" s="192" t="s">
        <v>53</v>
      </c>
      <c r="K16" s="191" t="s">
        <v>47</v>
      </c>
      <c r="L16" s="191" t="s">
        <v>47</v>
      </c>
      <c r="M16" s="191" t="s">
        <v>47</v>
      </c>
      <c r="N16" s="191" t="s">
        <v>47</v>
      </c>
      <c r="O16" s="191" t="s">
        <v>47</v>
      </c>
      <c r="P16" s="192" t="s">
        <v>53</v>
      </c>
      <c r="Q16" s="192" t="s">
        <v>53</v>
      </c>
      <c r="R16" s="191" t="s">
        <v>47</v>
      </c>
      <c r="S16" s="191" t="s">
        <v>47</v>
      </c>
      <c r="T16" s="191" t="s">
        <v>47</v>
      </c>
      <c r="U16" s="191" t="s">
        <v>47</v>
      </c>
      <c r="V16" s="57" t="s">
        <v>48</v>
      </c>
      <c r="W16" s="192" t="s">
        <v>53</v>
      </c>
      <c r="X16" s="192" t="s">
        <v>53</v>
      </c>
      <c r="Y16" s="191" t="s">
        <v>47</v>
      </c>
      <c r="Z16" s="191" t="s">
        <v>47</v>
      </c>
      <c r="AA16" s="191" t="s">
        <v>47</v>
      </c>
      <c r="AB16" s="191" t="s">
        <v>47</v>
      </c>
      <c r="AC16" s="57" t="s">
        <v>48</v>
      </c>
      <c r="AD16" s="192" t="s">
        <v>53</v>
      </c>
      <c r="AE16" s="192" t="s">
        <v>53</v>
      </c>
      <c r="AF16" s="191" t="s">
        <v>47</v>
      </c>
      <c r="AG16" s="191" t="s">
        <v>47</v>
      </c>
      <c r="AH16" s="25"/>
      <c r="AI16" s="47">
        <f t="shared" si="2"/>
        <v>0</v>
      </c>
      <c r="AJ16" s="48">
        <f t="shared" si="3"/>
        <v>0</v>
      </c>
      <c r="AK16" s="48">
        <f t="shared" si="4"/>
        <v>0</v>
      </c>
      <c r="AL16" s="49">
        <f t="shared" si="5"/>
        <v>0</v>
      </c>
      <c r="AM16" s="50">
        <f t="shared" si="6"/>
        <v>0</v>
      </c>
      <c r="AN16" s="51">
        <f t="shared" si="7"/>
        <v>18</v>
      </c>
      <c r="AO16" s="52">
        <f t="shared" si="8"/>
        <v>2</v>
      </c>
      <c r="AP16" s="52">
        <f t="shared" si="9"/>
        <v>0</v>
      </c>
      <c r="AQ16" s="67"/>
      <c r="AR16" s="67"/>
      <c r="AS16" s="67"/>
      <c r="AT16" s="67"/>
      <c r="AU16" s="67"/>
    </row>
    <row r="17" ht="18.75" customHeight="1">
      <c r="A17" s="189" t="s">
        <v>242</v>
      </c>
      <c r="B17" s="54" t="s">
        <v>95</v>
      </c>
      <c r="C17" s="190" t="s">
        <v>96</v>
      </c>
      <c r="D17" s="192" t="s">
        <v>53</v>
      </c>
      <c r="E17" s="192" t="s">
        <v>53</v>
      </c>
      <c r="F17" s="191" t="s">
        <v>47</v>
      </c>
      <c r="G17" s="191" t="s">
        <v>47</v>
      </c>
      <c r="H17" s="191" t="s">
        <v>47</v>
      </c>
      <c r="I17" s="191" t="s">
        <v>47</v>
      </c>
      <c r="J17" s="191" t="s">
        <v>47</v>
      </c>
      <c r="K17" s="192" t="s">
        <v>53</v>
      </c>
      <c r="L17" s="192" t="s">
        <v>53</v>
      </c>
      <c r="M17" s="195" t="s">
        <v>49</v>
      </c>
      <c r="N17" s="191" t="s">
        <v>47</v>
      </c>
      <c r="O17" s="191" t="s">
        <v>47</v>
      </c>
      <c r="P17" s="191" t="s">
        <v>47</v>
      </c>
      <c r="Q17" s="191" t="s">
        <v>47</v>
      </c>
      <c r="R17" s="192" t="s">
        <v>53</v>
      </c>
      <c r="S17" s="192" t="s">
        <v>53</v>
      </c>
      <c r="T17" s="195" t="s">
        <v>49</v>
      </c>
      <c r="U17" s="191" t="s">
        <v>47</v>
      </c>
      <c r="V17" s="191" t="s">
        <v>47</v>
      </c>
      <c r="W17" s="191" t="s">
        <v>47</v>
      </c>
      <c r="X17" s="191" t="s">
        <v>47</v>
      </c>
      <c r="Y17" s="192" t="s">
        <v>53</v>
      </c>
      <c r="Z17" s="192" t="s">
        <v>53</v>
      </c>
      <c r="AA17" s="191" t="s">
        <v>47</v>
      </c>
      <c r="AB17" s="191" t="s">
        <v>47</v>
      </c>
      <c r="AC17" s="191" t="s">
        <v>47</v>
      </c>
      <c r="AD17" s="191" t="s">
        <v>47</v>
      </c>
      <c r="AE17" s="191" t="s">
        <v>47</v>
      </c>
      <c r="AF17" s="192" t="s">
        <v>53</v>
      </c>
      <c r="AG17" s="192" t="s">
        <v>53</v>
      </c>
      <c r="AH17" s="25"/>
      <c r="AI17" s="47">
        <f t="shared" si="2"/>
        <v>0</v>
      </c>
      <c r="AJ17" s="48">
        <f t="shared" si="3"/>
        <v>0</v>
      </c>
      <c r="AK17" s="48">
        <f t="shared" si="4"/>
        <v>0</v>
      </c>
      <c r="AL17" s="49">
        <f t="shared" si="5"/>
        <v>0</v>
      </c>
      <c r="AM17" s="50">
        <f t="shared" si="6"/>
        <v>0</v>
      </c>
      <c r="AN17" s="51">
        <f t="shared" si="7"/>
        <v>18</v>
      </c>
      <c r="AO17" s="52">
        <f t="shared" si="8"/>
        <v>0</v>
      </c>
      <c r="AP17" s="52">
        <f t="shared" si="9"/>
        <v>2</v>
      </c>
      <c r="AQ17" s="67"/>
      <c r="AR17" s="67"/>
      <c r="AS17" s="67"/>
      <c r="AT17" s="67"/>
      <c r="AU17" s="67"/>
    </row>
    <row r="18" ht="18.75" customHeight="1">
      <c r="A18" s="189" t="s">
        <v>243</v>
      </c>
      <c r="B18" s="54" t="s">
        <v>98</v>
      </c>
      <c r="C18" s="190" t="s">
        <v>99</v>
      </c>
      <c r="D18" s="191" t="s">
        <v>47</v>
      </c>
      <c r="E18" s="191" t="s">
        <v>47</v>
      </c>
      <c r="F18" s="192" t="s">
        <v>53</v>
      </c>
      <c r="G18" s="192" t="s">
        <v>53</v>
      </c>
      <c r="H18" s="191" t="s">
        <v>47</v>
      </c>
      <c r="I18" s="191" t="s">
        <v>47</v>
      </c>
      <c r="J18" s="191" t="s">
        <v>47</v>
      </c>
      <c r="K18" s="191" t="s">
        <v>47</v>
      </c>
      <c r="L18" s="191" t="s">
        <v>47</v>
      </c>
      <c r="M18" s="192" t="s">
        <v>53</v>
      </c>
      <c r="N18" s="192" t="s">
        <v>53</v>
      </c>
      <c r="O18" s="191" t="s">
        <v>47</v>
      </c>
      <c r="P18" s="191" t="s">
        <v>47</v>
      </c>
      <c r="Q18" s="191" t="s">
        <v>47</v>
      </c>
      <c r="R18" s="191" t="s">
        <v>47</v>
      </c>
      <c r="S18" s="191" t="s">
        <v>47</v>
      </c>
      <c r="T18" s="192" t="s">
        <v>53</v>
      </c>
      <c r="U18" s="192" t="s">
        <v>53</v>
      </c>
      <c r="V18" s="191" t="s">
        <v>47</v>
      </c>
      <c r="W18" s="191" t="s">
        <v>47</v>
      </c>
      <c r="X18" s="191" t="s">
        <v>47</v>
      </c>
      <c r="Y18" s="191" t="s">
        <v>47</v>
      </c>
      <c r="Z18" s="191" t="s">
        <v>47</v>
      </c>
      <c r="AA18" s="192" t="s">
        <v>53</v>
      </c>
      <c r="AB18" s="192" t="s">
        <v>53</v>
      </c>
      <c r="AC18" s="191" t="s">
        <v>47</v>
      </c>
      <c r="AD18" s="191" t="s">
        <v>47</v>
      </c>
      <c r="AE18" s="191" t="s">
        <v>47</v>
      </c>
      <c r="AF18" s="191" t="s">
        <v>47</v>
      </c>
      <c r="AG18" s="191" t="s">
        <v>47</v>
      </c>
      <c r="AH18" s="25"/>
      <c r="AI18" s="47">
        <f t="shared" si="2"/>
        <v>0</v>
      </c>
      <c r="AJ18" s="48">
        <f t="shared" si="3"/>
        <v>0</v>
      </c>
      <c r="AK18" s="48">
        <f t="shared" si="4"/>
        <v>0</v>
      </c>
      <c r="AL18" s="49">
        <f t="shared" si="5"/>
        <v>0</v>
      </c>
      <c r="AM18" s="50">
        <f t="shared" si="6"/>
        <v>0</v>
      </c>
      <c r="AN18" s="51">
        <f t="shared" si="7"/>
        <v>20</v>
      </c>
      <c r="AO18" s="52">
        <f t="shared" si="8"/>
        <v>0</v>
      </c>
      <c r="AP18" s="52">
        <f t="shared" si="9"/>
        <v>0</v>
      </c>
      <c r="AQ18" s="67"/>
      <c r="AR18" s="67"/>
      <c r="AS18" s="67"/>
      <c r="AT18" s="67"/>
      <c r="AU18" s="67"/>
    </row>
    <row r="19" ht="18.75" customHeight="1">
      <c r="A19" s="189" t="s">
        <v>244</v>
      </c>
      <c r="B19" s="54" t="s">
        <v>101</v>
      </c>
      <c r="C19" s="190" t="s">
        <v>102</v>
      </c>
      <c r="D19" s="192" t="s">
        <v>53</v>
      </c>
      <c r="E19" s="192" t="s">
        <v>53</v>
      </c>
      <c r="F19" s="191" t="s">
        <v>47</v>
      </c>
      <c r="G19" s="191" t="s">
        <v>47</v>
      </c>
      <c r="H19" s="191" t="s">
        <v>47</v>
      </c>
      <c r="I19" s="191" t="s">
        <v>47</v>
      </c>
      <c r="J19" s="196" t="s">
        <v>47</v>
      </c>
      <c r="K19" s="192" t="s">
        <v>53</v>
      </c>
      <c r="L19" s="192" t="s">
        <v>53</v>
      </c>
      <c r="M19" s="191" t="s">
        <v>47</v>
      </c>
      <c r="N19" s="191" t="s">
        <v>47</v>
      </c>
      <c r="O19" s="191" t="s">
        <v>47</v>
      </c>
      <c r="P19" s="191" t="s">
        <v>47</v>
      </c>
      <c r="Q19" s="191" t="s">
        <v>47</v>
      </c>
      <c r="R19" s="192" t="s">
        <v>53</v>
      </c>
      <c r="S19" s="192" t="s">
        <v>53</v>
      </c>
      <c r="T19" s="191" t="s">
        <v>47</v>
      </c>
      <c r="U19" s="191" t="s">
        <v>47</v>
      </c>
      <c r="V19" s="191" t="s">
        <v>47</v>
      </c>
      <c r="W19" s="191" t="s">
        <v>47</v>
      </c>
      <c r="X19" s="191" t="s">
        <v>47</v>
      </c>
      <c r="Y19" s="192" t="s">
        <v>53</v>
      </c>
      <c r="Z19" s="192" t="s">
        <v>53</v>
      </c>
      <c r="AA19" s="191" t="s">
        <v>47</v>
      </c>
      <c r="AB19" s="191" t="s">
        <v>47</v>
      </c>
      <c r="AC19" s="191" t="s">
        <v>47</v>
      </c>
      <c r="AD19" s="191" t="s">
        <v>47</v>
      </c>
      <c r="AE19" s="191" t="s">
        <v>47</v>
      </c>
      <c r="AF19" s="191" t="s">
        <v>47</v>
      </c>
      <c r="AG19" s="192" t="s">
        <v>53</v>
      </c>
      <c r="AH19" s="25"/>
      <c r="AI19" s="47">
        <f t="shared" si="2"/>
        <v>0</v>
      </c>
      <c r="AJ19" s="48">
        <f t="shared" si="3"/>
        <v>0</v>
      </c>
      <c r="AK19" s="48">
        <f t="shared" si="4"/>
        <v>0</v>
      </c>
      <c r="AL19" s="49">
        <f t="shared" si="5"/>
        <v>0</v>
      </c>
      <c r="AM19" s="50">
        <f t="shared" si="6"/>
        <v>0</v>
      </c>
      <c r="AN19" s="51">
        <f t="shared" si="7"/>
        <v>20</v>
      </c>
      <c r="AO19" s="52">
        <f t="shared" si="8"/>
        <v>0</v>
      </c>
      <c r="AP19" s="52">
        <f t="shared" si="9"/>
        <v>0</v>
      </c>
      <c r="AQ19" s="67"/>
      <c r="AR19" s="67"/>
      <c r="AS19" s="67"/>
      <c r="AT19" s="67"/>
      <c r="AU19" s="67"/>
    </row>
    <row r="20" ht="18.75" customHeight="1">
      <c r="A20" s="189" t="s">
        <v>245</v>
      </c>
      <c r="B20" s="54" t="s">
        <v>104</v>
      </c>
      <c r="C20" s="190" t="s">
        <v>105</v>
      </c>
      <c r="D20" s="192" t="s">
        <v>53</v>
      </c>
      <c r="E20" s="191" t="s">
        <v>47</v>
      </c>
      <c r="F20" s="191" t="s">
        <v>47</v>
      </c>
      <c r="G20" s="191" t="s">
        <v>47</v>
      </c>
      <c r="H20" s="191" t="s">
        <v>47</v>
      </c>
      <c r="I20" s="191" t="s">
        <v>47</v>
      </c>
      <c r="J20" s="192" t="s">
        <v>53</v>
      </c>
      <c r="K20" s="192" t="s">
        <v>53</v>
      </c>
      <c r="L20" s="191" t="s">
        <v>47</v>
      </c>
      <c r="M20" s="191" t="s">
        <v>47</v>
      </c>
      <c r="N20" s="195" t="s">
        <v>49</v>
      </c>
      <c r="O20" s="191" t="s">
        <v>47</v>
      </c>
      <c r="P20" s="191" t="s">
        <v>47</v>
      </c>
      <c r="Q20" s="192" t="s">
        <v>53</v>
      </c>
      <c r="R20" s="192" t="s">
        <v>53</v>
      </c>
      <c r="S20" s="191" t="s">
        <v>47</v>
      </c>
      <c r="T20" s="191" t="s">
        <v>47</v>
      </c>
      <c r="U20" s="195" t="s">
        <v>49</v>
      </c>
      <c r="V20" s="191" t="s">
        <v>47</v>
      </c>
      <c r="W20" s="191" t="s">
        <v>47</v>
      </c>
      <c r="X20" s="192" t="s">
        <v>53</v>
      </c>
      <c r="Y20" s="192" t="s">
        <v>53</v>
      </c>
      <c r="Z20" s="191" t="s">
        <v>47</v>
      </c>
      <c r="AA20" s="191" t="s">
        <v>47</v>
      </c>
      <c r="AB20" s="191" t="s">
        <v>47</v>
      </c>
      <c r="AC20" s="191" t="s">
        <v>47</v>
      </c>
      <c r="AD20" s="191" t="s">
        <v>47</v>
      </c>
      <c r="AE20" s="192" t="s">
        <v>53</v>
      </c>
      <c r="AF20" s="192" t="s">
        <v>53</v>
      </c>
      <c r="AG20" s="193" t="s">
        <v>47</v>
      </c>
      <c r="AH20" s="25"/>
      <c r="AI20" s="47">
        <f t="shared" si="2"/>
        <v>0</v>
      </c>
      <c r="AJ20" s="48">
        <f t="shared" si="3"/>
        <v>0</v>
      </c>
      <c r="AK20" s="48">
        <f t="shared" si="4"/>
        <v>0</v>
      </c>
      <c r="AL20" s="49">
        <f t="shared" si="5"/>
        <v>0</v>
      </c>
      <c r="AM20" s="50">
        <f t="shared" si="6"/>
        <v>0</v>
      </c>
      <c r="AN20" s="51">
        <f t="shared" si="7"/>
        <v>18</v>
      </c>
      <c r="AO20" s="52">
        <f t="shared" si="8"/>
        <v>0</v>
      </c>
      <c r="AP20" s="52">
        <f t="shared" si="9"/>
        <v>2</v>
      </c>
      <c r="AQ20" s="67"/>
      <c r="AR20" s="67"/>
      <c r="AS20" s="67"/>
      <c r="AT20" s="67"/>
      <c r="AU20" s="67"/>
    </row>
    <row r="21" ht="18.75" customHeight="1">
      <c r="A21" s="189" t="s">
        <v>246</v>
      </c>
      <c r="B21" s="197" t="s">
        <v>107</v>
      </c>
      <c r="C21" s="190" t="s">
        <v>108</v>
      </c>
      <c r="D21" s="191" t="s">
        <v>47</v>
      </c>
      <c r="E21" s="192" t="s">
        <v>53</v>
      </c>
      <c r="F21" s="191" t="s">
        <v>47</v>
      </c>
      <c r="G21" s="191" t="s">
        <v>47</v>
      </c>
      <c r="H21" s="192" t="s">
        <v>53</v>
      </c>
      <c r="I21" s="191" t="s">
        <v>47</v>
      </c>
      <c r="J21" s="193" t="s">
        <v>47</v>
      </c>
      <c r="K21" s="193" t="s">
        <v>47</v>
      </c>
      <c r="L21" s="192" t="s">
        <v>53</v>
      </c>
      <c r="M21" s="193" t="s">
        <v>47</v>
      </c>
      <c r="N21" s="193" t="s">
        <v>47</v>
      </c>
      <c r="O21" s="192" t="s">
        <v>53</v>
      </c>
      <c r="P21" s="191" t="s">
        <v>47</v>
      </c>
      <c r="Q21" s="193" t="s">
        <v>47</v>
      </c>
      <c r="R21" s="193" t="s">
        <v>47</v>
      </c>
      <c r="S21" s="192" t="s">
        <v>53</v>
      </c>
      <c r="T21" s="191" t="s">
        <v>47</v>
      </c>
      <c r="U21" s="191" t="s">
        <v>47</v>
      </c>
      <c r="V21" s="192" t="s">
        <v>53</v>
      </c>
      <c r="W21" s="191" t="s">
        <v>47</v>
      </c>
      <c r="X21" s="191" t="s">
        <v>47</v>
      </c>
      <c r="Y21" s="191" t="s">
        <v>47</v>
      </c>
      <c r="Z21" s="192" t="s">
        <v>53</v>
      </c>
      <c r="AA21" s="195" t="s">
        <v>49</v>
      </c>
      <c r="AB21" s="195" t="s">
        <v>49</v>
      </c>
      <c r="AC21" s="192" t="s">
        <v>53</v>
      </c>
      <c r="AD21" s="191" t="s">
        <v>47</v>
      </c>
      <c r="AE21" s="193" t="s">
        <v>47</v>
      </c>
      <c r="AF21" s="193" t="s">
        <v>47</v>
      </c>
      <c r="AG21" s="192" t="s">
        <v>53</v>
      </c>
      <c r="AH21" s="25"/>
      <c r="AI21" s="47">
        <f t="shared" si="2"/>
        <v>0</v>
      </c>
      <c r="AJ21" s="48">
        <f t="shared" si="3"/>
        <v>0</v>
      </c>
      <c r="AK21" s="48">
        <f t="shared" si="4"/>
        <v>0</v>
      </c>
      <c r="AL21" s="49">
        <f t="shared" si="5"/>
        <v>0</v>
      </c>
      <c r="AM21" s="50">
        <f t="shared" si="6"/>
        <v>0</v>
      </c>
      <c r="AN21" s="51">
        <f t="shared" si="7"/>
        <v>18</v>
      </c>
      <c r="AO21" s="52">
        <f t="shared" si="8"/>
        <v>0</v>
      </c>
      <c r="AP21" s="52">
        <f t="shared" si="9"/>
        <v>2</v>
      </c>
      <c r="AQ21" s="67"/>
      <c r="AR21" s="67"/>
      <c r="AS21" s="67"/>
      <c r="AT21" s="67"/>
      <c r="AU21" s="67"/>
    </row>
    <row r="22" ht="18.75" customHeight="1">
      <c r="A22" s="189" t="s">
        <v>247</v>
      </c>
      <c r="B22" s="54" t="s">
        <v>110</v>
      </c>
      <c r="C22" s="190" t="s">
        <v>111</v>
      </c>
      <c r="D22" s="192" t="s">
        <v>53</v>
      </c>
      <c r="E22" s="191" t="s">
        <v>47</v>
      </c>
      <c r="F22" s="191" t="s">
        <v>47</v>
      </c>
      <c r="G22" s="191" t="s">
        <v>47</v>
      </c>
      <c r="H22" s="191" t="s">
        <v>47</v>
      </c>
      <c r="I22" s="191" t="s">
        <v>47</v>
      </c>
      <c r="J22" s="192" t="s">
        <v>53</v>
      </c>
      <c r="K22" s="192" t="s">
        <v>53</v>
      </c>
      <c r="L22" s="191" t="s">
        <v>47</v>
      </c>
      <c r="M22" s="191" t="s">
        <v>47</v>
      </c>
      <c r="N22" s="191" t="s">
        <v>47</v>
      </c>
      <c r="O22" s="191" t="s">
        <v>47</v>
      </c>
      <c r="P22" s="191" t="s">
        <v>47</v>
      </c>
      <c r="Q22" s="192" t="s">
        <v>53</v>
      </c>
      <c r="R22" s="192" t="s">
        <v>53</v>
      </c>
      <c r="S22" s="191" t="s">
        <v>47</v>
      </c>
      <c r="T22" s="191" t="s">
        <v>47</v>
      </c>
      <c r="U22" s="191" t="s">
        <v>47</v>
      </c>
      <c r="V22" s="195" t="s">
        <v>49</v>
      </c>
      <c r="W22" s="195" t="s">
        <v>49</v>
      </c>
      <c r="X22" s="192" t="s">
        <v>53</v>
      </c>
      <c r="Y22" s="192" t="s">
        <v>53</v>
      </c>
      <c r="Z22" s="191" t="s">
        <v>47</v>
      </c>
      <c r="AA22" s="191" t="s">
        <v>47</v>
      </c>
      <c r="AB22" s="191" t="s">
        <v>47</v>
      </c>
      <c r="AC22" s="191" t="s">
        <v>47</v>
      </c>
      <c r="AD22" s="191" t="s">
        <v>47</v>
      </c>
      <c r="AE22" s="192" t="s">
        <v>53</v>
      </c>
      <c r="AF22" s="192" t="s">
        <v>53</v>
      </c>
      <c r="AG22" s="193" t="s">
        <v>47</v>
      </c>
      <c r="AH22" s="25"/>
      <c r="AI22" s="47">
        <f t="shared" si="2"/>
        <v>0</v>
      </c>
      <c r="AJ22" s="48">
        <f t="shared" si="3"/>
        <v>0</v>
      </c>
      <c r="AK22" s="48">
        <f t="shared" si="4"/>
        <v>0</v>
      </c>
      <c r="AL22" s="49">
        <f t="shared" si="5"/>
        <v>0</v>
      </c>
      <c r="AM22" s="50">
        <f t="shared" si="6"/>
        <v>0</v>
      </c>
      <c r="AN22" s="51">
        <f t="shared" si="7"/>
        <v>18</v>
      </c>
      <c r="AO22" s="52">
        <f t="shared" si="8"/>
        <v>0</v>
      </c>
      <c r="AP22" s="52">
        <f t="shared" si="9"/>
        <v>2</v>
      </c>
      <c r="AQ22" s="67"/>
      <c r="AR22" s="67"/>
      <c r="AS22" s="67"/>
      <c r="AT22" s="67"/>
      <c r="AU22" s="67"/>
    </row>
    <row r="23" ht="18.75" customHeight="1">
      <c r="A23" s="189" t="s">
        <v>248</v>
      </c>
      <c r="B23" s="54" t="s">
        <v>113</v>
      </c>
      <c r="C23" s="190" t="s">
        <v>114</v>
      </c>
      <c r="D23" s="192" t="s">
        <v>53</v>
      </c>
      <c r="E23" s="192" t="s">
        <v>53</v>
      </c>
      <c r="F23" s="195" t="s">
        <v>49</v>
      </c>
      <c r="G23" s="191" t="s">
        <v>47</v>
      </c>
      <c r="H23" s="191" t="s">
        <v>47</v>
      </c>
      <c r="I23" s="191" t="s">
        <v>47</v>
      </c>
      <c r="J23" s="191" t="s">
        <v>47</v>
      </c>
      <c r="K23" s="192" t="s">
        <v>53</v>
      </c>
      <c r="L23" s="192" t="s">
        <v>53</v>
      </c>
      <c r="M23" s="193" t="s">
        <v>47</v>
      </c>
      <c r="N23" s="193" t="s">
        <v>47</v>
      </c>
      <c r="O23" s="193" t="s">
        <v>47</v>
      </c>
      <c r="P23" s="193" t="s">
        <v>47</v>
      </c>
      <c r="Q23" s="193" t="s">
        <v>47</v>
      </c>
      <c r="R23" s="192" t="s">
        <v>53</v>
      </c>
      <c r="S23" s="192" t="s">
        <v>53</v>
      </c>
      <c r="T23" s="193" t="s">
        <v>47</v>
      </c>
      <c r="U23" s="193" t="s">
        <v>47</v>
      </c>
      <c r="V23" s="193" t="s">
        <v>47</v>
      </c>
      <c r="W23" s="193" t="s">
        <v>47</v>
      </c>
      <c r="X23" s="193" t="s">
        <v>47</v>
      </c>
      <c r="Y23" s="192" t="s">
        <v>53</v>
      </c>
      <c r="Z23" s="192" t="s">
        <v>53</v>
      </c>
      <c r="AA23" s="193" t="s">
        <v>47</v>
      </c>
      <c r="AB23" s="191" t="s">
        <v>47</v>
      </c>
      <c r="AC23" s="191" t="s">
        <v>47</v>
      </c>
      <c r="AD23" s="193" t="s">
        <v>47</v>
      </c>
      <c r="AE23" s="193" t="s">
        <v>47</v>
      </c>
      <c r="AF23" s="192" t="s">
        <v>53</v>
      </c>
      <c r="AG23" s="192" t="s">
        <v>53</v>
      </c>
      <c r="AH23" s="25"/>
      <c r="AI23" s="47">
        <f t="shared" si="2"/>
        <v>0</v>
      </c>
      <c r="AJ23" s="48">
        <f t="shared" si="3"/>
        <v>0</v>
      </c>
      <c r="AK23" s="48">
        <f t="shared" si="4"/>
        <v>0</v>
      </c>
      <c r="AL23" s="49">
        <f t="shared" si="5"/>
        <v>0</v>
      </c>
      <c r="AM23" s="50">
        <f t="shared" si="6"/>
        <v>0</v>
      </c>
      <c r="AN23" s="51">
        <f t="shared" si="7"/>
        <v>19</v>
      </c>
      <c r="AO23" s="52">
        <f t="shared" si="8"/>
        <v>0</v>
      </c>
      <c r="AP23" s="52">
        <f t="shared" si="9"/>
        <v>1</v>
      </c>
      <c r="AQ23" s="67"/>
      <c r="AR23" s="67"/>
      <c r="AS23" s="67"/>
      <c r="AT23" s="67"/>
      <c r="AU23" s="67"/>
    </row>
    <row r="24" ht="18.75" customHeight="1">
      <c r="A24" s="189" t="s">
        <v>249</v>
      </c>
      <c r="B24" s="54" t="s">
        <v>116</v>
      </c>
      <c r="C24" s="190" t="s">
        <v>117</v>
      </c>
      <c r="D24" s="193" t="s">
        <v>47</v>
      </c>
      <c r="E24" s="193" t="s">
        <v>47</v>
      </c>
      <c r="F24" s="193" t="s">
        <v>47</v>
      </c>
      <c r="G24" s="193" t="s">
        <v>47</v>
      </c>
      <c r="H24" s="192" t="s">
        <v>53</v>
      </c>
      <c r="I24" s="192" t="s">
        <v>53</v>
      </c>
      <c r="J24" s="191" t="s">
        <v>47</v>
      </c>
      <c r="K24" s="193" t="s">
        <v>47</v>
      </c>
      <c r="L24" s="193" t="s">
        <v>47</v>
      </c>
      <c r="M24" s="191" t="s">
        <v>47</v>
      </c>
      <c r="N24" s="196" t="s">
        <v>47</v>
      </c>
      <c r="O24" s="192" t="s">
        <v>53</v>
      </c>
      <c r="P24" s="192" t="s">
        <v>53</v>
      </c>
      <c r="Q24" s="191" t="s">
        <v>47</v>
      </c>
      <c r="R24" s="191" t="s">
        <v>47</v>
      </c>
      <c r="S24" s="191" t="s">
        <v>47</v>
      </c>
      <c r="T24" s="191" t="s">
        <v>47</v>
      </c>
      <c r="U24" s="191" t="s">
        <v>47</v>
      </c>
      <c r="V24" s="192" t="s">
        <v>53</v>
      </c>
      <c r="W24" s="192" t="s">
        <v>53</v>
      </c>
      <c r="X24" s="191" t="s">
        <v>47</v>
      </c>
      <c r="Y24" s="191" t="s">
        <v>47</v>
      </c>
      <c r="Z24" s="191" t="s">
        <v>47</v>
      </c>
      <c r="AA24" s="191" t="s">
        <v>47</v>
      </c>
      <c r="AB24" s="191" t="s">
        <v>47</v>
      </c>
      <c r="AC24" s="192" t="s">
        <v>53</v>
      </c>
      <c r="AD24" s="192" t="s">
        <v>53</v>
      </c>
      <c r="AE24" s="191" t="s">
        <v>47</v>
      </c>
      <c r="AF24" s="191" t="s">
        <v>47</v>
      </c>
      <c r="AG24" s="191" t="s">
        <v>47</v>
      </c>
      <c r="AH24" s="25"/>
      <c r="AI24" s="47">
        <f t="shared" si="2"/>
        <v>0</v>
      </c>
      <c r="AJ24" s="48">
        <f t="shared" si="3"/>
        <v>0</v>
      </c>
      <c r="AK24" s="48">
        <f t="shared" si="4"/>
        <v>0</v>
      </c>
      <c r="AL24" s="49">
        <f t="shared" si="5"/>
        <v>0</v>
      </c>
      <c r="AM24" s="50">
        <f t="shared" si="6"/>
        <v>0</v>
      </c>
      <c r="AN24" s="51">
        <f t="shared" si="7"/>
        <v>20</v>
      </c>
      <c r="AO24" s="52">
        <f t="shared" si="8"/>
        <v>0</v>
      </c>
      <c r="AP24" s="52">
        <f t="shared" si="9"/>
        <v>0</v>
      </c>
      <c r="AQ24" s="67"/>
      <c r="AR24" s="67"/>
      <c r="AS24" s="67"/>
      <c r="AT24" s="67"/>
      <c r="AU24" s="67"/>
    </row>
    <row r="25" ht="18.75" customHeight="1">
      <c r="A25" s="189" t="s">
        <v>250</v>
      </c>
      <c r="B25" s="54" t="s">
        <v>119</v>
      </c>
      <c r="C25" s="190" t="s">
        <v>120</v>
      </c>
      <c r="D25" s="192" t="s">
        <v>53</v>
      </c>
      <c r="E25" s="192" t="s">
        <v>53</v>
      </c>
      <c r="F25" s="195" t="s">
        <v>49</v>
      </c>
      <c r="G25" s="191" t="s">
        <v>47</v>
      </c>
      <c r="H25" s="191" t="s">
        <v>47</v>
      </c>
      <c r="I25" s="191" t="s">
        <v>47</v>
      </c>
      <c r="J25" s="191" t="s">
        <v>47</v>
      </c>
      <c r="K25" s="192" t="s">
        <v>53</v>
      </c>
      <c r="L25" s="192" t="s">
        <v>53</v>
      </c>
      <c r="M25" s="195" t="s">
        <v>49</v>
      </c>
      <c r="N25" s="191" t="s">
        <v>47</v>
      </c>
      <c r="O25" s="191" t="s">
        <v>47</v>
      </c>
      <c r="P25" s="191" t="s">
        <v>47</v>
      </c>
      <c r="Q25" s="191" t="s">
        <v>47</v>
      </c>
      <c r="R25" s="192" t="s">
        <v>53</v>
      </c>
      <c r="S25" s="192" t="s">
        <v>53</v>
      </c>
      <c r="T25" s="195" t="s">
        <v>49</v>
      </c>
      <c r="U25" s="191" t="s">
        <v>47</v>
      </c>
      <c r="V25" s="191" t="s">
        <v>47</v>
      </c>
      <c r="W25" s="195" t="s">
        <v>49</v>
      </c>
      <c r="X25" s="191" t="s">
        <v>47</v>
      </c>
      <c r="Y25" s="192" t="s">
        <v>53</v>
      </c>
      <c r="Z25" s="192" t="s">
        <v>53</v>
      </c>
      <c r="AA25" s="191" t="s">
        <v>47</v>
      </c>
      <c r="AB25" s="191" t="s">
        <v>47</v>
      </c>
      <c r="AC25" s="191" t="s">
        <v>47</v>
      </c>
      <c r="AD25" s="191" t="s">
        <v>47</v>
      </c>
      <c r="AE25" s="191" t="s">
        <v>47</v>
      </c>
      <c r="AF25" s="192" t="s">
        <v>53</v>
      </c>
      <c r="AG25" s="192" t="s">
        <v>53</v>
      </c>
      <c r="AH25" s="25"/>
      <c r="AI25" s="47">
        <f t="shared" si="2"/>
        <v>0</v>
      </c>
      <c r="AJ25" s="48">
        <f t="shared" si="3"/>
        <v>0</v>
      </c>
      <c r="AK25" s="48">
        <f t="shared" si="4"/>
        <v>0</v>
      </c>
      <c r="AL25" s="49">
        <f t="shared" si="5"/>
        <v>0</v>
      </c>
      <c r="AM25" s="50">
        <f t="shared" si="6"/>
        <v>0</v>
      </c>
      <c r="AN25" s="51">
        <f t="shared" si="7"/>
        <v>16</v>
      </c>
      <c r="AO25" s="52">
        <f t="shared" si="8"/>
        <v>0</v>
      </c>
      <c r="AP25" s="52">
        <f t="shared" si="9"/>
        <v>4</v>
      </c>
      <c r="AQ25" s="67"/>
      <c r="AR25" s="67"/>
      <c r="AS25" s="67"/>
      <c r="AT25" s="67"/>
      <c r="AU25" s="67"/>
    </row>
    <row r="26" ht="18.75" customHeight="1">
      <c r="A26" s="189" t="s">
        <v>251</v>
      </c>
      <c r="B26" s="54" t="s">
        <v>122</v>
      </c>
      <c r="C26" s="190" t="s">
        <v>123</v>
      </c>
      <c r="D26" s="193" t="s">
        <v>47</v>
      </c>
      <c r="E26" s="193" t="s">
        <v>47</v>
      </c>
      <c r="F26" s="193" t="s">
        <v>47</v>
      </c>
      <c r="G26" s="191" t="s">
        <v>47</v>
      </c>
      <c r="H26" s="192" t="s">
        <v>53</v>
      </c>
      <c r="I26" s="192" t="s">
        <v>53</v>
      </c>
      <c r="J26" s="191" t="s">
        <v>47</v>
      </c>
      <c r="K26" s="193" t="s">
        <v>47</v>
      </c>
      <c r="L26" s="193" t="s">
        <v>47</v>
      </c>
      <c r="M26" s="191" t="s">
        <v>47</v>
      </c>
      <c r="N26" s="191" t="s">
        <v>47</v>
      </c>
      <c r="O26" s="192" t="s">
        <v>53</v>
      </c>
      <c r="P26" s="192" t="s">
        <v>53</v>
      </c>
      <c r="Q26" s="191" t="s">
        <v>47</v>
      </c>
      <c r="R26" s="191" t="s">
        <v>47</v>
      </c>
      <c r="S26" s="191" t="s">
        <v>47</v>
      </c>
      <c r="T26" s="191" t="s">
        <v>47</v>
      </c>
      <c r="U26" s="191" t="s">
        <v>47</v>
      </c>
      <c r="V26" s="192" t="s">
        <v>53</v>
      </c>
      <c r="W26" s="192" t="s">
        <v>53</v>
      </c>
      <c r="X26" s="191" t="s">
        <v>47</v>
      </c>
      <c r="Y26" s="191" t="s">
        <v>47</v>
      </c>
      <c r="Z26" s="191" t="s">
        <v>47</v>
      </c>
      <c r="AA26" s="191" t="s">
        <v>47</v>
      </c>
      <c r="AB26" s="191" t="s">
        <v>47</v>
      </c>
      <c r="AC26" s="192" t="s">
        <v>53</v>
      </c>
      <c r="AD26" s="192" t="s">
        <v>53</v>
      </c>
      <c r="AE26" s="191" t="s">
        <v>47</v>
      </c>
      <c r="AF26" s="191" t="s">
        <v>47</v>
      </c>
      <c r="AG26" s="191" t="s">
        <v>47</v>
      </c>
      <c r="AH26" s="25"/>
      <c r="AI26" s="47">
        <f t="shared" si="2"/>
        <v>0</v>
      </c>
      <c r="AJ26" s="48">
        <f t="shared" si="3"/>
        <v>0</v>
      </c>
      <c r="AK26" s="48">
        <f t="shared" si="4"/>
        <v>0</v>
      </c>
      <c r="AL26" s="49">
        <f t="shared" si="5"/>
        <v>0</v>
      </c>
      <c r="AM26" s="50">
        <f t="shared" si="6"/>
        <v>0</v>
      </c>
      <c r="AN26" s="51">
        <f t="shared" si="7"/>
        <v>20</v>
      </c>
      <c r="AO26" s="52">
        <f t="shared" si="8"/>
        <v>0</v>
      </c>
      <c r="AP26" s="52">
        <f t="shared" si="9"/>
        <v>0</v>
      </c>
      <c r="AQ26" s="67"/>
      <c r="AR26" s="67"/>
      <c r="AS26" s="67"/>
      <c r="AT26" s="67"/>
      <c r="AU26" s="67"/>
    </row>
    <row r="27" ht="18.75" customHeight="1">
      <c r="A27" s="189" t="s">
        <v>252</v>
      </c>
      <c r="B27" s="197" t="s">
        <v>125</v>
      </c>
      <c r="C27" s="190" t="s">
        <v>126</v>
      </c>
      <c r="D27" s="193" t="s">
        <v>47</v>
      </c>
      <c r="E27" s="193" t="s">
        <v>47</v>
      </c>
      <c r="F27" s="193" t="s">
        <v>47</v>
      </c>
      <c r="G27" s="193" t="s">
        <v>47</v>
      </c>
      <c r="H27" s="192" t="s">
        <v>53</v>
      </c>
      <c r="I27" s="192" t="s">
        <v>53</v>
      </c>
      <c r="J27" s="191" t="s">
        <v>47</v>
      </c>
      <c r="K27" s="193" t="s">
        <v>47</v>
      </c>
      <c r="L27" s="193" t="s">
        <v>47</v>
      </c>
      <c r="M27" s="193" t="s">
        <v>47</v>
      </c>
      <c r="N27" s="193" t="s">
        <v>47</v>
      </c>
      <c r="O27" s="192" t="s">
        <v>53</v>
      </c>
      <c r="P27" s="192" t="s">
        <v>53</v>
      </c>
      <c r="Q27" s="191" t="s">
        <v>47</v>
      </c>
      <c r="R27" s="193" t="s">
        <v>47</v>
      </c>
      <c r="S27" s="193" t="s">
        <v>47</v>
      </c>
      <c r="T27" s="191" t="s">
        <v>47</v>
      </c>
      <c r="U27" s="191" t="s">
        <v>47</v>
      </c>
      <c r="V27" s="192" t="s">
        <v>53</v>
      </c>
      <c r="W27" s="192" t="s">
        <v>53</v>
      </c>
      <c r="X27" s="191" t="s">
        <v>47</v>
      </c>
      <c r="Y27" s="195" t="s">
        <v>49</v>
      </c>
      <c r="Z27" s="195" t="s">
        <v>49</v>
      </c>
      <c r="AA27" s="195" t="s">
        <v>49</v>
      </c>
      <c r="AB27" s="195" t="s">
        <v>49</v>
      </c>
      <c r="AC27" s="192" t="s">
        <v>53</v>
      </c>
      <c r="AD27" s="192" t="s">
        <v>53</v>
      </c>
      <c r="AE27" s="191" t="s">
        <v>47</v>
      </c>
      <c r="AF27" s="191" t="s">
        <v>47</v>
      </c>
      <c r="AG27" s="191" t="s">
        <v>47</v>
      </c>
      <c r="AH27" s="25"/>
      <c r="AI27" s="47">
        <f t="shared" si="2"/>
        <v>0</v>
      </c>
      <c r="AJ27" s="48">
        <f t="shared" si="3"/>
        <v>0</v>
      </c>
      <c r="AK27" s="48">
        <f t="shared" si="4"/>
        <v>0</v>
      </c>
      <c r="AL27" s="49">
        <f t="shared" si="5"/>
        <v>0</v>
      </c>
      <c r="AM27" s="50">
        <f t="shared" si="6"/>
        <v>0</v>
      </c>
      <c r="AN27" s="51">
        <f t="shared" si="7"/>
        <v>16</v>
      </c>
      <c r="AO27" s="52">
        <f t="shared" si="8"/>
        <v>0</v>
      </c>
      <c r="AP27" s="52">
        <f t="shared" si="9"/>
        <v>4</v>
      </c>
      <c r="AQ27" s="67"/>
      <c r="AR27" s="67"/>
      <c r="AS27" s="67"/>
      <c r="AT27" s="67"/>
      <c r="AU27" s="67"/>
    </row>
    <row r="28" ht="18.75" customHeight="1">
      <c r="A28" s="189" t="s">
        <v>253</v>
      </c>
      <c r="B28" s="54" t="s">
        <v>128</v>
      </c>
      <c r="C28" s="190" t="s">
        <v>129</v>
      </c>
      <c r="D28" s="192" t="s">
        <v>53</v>
      </c>
      <c r="E28" s="192" t="s">
        <v>53</v>
      </c>
      <c r="F28" s="191" t="s">
        <v>47</v>
      </c>
      <c r="G28" s="191" t="s">
        <v>47</v>
      </c>
      <c r="H28" s="191" t="s">
        <v>47</v>
      </c>
      <c r="I28" s="191" t="s">
        <v>47</v>
      </c>
      <c r="J28" s="195" t="s">
        <v>49</v>
      </c>
      <c r="K28" s="192" t="s">
        <v>53</v>
      </c>
      <c r="L28" s="192" t="s">
        <v>53</v>
      </c>
      <c r="M28" s="191" t="s">
        <v>47</v>
      </c>
      <c r="N28" s="191" t="s">
        <v>47</v>
      </c>
      <c r="O28" s="191" t="s">
        <v>47</v>
      </c>
      <c r="P28" s="191" t="s">
        <v>47</v>
      </c>
      <c r="Q28" s="195" t="s">
        <v>49</v>
      </c>
      <c r="R28" s="192" t="s">
        <v>53</v>
      </c>
      <c r="S28" s="192" t="s">
        <v>53</v>
      </c>
      <c r="T28" s="191" t="s">
        <v>47</v>
      </c>
      <c r="U28" s="191" t="s">
        <v>47</v>
      </c>
      <c r="V28" s="191" t="s">
        <v>47</v>
      </c>
      <c r="W28" s="191" t="s">
        <v>47</v>
      </c>
      <c r="X28" s="195" t="s">
        <v>49</v>
      </c>
      <c r="Y28" s="192" t="s">
        <v>53</v>
      </c>
      <c r="Z28" s="192" t="s">
        <v>53</v>
      </c>
      <c r="AA28" s="191" t="s">
        <v>47</v>
      </c>
      <c r="AB28" s="193" t="s">
        <v>47</v>
      </c>
      <c r="AC28" s="193" t="s">
        <v>47</v>
      </c>
      <c r="AD28" s="191" t="s">
        <v>47</v>
      </c>
      <c r="AE28" s="195" t="s">
        <v>49</v>
      </c>
      <c r="AF28" s="192" t="s">
        <v>53</v>
      </c>
      <c r="AG28" s="192" t="s">
        <v>53</v>
      </c>
      <c r="AH28" s="25"/>
      <c r="AI28" s="47">
        <f t="shared" si="2"/>
        <v>0</v>
      </c>
      <c r="AJ28" s="48">
        <f t="shared" si="3"/>
        <v>0</v>
      </c>
      <c r="AK28" s="48">
        <f t="shared" si="4"/>
        <v>0</v>
      </c>
      <c r="AL28" s="49">
        <f t="shared" si="5"/>
        <v>0</v>
      </c>
      <c r="AM28" s="50">
        <f t="shared" si="6"/>
        <v>0</v>
      </c>
      <c r="AN28" s="51">
        <f t="shared" si="7"/>
        <v>16</v>
      </c>
      <c r="AO28" s="52">
        <f t="shared" si="8"/>
        <v>0</v>
      </c>
      <c r="AP28" s="52">
        <f t="shared" si="9"/>
        <v>4</v>
      </c>
      <c r="AQ28" s="67"/>
      <c r="AR28" s="67"/>
      <c r="AS28" s="67"/>
      <c r="AT28" s="67"/>
      <c r="AU28" s="67"/>
    </row>
    <row r="29" ht="18.75" customHeight="1">
      <c r="A29" s="189" t="s">
        <v>254</v>
      </c>
      <c r="B29" s="54" t="s">
        <v>131</v>
      </c>
      <c r="C29" s="190" t="s">
        <v>132</v>
      </c>
      <c r="D29" s="191" t="s">
        <v>47</v>
      </c>
      <c r="E29" s="191" t="s">
        <v>47</v>
      </c>
      <c r="F29" s="191" t="s">
        <v>47</v>
      </c>
      <c r="G29" s="192" t="s">
        <v>53</v>
      </c>
      <c r="H29" s="192" t="s">
        <v>53</v>
      </c>
      <c r="I29" s="191" t="s">
        <v>47</v>
      </c>
      <c r="J29" s="191" t="s">
        <v>47</v>
      </c>
      <c r="K29" s="191" t="s">
        <v>47</v>
      </c>
      <c r="L29" s="191" t="s">
        <v>47</v>
      </c>
      <c r="M29" s="191" t="s">
        <v>47</v>
      </c>
      <c r="N29" s="192" t="s">
        <v>53</v>
      </c>
      <c r="O29" s="192" t="s">
        <v>53</v>
      </c>
      <c r="P29" s="191" t="s">
        <v>47</v>
      </c>
      <c r="Q29" s="191" t="s">
        <v>47</v>
      </c>
      <c r="R29" s="191" t="s">
        <v>47</v>
      </c>
      <c r="S29" s="191" t="s">
        <v>47</v>
      </c>
      <c r="T29" s="193" t="s">
        <v>47</v>
      </c>
      <c r="U29" s="192" t="s">
        <v>53</v>
      </c>
      <c r="V29" s="192" t="s">
        <v>53</v>
      </c>
      <c r="W29" s="191" t="s">
        <v>47</v>
      </c>
      <c r="X29" s="191" t="s">
        <v>47</v>
      </c>
      <c r="Y29" s="191" t="s">
        <v>47</v>
      </c>
      <c r="Z29" s="191" t="s">
        <v>47</v>
      </c>
      <c r="AA29" s="193" t="s">
        <v>47</v>
      </c>
      <c r="AB29" s="192" t="s">
        <v>53</v>
      </c>
      <c r="AC29" s="192" t="s">
        <v>53</v>
      </c>
      <c r="AD29" s="191" t="s">
        <v>47</v>
      </c>
      <c r="AE29" s="191" t="s">
        <v>47</v>
      </c>
      <c r="AF29" s="191" t="s">
        <v>47</v>
      </c>
      <c r="AG29" s="191" t="s">
        <v>47</v>
      </c>
      <c r="AH29" s="25"/>
      <c r="AI29" s="47">
        <f t="shared" si="2"/>
        <v>0</v>
      </c>
      <c r="AJ29" s="48">
        <f t="shared" si="3"/>
        <v>0</v>
      </c>
      <c r="AK29" s="48">
        <f t="shared" si="4"/>
        <v>0</v>
      </c>
      <c r="AL29" s="49">
        <f t="shared" si="5"/>
        <v>0</v>
      </c>
      <c r="AM29" s="50">
        <f t="shared" si="6"/>
        <v>0</v>
      </c>
      <c r="AN29" s="51">
        <f t="shared" si="7"/>
        <v>20</v>
      </c>
      <c r="AO29" s="52">
        <f t="shared" si="8"/>
        <v>0</v>
      </c>
      <c r="AP29" s="52">
        <f t="shared" si="9"/>
        <v>0</v>
      </c>
      <c r="AQ29" s="67"/>
      <c r="AR29" s="67"/>
      <c r="AS29" s="67"/>
      <c r="AT29" s="67"/>
      <c r="AU29" s="67"/>
    </row>
    <row r="30" ht="18.75" customHeight="1">
      <c r="A30" s="189" t="s">
        <v>255</v>
      </c>
      <c r="B30" s="54" t="s">
        <v>134</v>
      </c>
      <c r="C30" s="190" t="s">
        <v>135</v>
      </c>
      <c r="D30" s="195" t="s">
        <v>49</v>
      </c>
      <c r="E30" s="192" t="s">
        <v>53</v>
      </c>
      <c r="F30" s="192" t="s">
        <v>53</v>
      </c>
      <c r="G30" s="195" t="s">
        <v>49</v>
      </c>
      <c r="H30" s="195" t="s">
        <v>49</v>
      </c>
      <c r="I30" s="57" t="s">
        <v>48</v>
      </c>
      <c r="J30" s="57" t="s">
        <v>48</v>
      </c>
      <c r="K30" s="57" t="s">
        <v>48</v>
      </c>
      <c r="L30" s="192" t="s">
        <v>53</v>
      </c>
      <c r="M30" s="192" t="s">
        <v>53</v>
      </c>
      <c r="N30" s="57" t="s">
        <v>48</v>
      </c>
      <c r="O30" s="57" t="s">
        <v>48</v>
      </c>
      <c r="P30" s="57" t="s">
        <v>48</v>
      </c>
      <c r="Q30" s="57" t="s">
        <v>48</v>
      </c>
      <c r="R30" s="57" t="s">
        <v>48</v>
      </c>
      <c r="S30" s="192" t="s">
        <v>53</v>
      </c>
      <c r="T30" s="192" t="s">
        <v>53</v>
      </c>
      <c r="U30" s="191" t="s">
        <v>47</v>
      </c>
      <c r="V30" s="191" t="s">
        <v>47</v>
      </c>
      <c r="W30" s="191" t="s">
        <v>47</v>
      </c>
      <c r="X30" s="191" t="s">
        <v>47</v>
      </c>
      <c r="Y30" s="191" t="s">
        <v>47</v>
      </c>
      <c r="Z30" s="192" t="s">
        <v>53</v>
      </c>
      <c r="AA30" s="192" t="s">
        <v>53</v>
      </c>
      <c r="AB30" s="191" t="s">
        <v>47</v>
      </c>
      <c r="AC30" s="191" t="s">
        <v>47</v>
      </c>
      <c r="AD30" s="191" t="s">
        <v>47</v>
      </c>
      <c r="AE30" s="195" t="s">
        <v>49</v>
      </c>
      <c r="AF30" s="195" t="s">
        <v>49</v>
      </c>
      <c r="AG30" s="192" t="s">
        <v>53</v>
      </c>
      <c r="AH30" s="25"/>
      <c r="AI30" s="47">
        <f t="shared" si="2"/>
        <v>0</v>
      </c>
      <c r="AJ30" s="48">
        <f t="shared" si="3"/>
        <v>0</v>
      </c>
      <c r="AK30" s="48">
        <f t="shared" si="4"/>
        <v>0</v>
      </c>
      <c r="AL30" s="49">
        <f t="shared" si="5"/>
        <v>0</v>
      </c>
      <c r="AM30" s="50">
        <f t="shared" si="6"/>
        <v>0</v>
      </c>
      <c r="AN30" s="51">
        <f t="shared" si="7"/>
        <v>8</v>
      </c>
      <c r="AO30" s="52">
        <f t="shared" si="8"/>
        <v>8</v>
      </c>
      <c r="AP30" s="52">
        <f t="shared" si="9"/>
        <v>4</v>
      </c>
      <c r="AQ30" s="67"/>
      <c r="AR30" s="67"/>
      <c r="AS30" s="67"/>
      <c r="AT30" s="67"/>
      <c r="AU30" s="67"/>
    </row>
    <row r="31" ht="18.75" customHeight="1">
      <c r="A31" s="189" t="s">
        <v>256</v>
      </c>
      <c r="B31" s="54" t="s">
        <v>137</v>
      </c>
      <c r="C31" s="190" t="s">
        <v>138</v>
      </c>
      <c r="D31" s="191" t="s">
        <v>47</v>
      </c>
      <c r="E31" s="191" t="s">
        <v>47</v>
      </c>
      <c r="F31" s="191" t="s">
        <v>47</v>
      </c>
      <c r="G31" s="192" t="s">
        <v>53</v>
      </c>
      <c r="H31" s="192" t="s">
        <v>53</v>
      </c>
      <c r="I31" s="191" t="s">
        <v>47</v>
      </c>
      <c r="J31" s="191" t="s">
        <v>47</v>
      </c>
      <c r="K31" s="191" t="s">
        <v>47</v>
      </c>
      <c r="L31" s="191" t="s">
        <v>47</v>
      </c>
      <c r="M31" s="191" t="s">
        <v>47</v>
      </c>
      <c r="N31" s="192" t="s">
        <v>53</v>
      </c>
      <c r="O31" s="192" t="s">
        <v>53</v>
      </c>
      <c r="P31" s="191" t="s">
        <v>47</v>
      </c>
      <c r="Q31" s="191" t="s">
        <v>47</v>
      </c>
      <c r="R31" s="191" t="s">
        <v>47</v>
      </c>
      <c r="S31" s="191" t="s">
        <v>47</v>
      </c>
      <c r="T31" s="193" t="s">
        <v>47</v>
      </c>
      <c r="U31" s="192" t="s">
        <v>53</v>
      </c>
      <c r="V31" s="192" t="s">
        <v>53</v>
      </c>
      <c r="W31" s="191" t="s">
        <v>47</v>
      </c>
      <c r="X31" s="191" t="s">
        <v>47</v>
      </c>
      <c r="Y31" s="191" t="s">
        <v>47</v>
      </c>
      <c r="Z31" s="191" t="s">
        <v>47</v>
      </c>
      <c r="AA31" s="193" t="s">
        <v>47</v>
      </c>
      <c r="AB31" s="192" t="s">
        <v>53</v>
      </c>
      <c r="AC31" s="192" t="s">
        <v>53</v>
      </c>
      <c r="AD31" s="191" t="s">
        <v>47</v>
      </c>
      <c r="AE31" s="191" t="s">
        <v>47</v>
      </c>
      <c r="AF31" s="191" t="s">
        <v>47</v>
      </c>
      <c r="AG31" s="191" t="s">
        <v>47</v>
      </c>
      <c r="AH31" s="25"/>
      <c r="AI31" s="47">
        <f t="shared" si="2"/>
        <v>0</v>
      </c>
      <c r="AJ31" s="48">
        <f t="shared" si="3"/>
        <v>0</v>
      </c>
      <c r="AK31" s="48">
        <f t="shared" si="4"/>
        <v>0</v>
      </c>
      <c r="AL31" s="49">
        <f t="shared" si="5"/>
        <v>0</v>
      </c>
      <c r="AM31" s="50">
        <f t="shared" si="6"/>
        <v>0</v>
      </c>
      <c r="AN31" s="51">
        <f t="shared" si="7"/>
        <v>20</v>
      </c>
      <c r="AO31" s="52">
        <f t="shared" si="8"/>
        <v>0</v>
      </c>
      <c r="AP31" s="52">
        <f t="shared" si="9"/>
        <v>0</v>
      </c>
      <c r="AQ31" s="67"/>
      <c r="AR31" s="67"/>
      <c r="AS31" s="67"/>
      <c r="AT31" s="67"/>
      <c r="AU31" s="67"/>
    </row>
    <row r="32" ht="18.75" customHeight="1">
      <c r="A32" s="189" t="s">
        <v>257</v>
      </c>
      <c r="B32" s="54" t="s">
        <v>140</v>
      </c>
      <c r="C32" s="190" t="s">
        <v>141</v>
      </c>
      <c r="D32" s="191" t="s">
        <v>47</v>
      </c>
      <c r="E32" s="191" t="s">
        <v>47</v>
      </c>
      <c r="F32" s="191" t="s">
        <v>47</v>
      </c>
      <c r="G32" s="192" t="s">
        <v>53</v>
      </c>
      <c r="H32" s="192" t="s">
        <v>53</v>
      </c>
      <c r="I32" s="191" t="s">
        <v>47</v>
      </c>
      <c r="J32" s="191" t="s">
        <v>47</v>
      </c>
      <c r="K32" s="191" t="s">
        <v>47</v>
      </c>
      <c r="L32" s="191" t="s">
        <v>47</v>
      </c>
      <c r="M32" s="191" t="s">
        <v>47</v>
      </c>
      <c r="N32" s="192" t="s">
        <v>53</v>
      </c>
      <c r="O32" s="192" t="s">
        <v>53</v>
      </c>
      <c r="P32" s="191" t="s">
        <v>47</v>
      </c>
      <c r="Q32" s="191" t="s">
        <v>47</v>
      </c>
      <c r="R32" s="191" t="s">
        <v>47</v>
      </c>
      <c r="S32" s="191" t="s">
        <v>47</v>
      </c>
      <c r="T32" s="191" t="s">
        <v>47</v>
      </c>
      <c r="U32" s="192" t="s">
        <v>53</v>
      </c>
      <c r="V32" s="192" t="s">
        <v>53</v>
      </c>
      <c r="W32" s="191" t="s">
        <v>47</v>
      </c>
      <c r="X32" s="191" t="s">
        <v>47</v>
      </c>
      <c r="Y32" s="191" t="s">
        <v>47</v>
      </c>
      <c r="Z32" s="191" t="s">
        <v>47</v>
      </c>
      <c r="AA32" s="191" t="s">
        <v>47</v>
      </c>
      <c r="AB32" s="192" t="s">
        <v>53</v>
      </c>
      <c r="AC32" s="192" t="s">
        <v>53</v>
      </c>
      <c r="AD32" s="191" t="s">
        <v>47</v>
      </c>
      <c r="AE32" s="191" t="s">
        <v>47</v>
      </c>
      <c r="AF32" s="191" t="s">
        <v>47</v>
      </c>
      <c r="AG32" s="191" t="s">
        <v>47</v>
      </c>
      <c r="AH32" s="25"/>
      <c r="AI32" s="47">
        <f t="shared" si="2"/>
        <v>0</v>
      </c>
      <c r="AJ32" s="48">
        <f t="shared" si="3"/>
        <v>0</v>
      </c>
      <c r="AK32" s="48">
        <f t="shared" si="4"/>
        <v>0</v>
      </c>
      <c r="AL32" s="49">
        <f t="shared" si="5"/>
        <v>0</v>
      </c>
      <c r="AM32" s="50">
        <f t="shared" si="6"/>
        <v>0</v>
      </c>
      <c r="AN32" s="51">
        <f t="shared" si="7"/>
        <v>20</v>
      </c>
      <c r="AO32" s="52">
        <f t="shared" si="8"/>
        <v>0</v>
      </c>
      <c r="AP32" s="52">
        <f t="shared" si="9"/>
        <v>0</v>
      </c>
      <c r="AQ32" s="67"/>
      <c r="AR32" s="67"/>
      <c r="AS32" s="67"/>
      <c r="AT32" s="67"/>
      <c r="AU32" s="67"/>
    </row>
    <row r="33" ht="18.75" customHeight="1">
      <c r="A33" s="189" t="s">
        <v>258</v>
      </c>
      <c r="B33" s="54" t="s">
        <v>143</v>
      </c>
      <c r="C33" s="190" t="s">
        <v>144</v>
      </c>
      <c r="D33" s="195" t="s">
        <v>49</v>
      </c>
      <c r="E33" s="195" t="s">
        <v>49</v>
      </c>
      <c r="F33" s="195" t="s">
        <v>49</v>
      </c>
      <c r="G33" s="57" t="s">
        <v>48</v>
      </c>
      <c r="H33" s="192" t="s">
        <v>53</v>
      </c>
      <c r="I33" s="192" t="s">
        <v>53</v>
      </c>
      <c r="J33" s="57" t="s">
        <v>48</v>
      </c>
      <c r="K33" s="57" t="s">
        <v>48</v>
      </c>
      <c r="L33" s="57" t="s">
        <v>48</v>
      </c>
      <c r="M33" s="57" t="s">
        <v>48</v>
      </c>
      <c r="N33" s="57" t="s">
        <v>48</v>
      </c>
      <c r="O33" s="192" t="s">
        <v>53</v>
      </c>
      <c r="P33" s="192" t="s">
        <v>53</v>
      </c>
      <c r="Q33" s="191" t="s">
        <v>47</v>
      </c>
      <c r="R33" s="191" t="s">
        <v>47</v>
      </c>
      <c r="S33" s="191" t="s">
        <v>47</v>
      </c>
      <c r="T33" s="191" t="s">
        <v>47</v>
      </c>
      <c r="U33" s="191" t="s">
        <v>47</v>
      </c>
      <c r="V33" s="192" t="s">
        <v>53</v>
      </c>
      <c r="W33" s="192" t="s">
        <v>53</v>
      </c>
      <c r="X33" s="191" t="s">
        <v>47</v>
      </c>
      <c r="Y33" s="191" t="s">
        <v>47</v>
      </c>
      <c r="Z33" s="191" t="s">
        <v>47</v>
      </c>
      <c r="AA33" s="191" t="s">
        <v>47</v>
      </c>
      <c r="AB33" s="191" t="s">
        <v>47</v>
      </c>
      <c r="AC33" s="192" t="s">
        <v>53</v>
      </c>
      <c r="AD33" s="192" t="s">
        <v>53</v>
      </c>
      <c r="AE33" s="191" t="s">
        <v>47</v>
      </c>
      <c r="AF33" s="191" t="s">
        <v>47</v>
      </c>
      <c r="AG33" s="191" t="s">
        <v>47</v>
      </c>
      <c r="AH33" s="25"/>
      <c r="AI33" s="47">
        <f t="shared" si="2"/>
        <v>0</v>
      </c>
      <c r="AJ33" s="48">
        <f t="shared" si="3"/>
        <v>0</v>
      </c>
      <c r="AK33" s="48">
        <f t="shared" si="4"/>
        <v>0</v>
      </c>
      <c r="AL33" s="49">
        <f t="shared" si="5"/>
        <v>0</v>
      </c>
      <c r="AM33" s="50">
        <f t="shared" si="6"/>
        <v>0</v>
      </c>
      <c r="AN33" s="51">
        <f t="shared" si="7"/>
        <v>11</v>
      </c>
      <c r="AO33" s="52">
        <f t="shared" si="8"/>
        <v>6</v>
      </c>
      <c r="AP33" s="52">
        <f t="shared" si="9"/>
        <v>3</v>
      </c>
      <c r="AQ33" s="67"/>
      <c r="AR33" s="67"/>
      <c r="AS33" s="67"/>
      <c r="AT33" s="67"/>
      <c r="AU33" s="67"/>
    </row>
    <row r="34" ht="18.75" customHeight="1">
      <c r="A34" s="189" t="s">
        <v>259</v>
      </c>
      <c r="B34" s="54" t="s">
        <v>146</v>
      </c>
      <c r="C34" s="190" t="s">
        <v>147</v>
      </c>
      <c r="D34" s="192" t="s">
        <v>53</v>
      </c>
      <c r="E34" s="191" t="s">
        <v>47</v>
      </c>
      <c r="F34" s="191" t="s">
        <v>47</v>
      </c>
      <c r="G34" s="191" t="s">
        <v>47</v>
      </c>
      <c r="H34" s="191" t="s">
        <v>47</v>
      </c>
      <c r="I34" s="191" t="s">
        <v>47</v>
      </c>
      <c r="J34" s="192" t="s">
        <v>53</v>
      </c>
      <c r="K34" s="192" t="s">
        <v>53</v>
      </c>
      <c r="L34" s="191" t="s">
        <v>47</v>
      </c>
      <c r="M34" s="191" t="s">
        <v>47</v>
      </c>
      <c r="N34" s="191" t="s">
        <v>47</v>
      </c>
      <c r="O34" s="191" t="s">
        <v>47</v>
      </c>
      <c r="P34" s="191" t="s">
        <v>47</v>
      </c>
      <c r="Q34" s="192" t="s">
        <v>53</v>
      </c>
      <c r="R34" s="192" t="s">
        <v>53</v>
      </c>
      <c r="S34" s="191" t="s">
        <v>47</v>
      </c>
      <c r="T34" s="191" t="s">
        <v>47</v>
      </c>
      <c r="U34" s="191" t="s">
        <v>47</v>
      </c>
      <c r="V34" s="191" t="s">
        <v>47</v>
      </c>
      <c r="W34" s="191" t="s">
        <v>47</v>
      </c>
      <c r="X34" s="192" t="s">
        <v>53</v>
      </c>
      <c r="Y34" s="192" t="s">
        <v>53</v>
      </c>
      <c r="Z34" s="191" t="s">
        <v>47</v>
      </c>
      <c r="AA34" s="191" t="s">
        <v>47</v>
      </c>
      <c r="AB34" s="191" t="s">
        <v>47</v>
      </c>
      <c r="AC34" s="191" t="s">
        <v>47</v>
      </c>
      <c r="AD34" s="191" t="s">
        <v>47</v>
      </c>
      <c r="AE34" s="192" t="s">
        <v>53</v>
      </c>
      <c r="AF34" s="192" t="s">
        <v>53</v>
      </c>
      <c r="AG34" s="195" t="s">
        <v>49</v>
      </c>
      <c r="AH34" s="25" t="s">
        <v>148</v>
      </c>
      <c r="AI34" s="47">
        <f t="shared" si="2"/>
        <v>0</v>
      </c>
      <c r="AJ34" s="48">
        <f t="shared" si="3"/>
        <v>0</v>
      </c>
      <c r="AK34" s="48">
        <f t="shared" si="4"/>
        <v>0</v>
      </c>
      <c r="AL34" s="49">
        <f t="shared" si="5"/>
        <v>0</v>
      </c>
      <c r="AM34" s="50">
        <f t="shared" si="6"/>
        <v>0</v>
      </c>
      <c r="AN34" s="51">
        <f t="shared" si="7"/>
        <v>20</v>
      </c>
      <c r="AO34" s="52">
        <f t="shared" si="8"/>
        <v>0</v>
      </c>
      <c r="AP34" s="52">
        <f t="shared" si="9"/>
        <v>0</v>
      </c>
      <c r="AQ34" s="67"/>
      <c r="AR34" s="67"/>
      <c r="AS34" s="67"/>
      <c r="AT34" s="67"/>
      <c r="AU34" s="67"/>
    </row>
    <row r="35" ht="18.75" customHeight="1">
      <c r="A35" s="189" t="s">
        <v>260</v>
      </c>
      <c r="B35" s="54" t="s">
        <v>150</v>
      </c>
      <c r="C35" s="190" t="s">
        <v>151</v>
      </c>
      <c r="D35" s="191" t="s">
        <v>47</v>
      </c>
      <c r="E35" s="191" t="s">
        <v>47</v>
      </c>
      <c r="F35" s="193" t="s">
        <v>47</v>
      </c>
      <c r="G35" s="193" t="s">
        <v>47</v>
      </c>
      <c r="H35" s="192" t="s">
        <v>53</v>
      </c>
      <c r="I35" s="192" t="s">
        <v>53</v>
      </c>
      <c r="J35" s="191" t="s">
        <v>47</v>
      </c>
      <c r="K35" s="191" t="s">
        <v>47</v>
      </c>
      <c r="L35" s="191" t="s">
        <v>47</v>
      </c>
      <c r="M35" s="191" t="s">
        <v>47</v>
      </c>
      <c r="N35" s="191" t="s">
        <v>47</v>
      </c>
      <c r="O35" s="192" t="s">
        <v>53</v>
      </c>
      <c r="P35" s="192" t="s">
        <v>53</v>
      </c>
      <c r="Q35" s="191" t="s">
        <v>47</v>
      </c>
      <c r="R35" s="191" t="s">
        <v>47</v>
      </c>
      <c r="S35" s="191" t="s">
        <v>47</v>
      </c>
      <c r="T35" s="191" t="s">
        <v>47</v>
      </c>
      <c r="U35" s="191" t="s">
        <v>47</v>
      </c>
      <c r="V35" s="192" t="s">
        <v>53</v>
      </c>
      <c r="W35" s="192" t="s">
        <v>53</v>
      </c>
      <c r="X35" s="191" t="s">
        <v>47</v>
      </c>
      <c r="Y35" s="191" t="s">
        <v>47</v>
      </c>
      <c r="Z35" s="191" t="s">
        <v>47</v>
      </c>
      <c r="AA35" s="191" t="s">
        <v>47</v>
      </c>
      <c r="AB35" s="191" t="s">
        <v>47</v>
      </c>
      <c r="AC35" s="192" t="s">
        <v>53</v>
      </c>
      <c r="AD35" s="192" t="s">
        <v>53</v>
      </c>
      <c r="AE35" s="191" t="s">
        <v>47</v>
      </c>
      <c r="AF35" s="191" t="s">
        <v>47</v>
      </c>
      <c r="AG35" s="191" t="s">
        <v>47</v>
      </c>
      <c r="AH35" s="25"/>
      <c r="AI35" s="47">
        <f t="shared" si="2"/>
        <v>0</v>
      </c>
      <c r="AJ35" s="48">
        <f t="shared" si="3"/>
        <v>0</v>
      </c>
      <c r="AK35" s="48">
        <f t="shared" si="4"/>
        <v>0</v>
      </c>
      <c r="AL35" s="49">
        <f t="shared" si="5"/>
        <v>0</v>
      </c>
      <c r="AM35" s="50">
        <f t="shared" si="6"/>
        <v>0</v>
      </c>
      <c r="AN35" s="51">
        <f t="shared" si="7"/>
        <v>20</v>
      </c>
      <c r="AO35" s="52">
        <f t="shared" si="8"/>
        <v>0</v>
      </c>
      <c r="AP35" s="52">
        <f t="shared" si="9"/>
        <v>0</v>
      </c>
      <c r="AQ35" s="67"/>
      <c r="AR35" s="67"/>
      <c r="AS35" s="67"/>
      <c r="AT35" s="67"/>
      <c r="AU35" s="67"/>
    </row>
    <row r="36" ht="18.75" customHeight="1">
      <c r="A36" s="189" t="s">
        <v>261</v>
      </c>
      <c r="B36" s="54" t="s">
        <v>153</v>
      </c>
      <c r="C36" s="190" t="s">
        <v>154</v>
      </c>
      <c r="D36" s="191" t="s">
        <v>47</v>
      </c>
      <c r="E36" s="191" t="s">
        <v>47</v>
      </c>
      <c r="F36" s="191" t="s">
        <v>47</v>
      </c>
      <c r="G36" s="191" t="s">
        <v>47</v>
      </c>
      <c r="H36" s="192" t="s">
        <v>53</v>
      </c>
      <c r="I36" s="192" t="s">
        <v>53</v>
      </c>
      <c r="J36" s="191" t="s">
        <v>47</v>
      </c>
      <c r="K36" s="191" t="s">
        <v>47</v>
      </c>
      <c r="L36" s="191" t="s">
        <v>47</v>
      </c>
      <c r="M36" s="191" t="s">
        <v>47</v>
      </c>
      <c r="N36" s="191" t="s">
        <v>47</v>
      </c>
      <c r="O36" s="192" t="s">
        <v>53</v>
      </c>
      <c r="P36" s="192" t="s">
        <v>53</v>
      </c>
      <c r="Q36" s="191" t="s">
        <v>47</v>
      </c>
      <c r="R36" s="191" t="s">
        <v>47</v>
      </c>
      <c r="S36" s="191" t="s">
        <v>47</v>
      </c>
      <c r="T36" s="191" t="s">
        <v>47</v>
      </c>
      <c r="U36" s="191" t="s">
        <v>47</v>
      </c>
      <c r="V36" s="192" t="s">
        <v>53</v>
      </c>
      <c r="W36" s="192" t="s">
        <v>53</v>
      </c>
      <c r="X36" s="191" t="s">
        <v>47</v>
      </c>
      <c r="Y36" s="191" t="s">
        <v>47</v>
      </c>
      <c r="Z36" s="191" t="s">
        <v>47</v>
      </c>
      <c r="AA36" s="191" t="s">
        <v>47</v>
      </c>
      <c r="AB36" s="191" t="s">
        <v>47</v>
      </c>
      <c r="AC36" s="192" t="s">
        <v>53</v>
      </c>
      <c r="AD36" s="192" t="s">
        <v>53</v>
      </c>
      <c r="AE36" s="191" t="s">
        <v>47</v>
      </c>
      <c r="AF36" s="191" t="s">
        <v>47</v>
      </c>
      <c r="AG36" s="191" t="s">
        <v>47</v>
      </c>
      <c r="AH36" s="25"/>
      <c r="AI36" s="47">
        <f t="shared" si="2"/>
        <v>0</v>
      </c>
      <c r="AJ36" s="48">
        <f t="shared" si="3"/>
        <v>0</v>
      </c>
      <c r="AK36" s="48">
        <f t="shared" si="4"/>
        <v>0</v>
      </c>
      <c r="AL36" s="49">
        <f t="shared" si="5"/>
        <v>0</v>
      </c>
      <c r="AM36" s="50">
        <f t="shared" si="6"/>
        <v>0</v>
      </c>
      <c r="AN36" s="51">
        <f t="shared" si="7"/>
        <v>20</v>
      </c>
      <c r="AO36" s="52">
        <f t="shared" si="8"/>
        <v>0</v>
      </c>
      <c r="AP36" s="52">
        <f t="shared" si="9"/>
        <v>0</v>
      </c>
      <c r="AQ36" s="67"/>
      <c r="AR36" s="67"/>
      <c r="AS36" s="67"/>
      <c r="AT36" s="67"/>
      <c r="AU36" s="67"/>
    </row>
    <row r="37" ht="18.75" customHeight="1">
      <c r="A37" s="189" t="s">
        <v>262</v>
      </c>
      <c r="B37" s="54" t="s">
        <v>156</v>
      </c>
      <c r="C37" s="190" t="s">
        <v>157</v>
      </c>
      <c r="D37" s="191" t="s">
        <v>47</v>
      </c>
      <c r="E37" s="191" t="s">
        <v>47</v>
      </c>
      <c r="F37" s="191" t="s">
        <v>47</v>
      </c>
      <c r="G37" s="192" t="s">
        <v>53</v>
      </c>
      <c r="H37" s="192" t="s">
        <v>53</v>
      </c>
      <c r="I37" s="191" t="s">
        <v>47</v>
      </c>
      <c r="J37" s="193" t="s">
        <v>47</v>
      </c>
      <c r="K37" s="193" t="s">
        <v>47</v>
      </c>
      <c r="L37" s="193" t="s">
        <v>47</v>
      </c>
      <c r="M37" s="193" t="s">
        <v>47</v>
      </c>
      <c r="N37" s="192" t="s">
        <v>53</v>
      </c>
      <c r="O37" s="192" t="s">
        <v>53</v>
      </c>
      <c r="P37" s="191" t="s">
        <v>47</v>
      </c>
      <c r="Q37" s="191" t="s">
        <v>47</v>
      </c>
      <c r="R37" s="191" t="s">
        <v>47</v>
      </c>
      <c r="S37" s="191" t="s">
        <v>47</v>
      </c>
      <c r="T37" s="193" t="s">
        <v>47</v>
      </c>
      <c r="U37" s="192" t="s">
        <v>53</v>
      </c>
      <c r="V37" s="192" t="s">
        <v>53</v>
      </c>
      <c r="W37" s="191" t="s">
        <v>47</v>
      </c>
      <c r="X37" s="191" t="s">
        <v>47</v>
      </c>
      <c r="Y37" s="191" t="s">
        <v>47</v>
      </c>
      <c r="Z37" s="191" t="s">
        <v>47</v>
      </c>
      <c r="AA37" s="191" t="s">
        <v>47</v>
      </c>
      <c r="AB37" s="192" t="s">
        <v>53</v>
      </c>
      <c r="AC37" s="192" t="s">
        <v>53</v>
      </c>
      <c r="AD37" s="191" t="s">
        <v>47</v>
      </c>
      <c r="AE37" s="191" t="s">
        <v>47</v>
      </c>
      <c r="AF37" s="191" t="s">
        <v>47</v>
      </c>
      <c r="AG37" s="191" t="s">
        <v>47</v>
      </c>
      <c r="AH37" s="25"/>
      <c r="AI37" s="47">
        <f t="shared" si="2"/>
        <v>0</v>
      </c>
      <c r="AJ37" s="48">
        <f t="shared" si="3"/>
        <v>0</v>
      </c>
      <c r="AK37" s="48">
        <f t="shared" si="4"/>
        <v>0</v>
      </c>
      <c r="AL37" s="49">
        <f t="shared" si="5"/>
        <v>0</v>
      </c>
      <c r="AM37" s="50">
        <f t="shared" si="6"/>
        <v>0</v>
      </c>
      <c r="AN37" s="51">
        <f t="shared" si="7"/>
        <v>20</v>
      </c>
      <c r="AO37" s="52">
        <f t="shared" si="8"/>
        <v>0</v>
      </c>
      <c r="AP37" s="52">
        <f t="shared" si="9"/>
        <v>0</v>
      </c>
      <c r="AQ37" s="67"/>
      <c r="AR37" s="67"/>
      <c r="AS37" s="67"/>
      <c r="AT37" s="67"/>
      <c r="AU37" s="67"/>
    </row>
    <row r="38" ht="18.75" customHeight="1">
      <c r="A38" s="189" t="s">
        <v>263</v>
      </c>
      <c r="B38" s="197" t="s">
        <v>159</v>
      </c>
      <c r="C38" s="190" t="s">
        <v>160</v>
      </c>
      <c r="D38" s="191" t="s">
        <v>47</v>
      </c>
      <c r="E38" s="191" t="s">
        <v>47</v>
      </c>
      <c r="F38" s="191" t="s">
        <v>47</v>
      </c>
      <c r="G38" s="196" t="s">
        <v>47</v>
      </c>
      <c r="H38" s="195" t="s">
        <v>49</v>
      </c>
      <c r="I38" s="192" t="s">
        <v>53</v>
      </c>
      <c r="J38" s="192" t="s">
        <v>53</v>
      </c>
      <c r="K38" s="191" t="s">
        <v>47</v>
      </c>
      <c r="L38" s="191" t="s">
        <v>47</v>
      </c>
      <c r="M38" s="191" t="s">
        <v>47</v>
      </c>
      <c r="N38" s="191" t="s">
        <v>47</v>
      </c>
      <c r="O38" s="195" t="s">
        <v>49</v>
      </c>
      <c r="P38" s="192" t="s">
        <v>53</v>
      </c>
      <c r="Q38" s="192" t="s">
        <v>53</v>
      </c>
      <c r="R38" s="191" t="s">
        <v>47</v>
      </c>
      <c r="S38" s="191" t="s">
        <v>47</v>
      </c>
      <c r="T38" s="191" t="s">
        <v>47</v>
      </c>
      <c r="U38" s="191" t="s">
        <v>47</v>
      </c>
      <c r="V38" s="191" t="s">
        <v>47</v>
      </c>
      <c r="W38" s="192" t="s">
        <v>53</v>
      </c>
      <c r="X38" s="192" t="s">
        <v>53</v>
      </c>
      <c r="Y38" s="191" t="s">
        <v>47</v>
      </c>
      <c r="Z38" s="191" t="s">
        <v>47</v>
      </c>
      <c r="AA38" s="57" t="s">
        <v>48</v>
      </c>
      <c r="AB38" s="57" t="s">
        <v>48</v>
      </c>
      <c r="AC38" s="57" t="s">
        <v>48</v>
      </c>
      <c r="AD38" s="192" t="s">
        <v>53</v>
      </c>
      <c r="AE38" s="192" t="s">
        <v>53</v>
      </c>
      <c r="AF38" s="191" t="s">
        <v>47</v>
      </c>
      <c r="AG38" s="191" t="s">
        <v>47</v>
      </c>
      <c r="AH38" s="25"/>
      <c r="AI38" s="47">
        <f t="shared" si="2"/>
        <v>0</v>
      </c>
      <c r="AJ38" s="48">
        <f t="shared" si="3"/>
        <v>0</v>
      </c>
      <c r="AK38" s="48">
        <f t="shared" si="4"/>
        <v>0</v>
      </c>
      <c r="AL38" s="49">
        <f t="shared" si="5"/>
        <v>0</v>
      </c>
      <c r="AM38" s="50">
        <f t="shared" si="6"/>
        <v>0</v>
      </c>
      <c r="AN38" s="51">
        <f t="shared" si="7"/>
        <v>15</v>
      </c>
      <c r="AO38" s="52">
        <f t="shared" si="8"/>
        <v>3</v>
      </c>
      <c r="AP38" s="52">
        <f t="shared" si="9"/>
        <v>2</v>
      </c>
      <c r="AQ38" s="67"/>
      <c r="AR38" s="67"/>
      <c r="AS38" s="67"/>
      <c r="AT38" s="67"/>
      <c r="AU38" s="67"/>
    </row>
    <row r="39" ht="18.75" customHeight="1">
      <c r="A39" s="189" t="s">
        <v>264</v>
      </c>
      <c r="B39" s="54" t="s">
        <v>162</v>
      </c>
      <c r="C39" s="190" t="s">
        <v>163</v>
      </c>
      <c r="D39" s="191" t="s">
        <v>47</v>
      </c>
      <c r="E39" s="193" t="s">
        <v>47</v>
      </c>
      <c r="F39" s="191" t="s">
        <v>47</v>
      </c>
      <c r="G39" s="192" t="s">
        <v>53</v>
      </c>
      <c r="H39" s="192" t="s">
        <v>53</v>
      </c>
      <c r="I39" s="191" t="s">
        <v>47</v>
      </c>
      <c r="J39" s="191" t="s">
        <v>47</v>
      </c>
      <c r="K39" s="191" t="s">
        <v>47</v>
      </c>
      <c r="L39" s="191" t="s">
        <v>47</v>
      </c>
      <c r="M39" s="193" t="s">
        <v>47</v>
      </c>
      <c r="N39" s="192" t="s">
        <v>53</v>
      </c>
      <c r="O39" s="192" t="s">
        <v>53</v>
      </c>
      <c r="P39" s="191" t="s">
        <v>47</v>
      </c>
      <c r="Q39" s="191" t="s">
        <v>47</v>
      </c>
      <c r="R39" s="191" t="s">
        <v>47</v>
      </c>
      <c r="S39" s="191" t="s">
        <v>47</v>
      </c>
      <c r="T39" s="195" t="s">
        <v>49</v>
      </c>
      <c r="U39" s="192" t="s">
        <v>53</v>
      </c>
      <c r="V39" s="192" t="s">
        <v>53</v>
      </c>
      <c r="W39" s="195" t="s">
        <v>49</v>
      </c>
      <c r="X39" s="191" t="s">
        <v>47</v>
      </c>
      <c r="Y39" s="191" t="s">
        <v>47</v>
      </c>
      <c r="Z39" s="191" t="s">
        <v>47</v>
      </c>
      <c r="AA39" s="193" t="s">
        <v>47</v>
      </c>
      <c r="AB39" s="192" t="s">
        <v>53</v>
      </c>
      <c r="AC39" s="192" t="s">
        <v>53</v>
      </c>
      <c r="AD39" s="191" t="s">
        <v>47</v>
      </c>
      <c r="AE39" s="191" t="s">
        <v>47</v>
      </c>
      <c r="AF39" s="191" t="s">
        <v>47</v>
      </c>
      <c r="AG39" s="191" t="s">
        <v>47</v>
      </c>
      <c r="AH39" s="25"/>
      <c r="AI39" s="47">
        <f t="shared" si="2"/>
        <v>0</v>
      </c>
      <c r="AJ39" s="48">
        <f t="shared" si="3"/>
        <v>0</v>
      </c>
      <c r="AK39" s="48">
        <f t="shared" si="4"/>
        <v>0</v>
      </c>
      <c r="AL39" s="49">
        <f t="shared" si="5"/>
        <v>0</v>
      </c>
      <c r="AM39" s="50">
        <f t="shared" si="6"/>
        <v>0</v>
      </c>
      <c r="AN39" s="51">
        <f t="shared" si="7"/>
        <v>18</v>
      </c>
      <c r="AO39" s="52">
        <f t="shared" si="8"/>
        <v>0</v>
      </c>
      <c r="AP39" s="52">
        <f t="shared" si="9"/>
        <v>2</v>
      </c>
      <c r="AQ39" s="67"/>
      <c r="AR39" s="67"/>
      <c r="AS39" s="67"/>
      <c r="AT39" s="67"/>
      <c r="AU39" s="67"/>
    </row>
    <row r="40" ht="18.75" customHeight="1">
      <c r="A40" s="189" t="s">
        <v>265</v>
      </c>
      <c r="B40" s="54" t="s">
        <v>165</v>
      </c>
      <c r="C40" s="198" t="s">
        <v>166</v>
      </c>
      <c r="D40" s="191" t="s">
        <v>47</v>
      </c>
      <c r="E40" s="191" t="s">
        <v>47</v>
      </c>
      <c r="F40" s="195" t="s">
        <v>49</v>
      </c>
      <c r="G40" s="191" t="s">
        <v>47</v>
      </c>
      <c r="H40" s="191" t="s">
        <v>47</v>
      </c>
      <c r="I40" s="192" t="s">
        <v>53</v>
      </c>
      <c r="J40" s="192" t="s">
        <v>53</v>
      </c>
      <c r="K40" s="191" t="s">
        <v>47</v>
      </c>
      <c r="L40" s="191" t="s">
        <v>47</v>
      </c>
      <c r="M40" s="191" t="s">
        <v>47</v>
      </c>
      <c r="N40" s="191" t="s">
        <v>47</v>
      </c>
      <c r="O40" s="191" t="s">
        <v>47</v>
      </c>
      <c r="P40" s="192" t="s">
        <v>53</v>
      </c>
      <c r="Q40" s="192" t="s">
        <v>53</v>
      </c>
      <c r="R40" s="191" t="s">
        <v>47</v>
      </c>
      <c r="S40" s="191" t="s">
        <v>47</v>
      </c>
      <c r="T40" s="191" t="s">
        <v>47</v>
      </c>
      <c r="U40" s="191" t="s">
        <v>47</v>
      </c>
      <c r="V40" s="191" t="s">
        <v>47</v>
      </c>
      <c r="W40" s="192" t="s">
        <v>53</v>
      </c>
      <c r="X40" s="192" t="s">
        <v>53</v>
      </c>
      <c r="Y40" s="191" t="s">
        <v>47</v>
      </c>
      <c r="Z40" s="191" t="s">
        <v>47</v>
      </c>
      <c r="AA40" s="191" t="s">
        <v>47</v>
      </c>
      <c r="AB40" s="191" t="s">
        <v>47</v>
      </c>
      <c r="AC40" s="191" t="s">
        <v>47</v>
      </c>
      <c r="AD40" s="192" t="s">
        <v>53</v>
      </c>
      <c r="AE40" s="192" t="s">
        <v>53</v>
      </c>
      <c r="AF40" s="191" t="s">
        <v>47</v>
      </c>
      <c r="AG40" s="191" t="s">
        <v>47</v>
      </c>
      <c r="AH40" s="25"/>
      <c r="AI40" s="47">
        <f t="shared" si="2"/>
        <v>0</v>
      </c>
      <c r="AJ40" s="48">
        <f t="shared" si="3"/>
        <v>0</v>
      </c>
      <c r="AK40" s="48">
        <f t="shared" si="4"/>
        <v>0</v>
      </c>
      <c r="AL40" s="49">
        <f t="shared" si="5"/>
        <v>0</v>
      </c>
      <c r="AM40" s="50">
        <f t="shared" si="6"/>
        <v>0</v>
      </c>
      <c r="AN40" s="51">
        <f t="shared" si="7"/>
        <v>19</v>
      </c>
      <c r="AO40" s="52">
        <f t="shared" si="8"/>
        <v>0</v>
      </c>
      <c r="AP40" s="52">
        <f t="shared" si="9"/>
        <v>1</v>
      </c>
      <c r="AQ40" s="67"/>
      <c r="AR40" s="67"/>
      <c r="AS40" s="67"/>
      <c r="AT40" s="67"/>
      <c r="AU40" s="67"/>
    </row>
    <row r="41" ht="18.75" customHeight="1">
      <c r="A41" s="189" t="s">
        <v>266</v>
      </c>
      <c r="B41" s="54" t="s">
        <v>168</v>
      </c>
      <c r="C41" s="198" t="s">
        <v>169</v>
      </c>
      <c r="D41" s="192" t="s">
        <v>53</v>
      </c>
      <c r="E41" s="192" t="s">
        <v>53</v>
      </c>
      <c r="F41" s="191" t="s">
        <v>47</v>
      </c>
      <c r="G41" s="191" t="s">
        <v>47</v>
      </c>
      <c r="H41" s="191" t="s">
        <v>47</v>
      </c>
      <c r="I41" s="191" t="s">
        <v>47</v>
      </c>
      <c r="J41" s="191" t="s">
        <v>47</v>
      </c>
      <c r="K41" s="192" t="s">
        <v>53</v>
      </c>
      <c r="L41" s="192" t="s">
        <v>53</v>
      </c>
      <c r="M41" s="191" t="s">
        <v>47</v>
      </c>
      <c r="N41" s="191" t="s">
        <v>47</v>
      </c>
      <c r="O41" s="191" t="s">
        <v>47</v>
      </c>
      <c r="P41" s="191" t="s">
        <v>47</v>
      </c>
      <c r="Q41" s="191" t="s">
        <v>47</v>
      </c>
      <c r="R41" s="192" t="s">
        <v>53</v>
      </c>
      <c r="S41" s="192" t="s">
        <v>53</v>
      </c>
      <c r="T41" s="191" t="s">
        <v>47</v>
      </c>
      <c r="U41" s="191" t="s">
        <v>47</v>
      </c>
      <c r="V41" s="191" t="s">
        <v>47</v>
      </c>
      <c r="W41" s="191" t="s">
        <v>47</v>
      </c>
      <c r="X41" s="191" t="s">
        <v>47</v>
      </c>
      <c r="Y41" s="192" t="s">
        <v>53</v>
      </c>
      <c r="Z41" s="192" t="s">
        <v>53</v>
      </c>
      <c r="AA41" s="191" t="s">
        <v>47</v>
      </c>
      <c r="AB41" s="191" t="s">
        <v>47</v>
      </c>
      <c r="AC41" s="191" t="s">
        <v>47</v>
      </c>
      <c r="AD41" s="191" t="s">
        <v>47</v>
      </c>
      <c r="AE41" s="191" t="s">
        <v>47</v>
      </c>
      <c r="AF41" s="192" t="s">
        <v>53</v>
      </c>
      <c r="AG41" s="192" t="s">
        <v>53</v>
      </c>
      <c r="AH41" s="25"/>
      <c r="AI41" s="47">
        <f t="shared" si="2"/>
        <v>0</v>
      </c>
      <c r="AJ41" s="48">
        <f t="shared" si="3"/>
        <v>0</v>
      </c>
      <c r="AK41" s="48">
        <f t="shared" si="4"/>
        <v>0</v>
      </c>
      <c r="AL41" s="49">
        <f t="shared" si="5"/>
        <v>0</v>
      </c>
      <c r="AM41" s="50">
        <f t="shared" si="6"/>
        <v>0</v>
      </c>
      <c r="AN41" s="51">
        <f t="shared" si="7"/>
        <v>20</v>
      </c>
      <c r="AO41" s="52">
        <f t="shared" si="8"/>
        <v>0</v>
      </c>
      <c r="AP41" s="52">
        <f t="shared" si="9"/>
        <v>0</v>
      </c>
      <c r="AQ41" s="67"/>
      <c r="AR41" s="67"/>
      <c r="AS41" s="67"/>
      <c r="AT41" s="67"/>
      <c r="AU41" s="67"/>
    </row>
    <row r="42" ht="18.75" customHeight="1">
      <c r="A42" s="189" t="s">
        <v>267</v>
      </c>
      <c r="B42" s="54" t="s">
        <v>171</v>
      </c>
      <c r="C42" s="198" t="s">
        <v>172</v>
      </c>
      <c r="D42" s="192" t="s">
        <v>53</v>
      </c>
      <c r="E42" s="191" t="s">
        <v>47</v>
      </c>
      <c r="F42" s="199" t="s">
        <v>47</v>
      </c>
      <c r="G42" s="199" t="s">
        <v>47</v>
      </c>
      <c r="H42" s="199" t="s">
        <v>47</v>
      </c>
      <c r="I42" s="199" t="s">
        <v>47</v>
      </c>
      <c r="J42" s="192" t="s">
        <v>53</v>
      </c>
      <c r="K42" s="192" t="s">
        <v>53</v>
      </c>
      <c r="L42" s="191" t="s">
        <v>47</v>
      </c>
      <c r="M42" s="199" t="s">
        <v>47</v>
      </c>
      <c r="N42" s="199" t="s">
        <v>47</v>
      </c>
      <c r="O42" s="199" t="s">
        <v>47</v>
      </c>
      <c r="P42" s="199" t="s">
        <v>47</v>
      </c>
      <c r="Q42" s="192" t="s">
        <v>53</v>
      </c>
      <c r="R42" s="192" t="s">
        <v>53</v>
      </c>
      <c r="S42" s="191" t="s">
        <v>47</v>
      </c>
      <c r="T42" s="193" t="s">
        <v>47</v>
      </c>
      <c r="U42" s="199" t="s">
        <v>47</v>
      </c>
      <c r="V42" s="199" t="s">
        <v>47</v>
      </c>
      <c r="W42" s="199" t="s">
        <v>47</v>
      </c>
      <c r="X42" s="192" t="s">
        <v>53</v>
      </c>
      <c r="Y42" s="192" t="s">
        <v>53</v>
      </c>
      <c r="Z42" s="191" t="s">
        <v>47</v>
      </c>
      <c r="AA42" s="199" t="s">
        <v>47</v>
      </c>
      <c r="AB42" s="199" t="s">
        <v>47</v>
      </c>
      <c r="AC42" s="191" t="s">
        <v>47</v>
      </c>
      <c r="AD42" s="191" t="s">
        <v>47</v>
      </c>
      <c r="AE42" s="192" t="s">
        <v>53</v>
      </c>
      <c r="AF42" s="192" t="s">
        <v>53</v>
      </c>
      <c r="AG42" s="191" t="s">
        <v>47</v>
      </c>
      <c r="AH42" s="25"/>
      <c r="AI42" s="47">
        <f t="shared" si="2"/>
        <v>0</v>
      </c>
      <c r="AJ42" s="48">
        <f t="shared" si="3"/>
        <v>0</v>
      </c>
      <c r="AK42" s="48">
        <f t="shared" si="4"/>
        <v>0</v>
      </c>
      <c r="AL42" s="49">
        <f t="shared" si="5"/>
        <v>0</v>
      </c>
      <c r="AM42" s="50">
        <f t="shared" si="6"/>
        <v>0</v>
      </c>
      <c r="AN42" s="51">
        <f t="shared" si="7"/>
        <v>20</v>
      </c>
      <c r="AO42" s="52">
        <f t="shared" si="8"/>
        <v>0</v>
      </c>
      <c r="AP42" s="52">
        <f t="shared" si="9"/>
        <v>0</v>
      </c>
      <c r="AQ42" s="67"/>
      <c r="AR42" s="67"/>
      <c r="AS42" s="67"/>
      <c r="AT42" s="67"/>
      <c r="AU42" s="67"/>
    </row>
    <row r="43" ht="18.75" customHeight="1">
      <c r="A43" s="189" t="s">
        <v>268</v>
      </c>
      <c r="B43" s="54" t="s">
        <v>174</v>
      </c>
      <c r="C43" s="198" t="s">
        <v>175</v>
      </c>
      <c r="D43" s="192" t="s">
        <v>53</v>
      </c>
      <c r="E43" s="191" t="s">
        <v>47</v>
      </c>
      <c r="F43" s="191" t="s">
        <v>47</v>
      </c>
      <c r="G43" s="191" t="s">
        <v>47</v>
      </c>
      <c r="H43" s="191" t="s">
        <v>47</v>
      </c>
      <c r="I43" s="191" t="s">
        <v>47</v>
      </c>
      <c r="J43" s="192" t="s">
        <v>53</v>
      </c>
      <c r="K43" s="192" t="s">
        <v>53</v>
      </c>
      <c r="L43" s="191" t="s">
        <v>47</v>
      </c>
      <c r="M43" s="191" t="s">
        <v>47</v>
      </c>
      <c r="N43" s="191" t="s">
        <v>47</v>
      </c>
      <c r="O43" s="191" t="s">
        <v>47</v>
      </c>
      <c r="P43" s="191" t="s">
        <v>47</v>
      </c>
      <c r="Q43" s="192" t="s">
        <v>53</v>
      </c>
      <c r="R43" s="192" t="s">
        <v>53</v>
      </c>
      <c r="S43" s="191" t="s">
        <v>47</v>
      </c>
      <c r="T43" s="191" t="s">
        <v>47</v>
      </c>
      <c r="U43" s="191" t="s">
        <v>47</v>
      </c>
      <c r="V43" s="191" t="s">
        <v>47</v>
      </c>
      <c r="W43" s="191" t="s">
        <v>47</v>
      </c>
      <c r="X43" s="192" t="s">
        <v>53</v>
      </c>
      <c r="Y43" s="192" t="s">
        <v>53</v>
      </c>
      <c r="Z43" s="193" t="s">
        <v>47</v>
      </c>
      <c r="AA43" s="191" t="s">
        <v>47</v>
      </c>
      <c r="AB43" s="191" t="s">
        <v>47</v>
      </c>
      <c r="AC43" s="191" t="s">
        <v>47</v>
      </c>
      <c r="AD43" s="191" t="s">
        <v>47</v>
      </c>
      <c r="AE43" s="192" t="s">
        <v>53</v>
      </c>
      <c r="AF43" s="192" t="s">
        <v>53</v>
      </c>
      <c r="AG43" s="191" t="s">
        <v>47</v>
      </c>
      <c r="AH43" s="25"/>
      <c r="AI43" s="47">
        <f t="shared" si="2"/>
        <v>0</v>
      </c>
      <c r="AJ43" s="48">
        <f t="shared" si="3"/>
        <v>0</v>
      </c>
      <c r="AK43" s="48">
        <f t="shared" si="4"/>
        <v>0</v>
      </c>
      <c r="AL43" s="49">
        <f t="shared" si="5"/>
        <v>0</v>
      </c>
      <c r="AM43" s="50">
        <f t="shared" si="6"/>
        <v>0</v>
      </c>
      <c r="AN43" s="51">
        <f t="shared" si="7"/>
        <v>20</v>
      </c>
      <c r="AO43" s="52">
        <f t="shared" si="8"/>
        <v>0</v>
      </c>
      <c r="AP43" s="52">
        <f t="shared" si="9"/>
        <v>0</v>
      </c>
      <c r="AQ43" s="67"/>
      <c r="AR43" s="67"/>
      <c r="AS43" s="67"/>
      <c r="AT43" s="67"/>
      <c r="AU43" s="67"/>
    </row>
    <row r="44" ht="18.75" customHeight="1">
      <c r="A44" s="189" t="s">
        <v>269</v>
      </c>
      <c r="B44" s="197" t="s">
        <v>177</v>
      </c>
      <c r="C44" s="198" t="s">
        <v>178</v>
      </c>
      <c r="D44" s="191" t="s">
        <v>47</v>
      </c>
      <c r="E44" s="191" t="s">
        <v>47</v>
      </c>
      <c r="F44" s="191" t="s">
        <v>47</v>
      </c>
      <c r="G44" s="191" t="s">
        <v>47</v>
      </c>
      <c r="H44" s="191" t="s">
        <v>47</v>
      </c>
      <c r="I44" s="192" t="s">
        <v>53</v>
      </c>
      <c r="J44" s="192" t="s">
        <v>53</v>
      </c>
      <c r="K44" s="191" t="s">
        <v>47</v>
      </c>
      <c r="L44" s="191" t="s">
        <v>47</v>
      </c>
      <c r="M44" s="191" t="s">
        <v>47</v>
      </c>
      <c r="N44" s="195" t="s">
        <v>49</v>
      </c>
      <c r="O44" s="195" t="s">
        <v>49</v>
      </c>
      <c r="P44" s="192" t="s">
        <v>53</v>
      </c>
      <c r="Q44" s="192" t="s">
        <v>53</v>
      </c>
      <c r="R44" s="195" t="s">
        <v>49</v>
      </c>
      <c r="S44" s="57" t="s">
        <v>48</v>
      </c>
      <c r="T44" s="57" t="s">
        <v>48</v>
      </c>
      <c r="U44" s="57" t="s">
        <v>48</v>
      </c>
      <c r="V44" s="191" t="s">
        <v>47</v>
      </c>
      <c r="W44" s="192" t="s">
        <v>53</v>
      </c>
      <c r="X44" s="192" t="s">
        <v>53</v>
      </c>
      <c r="Y44" s="193" t="s">
        <v>47</v>
      </c>
      <c r="Z44" s="193" t="s">
        <v>47</v>
      </c>
      <c r="AA44" s="57" t="s">
        <v>48</v>
      </c>
      <c r="AB44" s="57" t="s">
        <v>48</v>
      </c>
      <c r="AC44" s="57" t="s">
        <v>48</v>
      </c>
      <c r="AD44" s="192" t="s">
        <v>53</v>
      </c>
      <c r="AE44" s="192" t="s">
        <v>53</v>
      </c>
      <c r="AF44" s="191" t="s">
        <v>47</v>
      </c>
      <c r="AG44" s="191" t="s">
        <v>47</v>
      </c>
      <c r="AH44" s="25"/>
      <c r="AI44" s="47">
        <f t="shared" si="2"/>
        <v>0</v>
      </c>
      <c r="AJ44" s="48">
        <f t="shared" si="3"/>
        <v>0</v>
      </c>
      <c r="AK44" s="48">
        <f t="shared" si="4"/>
        <v>0</v>
      </c>
      <c r="AL44" s="49">
        <f t="shared" si="5"/>
        <v>0</v>
      </c>
      <c r="AM44" s="50">
        <f t="shared" si="6"/>
        <v>0</v>
      </c>
      <c r="AN44" s="51">
        <f t="shared" si="7"/>
        <v>11</v>
      </c>
      <c r="AO44" s="52">
        <f t="shared" si="8"/>
        <v>6</v>
      </c>
      <c r="AP44" s="52">
        <f t="shared" si="9"/>
        <v>3</v>
      </c>
      <c r="AQ44" s="67"/>
      <c r="AR44" s="67"/>
      <c r="AS44" s="67"/>
      <c r="AT44" s="67"/>
      <c r="AU44" s="67"/>
    </row>
    <row r="45" ht="18.75" customHeight="1">
      <c r="A45" s="200" t="s">
        <v>270</v>
      </c>
      <c r="B45" s="201" t="s">
        <v>180</v>
      </c>
      <c r="C45" s="198" t="s">
        <v>181</v>
      </c>
      <c r="D45" s="192" t="s">
        <v>53</v>
      </c>
      <c r="E45" s="195" t="s">
        <v>49</v>
      </c>
      <c r="F45" s="195" t="s">
        <v>49</v>
      </c>
      <c r="G45" s="195" t="s">
        <v>49</v>
      </c>
      <c r="H45" s="199" t="s">
        <v>47</v>
      </c>
      <c r="I45" s="199" t="s">
        <v>47</v>
      </c>
      <c r="J45" s="192" t="s">
        <v>53</v>
      </c>
      <c r="K45" s="192" t="s">
        <v>53</v>
      </c>
      <c r="L45" s="191" t="s">
        <v>47</v>
      </c>
      <c r="M45" s="199" t="s">
        <v>47</v>
      </c>
      <c r="N45" s="191" t="s">
        <v>47</v>
      </c>
      <c r="O45" s="199" t="s">
        <v>47</v>
      </c>
      <c r="P45" s="199" t="s">
        <v>47</v>
      </c>
      <c r="Q45" s="192" t="s">
        <v>53</v>
      </c>
      <c r="R45" s="192" t="s">
        <v>53</v>
      </c>
      <c r="S45" s="191" t="s">
        <v>47</v>
      </c>
      <c r="T45" s="199" t="s">
        <v>47</v>
      </c>
      <c r="U45" s="199" t="s">
        <v>47</v>
      </c>
      <c r="V45" s="191" t="s">
        <v>47</v>
      </c>
      <c r="W45" s="191" t="s">
        <v>47</v>
      </c>
      <c r="X45" s="192" t="s">
        <v>53</v>
      </c>
      <c r="Y45" s="192" t="s">
        <v>53</v>
      </c>
      <c r="Z45" s="193" t="s">
        <v>47</v>
      </c>
      <c r="AA45" s="191" t="s">
        <v>47</v>
      </c>
      <c r="AB45" s="191" t="s">
        <v>47</v>
      </c>
      <c r="AC45" s="199" t="s">
        <v>47</v>
      </c>
      <c r="AD45" s="191" t="s">
        <v>47</v>
      </c>
      <c r="AE45" s="192" t="s">
        <v>53</v>
      </c>
      <c r="AF45" s="192" t="s">
        <v>53</v>
      </c>
      <c r="AG45" s="191" t="s">
        <v>47</v>
      </c>
      <c r="AH45" s="112"/>
      <c r="AI45" s="113">
        <f t="shared" si="2"/>
        <v>0</v>
      </c>
      <c r="AJ45" s="48">
        <f t="shared" si="3"/>
        <v>0</v>
      </c>
      <c r="AK45" s="48">
        <f t="shared" si="4"/>
        <v>0</v>
      </c>
      <c r="AL45" s="49">
        <f t="shared" si="5"/>
        <v>0</v>
      </c>
      <c r="AM45" s="50">
        <f t="shared" si="6"/>
        <v>0</v>
      </c>
      <c r="AN45" s="51">
        <f t="shared" si="7"/>
        <v>17</v>
      </c>
      <c r="AO45" s="52">
        <f t="shared" si="8"/>
        <v>0</v>
      </c>
      <c r="AP45" s="52">
        <f t="shared" si="9"/>
        <v>3</v>
      </c>
      <c r="AQ45" s="114"/>
      <c r="AR45" s="114"/>
      <c r="AS45" s="114"/>
      <c r="AT45" s="114"/>
      <c r="AU45" s="114"/>
    </row>
    <row r="46" ht="18.75" customHeight="1">
      <c r="A46" s="200" t="s">
        <v>271</v>
      </c>
      <c r="B46" s="202" t="s">
        <v>272</v>
      </c>
      <c r="C46" s="203" t="s">
        <v>273</v>
      </c>
      <c r="D46" s="191" t="s">
        <v>47</v>
      </c>
      <c r="E46" s="191" t="s">
        <v>47</v>
      </c>
      <c r="F46" s="199" t="s">
        <v>47</v>
      </c>
      <c r="G46" s="199" t="s">
        <v>47</v>
      </c>
      <c r="H46" s="199" t="s">
        <v>47</v>
      </c>
      <c r="I46" s="192" t="s">
        <v>53</v>
      </c>
      <c r="J46" s="192" t="s">
        <v>53</v>
      </c>
      <c r="K46" s="191" t="s">
        <v>47</v>
      </c>
      <c r="L46" s="191" t="s">
        <v>47</v>
      </c>
      <c r="M46" s="199" t="s">
        <v>47</v>
      </c>
      <c r="N46" s="199" t="s">
        <v>47</v>
      </c>
      <c r="O46" s="199" t="s">
        <v>47</v>
      </c>
      <c r="P46" s="192" t="s">
        <v>53</v>
      </c>
      <c r="Q46" s="192" t="s">
        <v>53</v>
      </c>
      <c r="R46" s="191" t="s">
        <v>47</v>
      </c>
      <c r="S46" s="191" t="s">
        <v>47</v>
      </c>
      <c r="T46" s="199" t="s">
        <v>47</v>
      </c>
      <c r="U46" s="199" t="s">
        <v>47</v>
      </c>
      <c r="V46" s="191" t="s">
        <v>47</v>
      </c>
      <c r="W46" s="192" t="s">
        <v>53</v>
      </c>
      <c r="X46" s="192" t="s">
        <v>53</v>
      </c>
      <c r="Y46" s="193" t="s">
        <v>47</v>
      </c>
      <c r="Z46" s="193" t="s">
        <v>47</v>
      </c>
      <c r="AA46" s="191" t="s">
        <v>47</v>
      </c>
      <c r="AB46" s="191" t="s">
        <v>47</v>
      </c>
      <c r="AC46" s="199" t="s">
        <v>47</v>
      </c>
      <c r="AD46" s="192" t="s">
        <v>53</v>
      </c>
      <c r="AE46" s="192" t="s">
        <v>53</v>
      </c>
      <c r="AF46" s="191" t="s">
        <v>47</v>
      </c>
      <c r="AG46" s="191" t="s">
        <v>47</v>
      </c>
      <c r="AH46" s="112"/>
      <c r="AI46" s="47">
        <f t="shared" si="2"/>
        <v>0</v>
      </c>
      <c r="AJ46" s="48">
        <f t="shared" si="3"/>
        <v>0</v>
      </c>
      <c r="AK46" s="48">
        <f t="shared" si="4"/>
        <v>0</v>
      </c>
      <c r="AL46" s="49">
        <f t="shared" si="5"/>
        <v>0</v>
      </c>
      <c r="AM46" s="50">
        <f t="shared" si="6"/>
        <v>0</v>
      </c>
      <c r="AN46" s="51">
        <f t="shared" si="7"/>
        <v>20</v>
      </c>
      <c r="AO46" s="52">
        <f t="shared" si="8"/>
        <v>0</v>
      </c>
      <c r="AP46" s="52">
        <f t="shared" si="9"/>
        <v>0</v>
      </c>
      <c r="AQ46" s="114"/>
      <c r="AR46" s="114"/>
      <c r="AS46" s="114"/>
      <c r="AT46" s="114"/>
      <c r="AU46" s="114"/>
    </row>
    <row r="47" ht="12.75" customHeight="1">
      <c r="A47" s="204"/>
      <c r="B47" s="205"/>
      <c r="C47" s="206"/>
      <c r="D47" s="207"/>
      <c r="E47" s="207"/>
      <c r="F47" s="208"/>
      <c r="G47" s="208"/>
      <c r="H47" s="207"/>
      <c r="I47" s="207"/>
      <c r="J47" s="207"/>
      <c r="K47" s="207"/>
      <c r="L47" s="207"/>
      <c r="M47" s="208"/>
      <c r="N47" s="208"/>
      <c r="O47" s="207"/>
      <c r="P47" s="207"/>
      <c r="Q47" s="207"/>
      <c r="R47" s="207"/>
      <c r="S47" s="207"/>
      <c r="T47" s="208"/>
      <c r="U47" s="208"/>
      <c r="V47" s="207"/>
      <c r="W47" s="209"/>
      <c r="X47" s="207"/>
      <c r="Y47" s="207"/>
      <c r="Z47" s="207"/>
      <c r="AA47" s="208"/>
      <c r="AB47" s="208"/>
      <c r="AC47" s="207"/>
      <c r="AD47" s="207"/>
      <c r="AE47" s="207"/>
      <c r="AF47" s="207"/>
      <c r="AG47" s="207"/>
      <c r="AH47" s="209"/>
      <c r="AI47" s="210"/>
      <c r="AJ47" s="210"/>
      <c r="AK47" s="210"/>
      <c r="AL47" s="210"/>
      <c r="AM47" s="210"/>
      <c r="AN47" s="211"/>
      <c r="AO47" s="211"/>
      <c r="AP47" s="211"/>
      <c r="AQ47" s="211"/>
      <c r="AR47" s="211"/>
      <c r="AS47" s="211"/>
      <c r="AT47" s="211"/>
      <c r="AU47" s="211"/>
    </row>
    <row r="48" ht="22.5" customHeight="1">
      <c r="A48" s="212"/>
      <c r="B48" s="115"/>
      <c r="C48" s="213" t="s">
        <v>182</v>
      </c>
      <c r="D48" s="185" t="s">
        <v>8</v>
      </c>
      <c r="E48" s="185" t="s">
        <v>9</v>
      </c>
      <c r="F48" s="185" t="s">
        <v>10</v>
      </c>
      <c r="G48" s="185" t="s">
        <v>11</v>
      </c>
      <c r="H48" s="185" t="s">
        <v>12</v>
      </c>
      <c r="I48" s="185" t="s">
        <v>13</v>
      </c>
      <c r="J48" s="185" t="s">
        <v>7</v>
      </c>
      <c r="K48" s="185" t="s">
        <v>8</v>
      </c>
      <c r="L48" s="185" t="s">
        <v>9</v>
      </c>
      <c r="M48" s="185" t="s">
        <v>10</v>
      </c>
      <c r="N48" s="185" t="s">
        <v>11</v>
      </c>
      <c r="O48" s="185" t="s">
        <v>12</v>
      </c>
      <c r="P48" s="185" t="s">
        <v>13</v>
      </c>
      <c r="Q48" s="185" t="s">
        <v>7</v>
      </c>
      <c r="R48" s="185" t="s">
        <v>8</v>
      </c>
      <c r="S48" s="185" t="s">
        <v>9</v>
      </c>
      <c r="T48" s="185" t="s">
        <v>10</v>
      </c>
      <c r="U48" s="185" t="s">
        <v>11</v>
      </c>
      <c r="V48" s="185" t="s">
        <v>12</v>
      </c>
      <c r="W48" s="185" t="s">
        <v>13</v>
      </c>
      <c r="X48" s="185" t="s">
        <v>7</v>
      </c>
      <c r="Y48" s="185" t="s">
        <v>8</v>
      </c>
      <c r="Z48" s="185" t="s">
        <v>9</v>
      </c>
      <c r="AA48" s="185" t="s">
        <v>10</v>
      </c>
      <c r="AB48" s="185" t="s">
        <v>11</v>
      </c>
      <c r="AC48" s="185" t="s">
        <v>12</v>
      </c>
      <c r="AD48" s="185" t="s">
        <v>13</v>
      </c>
      <c r="AE48" s="185" t="s">
        <v>7</v>
      </c>
      <c r="AF48" s="185" t="s">
        <v>8</v>
      </c>
      <c r="AG48" s="185" t="s">
        <v>9</v>
      </c>
      <c r="AH48" s="186"/>
      <c r="AI48" s="20"/>
      <c r="AJ48" s="20"/>
      <c r="AK48" s="21"/>
      <c r="AL48" s="21"/>
      <c r="AM48" s="21"/>
      <c r="AN48" s="22"/>
      <c r="AO48" s="22"/>
      <c r="AP48" s="22"/>
      <c r="AQ48" s="22"/>
      <c r="AR48" s="22"/>
      <c r="AS48" s="22"/>
      <c r="AT48" s="22"/>
      <c r="AU48" s="22"/>
    </row>
    <row r="49" ht="22.5" customHeight="1">
      <c r="A49" s="212"/>
      <c r="B49" s="115"/>
      <c r="C49" s="214" t="s">
        <v>274</v>
      </c>
      <c r="D49" s="215" t="s">
        <v>14</v>
      </c>
      <c r="E49" s="215" t="s">
        <v>15</v>
      </c>
      <c r="F49" s="215" t="s">
        <v>16</v>
      </c>
      <c r="G49" s="215" t="s">
        <v>228</v>
      </c>
      <c r="H49" s="215" t="s">
        <v>229</v>
      </c>
      <c r="I49" s="216" t="s">
        <v>17</v>
      </c>
      <c r="J49" s="216" t="s">
        <v>18</v>
      </c>
      <c r="K49" s="216" t="s">
        <v>19</v>
      </c>
      <c r="L49" s="216" t="s">
        <v>20</v>
      </c>
      <c r="M49" s="216" t="s">
        <v>21</v>
      </c>
      <c r="N49" s="216" t="s">
        <v>22</v>
      </c>
      <c r="O49" s="216" t="s">
        <v>23</v>
      </c>
      <c r="P49" s="216" t="s">
        <v>24</v>
      </c>
      <c r="Q49" s="216" t="s">
        <v>25</v>
      </c>
      <c r="R49" s="216" t="s">
        <v>26</v>
      </c>
      <c r="S49" s="216" t="s">
        <v>27</v>
      </c>
      <c r="T49" s="216" t="s">
        <v>28</v>
      </c>
      <c r="U49" s="216" t="s">
        <v>29</v>
      </c>
      <c r="V49" s="216" t="s">
        <v>30</v>
      </c>
      <c r="W49" s="216" t="s">
        <v>31</v>
      </c>
      <c r="X49" s="216" t="s">
        <v>32</v>
      </c>
      <c r="Y49" s="216" t="s">
        <v>33</v>
      </c>
      <c r="Z49" s="216" t="s">
        <v>34</v>
      </c>
      <c r="AA49" s="216" t="s">
        <v>35</v>
      </c>
      <c r="AB49" s="216" t="s">
        <v>36</v>
      </c>
      <c r="AC49" s="216" t="s">
        <v>37</v>
      </c>
      <c r="AD49" s="216" t="s">
        <v>38</v>
      </c>
      <c r="AE49" s="216" t="s">
        <v>39</v>
      </c>
      <c r="AF49" s="216" t="s">
        <v>40</v>
      </c>
      <c r="AG49" s="216" t="s">
        <v>41</v>
      </c>
      <c r="AH49" s="186"/>
      <c r="AI49" s="20"/>
      <c r="AJ49" s="20"/>
      <c r="AK49" s="21"/>
      <c r="AL49" s="21"/>
      <c r="AM49" s="21"/>
      <c r="AN49" s="22"/>
      <c r="AO49" s="22"/>
      <c r="AP49" s="22"/>
      <c r="AQ49" s="22"/>
      <c r="AR49" s="22"/>
      <c r="AS49" s="22"/>
      <c r="AT49" s="22"/>
      <c r="AU49" s="22"/>
    </row>
    <row r="50" ht="22.5" customHeight="1">
      <c r="A50" s="212"/>
      <c r="B50" s="115"/>
      <c r="C50" s="217" t="s">
        <v>47</v>
      </c>
      <c r="D50" s="140">
        <f t="shared" ref="D50:AG50" si="10">COUNTIF(D5:D45,"A2")</f>
        <v>26</v>
      </c>
      <c r="E50" s="140">
        <f t="shared" si="10"/>
        <v>26</v>
      </c>
      <c r="F50" s="140">
        <f t="shared" si="10"/>
        <v>24</v>
      </c>
      <c r="G50" s="140">
        <f t="shared" si="10"/>
        <v>26</v>
      </c>
      <c r="H50" s="140">
        <f t="shared" si="10"/>
        <v>25</v>
      </c>
      <c r="I50" s="140">
        <f t="shared" si="10"/>
        <v>30</v>
      </c>
      <c r="J50" s="140">
        <f t="shared" si="10"/>
        <v>28</v>
      </c>
      <c r="K50" s="140">
        <f t="shared" si="10"/>
        <v>26</v>
      </c>
      <c r="L50" s="140">
        <f t="shared" si="10"/>
        <v>26</v>
      </c>
      <c r="M50" s="140">
        <f t="shared" si="10"/>
        <v>25</v>
      </c>
      <c r="N50" s="140">
        <f t="shared" si="10"/>
        <v>25</v>
      </c>
      <c r="O50" s="140">
        <f t="shared" si="10"/>
        <v>25</v>
      </c>
      <c r="P50" s="140">
        <f t="shared" si="10"/>
        <v>30</v>
      </c>
      <c r="Q50" s="140">
        <f t="shared" si="10"/>
        <v>29</v>
      </c>
      <c r="R50" s="140">
        <f t="shared" si="10"/>
        <v>26</v>
      </c>
      <c r="S50" s="140">
        <f t="shared" si="10"/>
        <v>26</v>
      </c>
      <c r="T50" s="140">
        <f t="shared" si="10"/>
        <v>25</v>
      </c>
      <c r="U50" s="140">
        <f t="shared" si="10"/>
        <v>26</v>
      </c>
      <c r="V50" s="140">
        <f t="shared" si="10"/>
        <v>25</v>
      </c>
      <c r="W50" s="140">
        <f t="shared" si="10"/>
        <v>27</v>
      </c>
      <c r="X50" s="140">
        <f t="shared" si="10"/>
        <v>29</v>
      </c>
      <c r="Y50" s="140">
        <f t="shared" si="10"/>
        <v>26</v>
      </c>
      <c r="Z50" s="140">
        <f t="shared" si="10"/>
        <v>26</v>
      </c>
      <c r="AA50" s="140">
        <f t="shared" si="10"/>
        <v>25</v>
      </c>
      <c r="AB50" s="140">
        <f t="shared" si="10"/>
        <v>25</v>
      </c>
      <c r="AC50" s="140">
        <f t="shared" si="10"/>
        <v>25</v>
      </c>
      <c r="AD50" s="140">
        <f t="shared" si="10"/>
        <v>30</v>
      </c>
      <c r="AE50" s="140">
        <f t="shared" si="10"/>
        <v>28</v>
      </c>
      <c r="AF50" s="140">
        <f t="shared" si="10"/>
        <v>26</v>
      </c>
      <c r="AG50" s="140">
        <f t="shared" si="10"/>
        <v>26</v>
      </c>
      <c r="AH50" s="186"/>
      <c r="AI50" s="20"/>
      <c r="AJ50" s="20"/>
      <c r="AK50" s="21"/>
      <c r="AL50" s="21"/>
      <c r="AM50" s="21"/>
      <c r="AN50" s="22"/>
      <c r="AO50" s="22"/>
      <c r="AP50" s="22"/>
      <c r="AQ50" s="22"/>
      <c r="AR50" s="22"/>
      <c r="AS50" s="22"/>
      <c r="AT50" s="22"/>
      <c r="AU50" s="22"/>
    </row>
    <row r="51" ht="22.5" customHeight="1">
      <c r="A51" s="212"/>
      <c r="B51" s="115"/>
      <c r="C51" s="217" t="s">
        <v>46</v>
      </c>
      <c r="D51" s="140">
        <f t="shared" ref="D51:AG51" si="11">COUNTIF(D5:D45,"A8")</f>
        <v>0</v>
      </c>
      <c r="E51" s="140">
        <f t="shared" si="11"/>
        <v>0</v>
      </c>
      <c r="F51" s="140">
        <f t="shared" si="11"/>
        <v>0</v>
      </c>
      <c r="G51" s="140">
        <f t="shared" si="11"/>
        <v>0</v>
      </c>
      <c r="H51" s="140">
        <f t="shared" si="11"/>
        <v>0</v>
      </c>
      <c r="I51" s="140">
        <f t="shared" si="11"/>
        <v>0</v>
      </c>
      <c r="J51" s="140">
        <f t="shared" si="11"/>
        <v>0</v>
      </c>
      <c r="K51" s="140">
        <f t="shared" si="11"/>
        <v>0</v>
      </c>
      <c r="L51" s="140">
        <f t="shared" si="11"/>
        <v>0</v>
      </c>
      <c r="M51" s="140">
        <f t="shared" si="11"/>
        <v>0</v>
      </c>
      <c r="N51" s="140">
        <f t="shared" si="11"/>
        <v>0</v>
      </c>
      <c r="O51" s="140">
        <f t="shared" si="11"/>
        <v>0</v>
      </c>
      <c r="P51" s="140">
        <f t="shared" si="11"/>
        <v>0</v>
      </c>
      <c r="Q51" s="140">
        <f t="shared" si="11"/>
        <v>0</v>
      </c>
      <c r="R51" s="140">
        <f t="shared" si="11"/>
        <v>0</v>
      </c>
      <c r="S51" s="140">
        <f t="shared" si="11"/>
        <v>0</v>
      </c>
      <c r="T51" s="140">
        <f t="shared" si="11"/>
        <v>0</v>
      </c>
      <c r="U51" s="140">
        <f t="shared" si="11"/>
        <v>0</v>
      </c>
      <c r="V51" s="140">
        <f t="shared" si="11"/>
        <v>0</v>
      </c>
      <c r="W51" s="140">
        <f t="shared" si="11"/>
        <v>0</v>
      </c>
      <c r="X51" s="140">
        <f t="shared" si="11"/>
        <v>0</v>
      </c>
      <c r="Y51" s="140">
        <f t="shared" si="11"/>
        <v>0</v>
      </c>
      <c r="Z51" s="140">
        <f t="shared" si="11"/>
        <v>0</v>
      </c>
      <c r="AA51" s="140">
        <f t="shared" si="11"/>
        <v>0</v>
      </c>
      <c r="AB51" s="140">
        <f t="shared" si="11"/>
        <v>0</v>
      </c>
      <c r="AC51" s="140">
        <f t="shared" si="11"/>
        <v>0</v>
      </c>
      <c r="AD51" s="140">
        <f t="shared" si="11"/>
        <v>0</v>
      </c>
      <c r="AE51" s="140">
        <f t="shared" si="11"/>
        <v>0</v>
      </c>
      <c r="AF51" s="140">
        <f t="shared" si="11"/>
        <v>0</v>
      </c>
      <c r="AG51" s="140">
        <f t="shared" si="11"/>
        <v>0</v>
      </c>
      <c r="AH51" s="186"/>
      <c r="AI51" s="20"/>
      <c r="AJ51" s="20"/>
      <c r="AK51" s="21"/>
      <c r="AL51" s="21"/>
      <c r="AM51" s="21"/>
      <c r="AN51" s="22"/>
      <c r="AO51" s="22"/>
      <c r="AP51" s="22"/>
      <c r="AQ51" s="22"/>
      <c r="AR51" s="22"/>
      <c r="AS51" s="22"/>
      <c r="AT51" s="22"/>
      <c r="AU51" s="22"/>
    </row>
    <row r="52" ht="22.5" customHeight="1">
      <c r="A52" s="212"/>
      <c r="B52" s="115"/>
      <c r="C52" s="217" t="s">
        <v>45</v>
      </c>
      <c r="D52" s="143">
        <f t="shared" ref="D52:AG52" si="12">COUNTIF(D5:D45,"B5")</f>
        <v>0</v>
      </c>
      <c r="E52" s="143">
        <f t="shared" si="12"/>
        <v>0</v>
      </c>
      <c r="F52" s="143">
        <f t="shared" si="12"/>
        <v>0</v>
      </c>
      <c r="G52" s="143">
        <f t="shared" si="12"/>
        <v>0</v>
      </c>
      <c r="H52" s="143">
        <f t="shared" si="12"/>
        <v>0</v>
      </c>
      <c r="I52" s="143">
        <f t="shared" si="12"/>
        <v>0</v>
      </c>
      <c r="J52" s="143">
        <f t="shared" si="12"/>
        <v>0</v>
      </c>
      <c r="K52" s="143">
        <f t="shared" si="12"/>
        <v>0</v>
      </c>
      <c r="L52" s="143">
        <f t="shared" si="12"/>
        <v>0</v>
      </c>
      <c r="M52" s="143">
        <f t="shared" si="12"/>
        <v>0</v>
      </c>
      <c r="N52" s="143">
        <f t="shared" si="12"/>
        <v>0</v>
      </c>
      <c r="O52" s="143">
        <f t="shared" si="12"/>
        <v>0</v>
      </c>
      <c r="P52" s="143">
        <f t="shared" si="12"/>
        <v>0</v>
      </c>
      <c r="Q52" s="143">
        <f t="shared" si="12"/>
        <v>0</v>
      </c>
      <c r="R52" s="143">
        <f t="shared" si="12"/>
        <v>0</v>
      </c>
      <c r="S52" s="143">
        <f t="shared" si="12"/>
        <v>0</v>
      </c>
      <c r="T52" s="143">
        <f t="shared" si="12"/>
        <v>0</v>
      </c>
      <c r="U52" s="143">
        <f t="shared" si="12"/>
        <v>0</v>
      </c>
      <c r="V52" s="143">
        <f t="shared" si="12"/>
        <v>0</v>
      </c>
      <c r="W52" s="143">
        <f t="shared" si="12"/>
        <v>0</v>
      </c>
      <c r="X52" s="143">
        <f t="shared" si="12"/>
        <v>0</v>
      </c>
      <c r="Y52" s="143">
        <f t="shared" si="12"/>
        <v>0</v>
      </c>
      <c r="Z52" s="143">
        <f t="shared" si="12"/>
        <v>0</v>
      </c>
      <c r="AA52" s="143">
        <f t="shared" si="12"/>
        <v>0</v>
      </c>
      <c r="AB52" s="143">
        <f t="shared" si="12"/>
        <v>0</v>
      </c>
      <c r="AC52" s="143">
        <f t="shared" si="12"/>
        <v>0</v>
      </c>
      <c r="AD52" s="143">
        <f t="shared" si="12"/>
        <v>0</v>
      </c>
      <c r="AE52" s="143">
        <f t="shared" si="12"/>
        <v>0</v>
      </c>
      <c r="AF52" s="143">
        <f t="shared" si="12"/>
        <v>0</v>
      </c>
      <c r="AG52" s="143">
        <f t="shared" si="12"/>
        <v>0</v>
      </c>
      <c r="AH52" s="186"/>
      <c r="AI52" s="20"/>
      <c r="AJ52" s="20"/>
      <c r="AK52" s="21"/>
      <c r="AL52" s="21"/>
      <c r="AM52" s="21"/>
      <c r="AN52" s="22"/>
      <c r="AO52" s="22"/>
      <c r="AP52" s="22"/>
      <c r="AQ52" s="22"/>
      <c r="AR52" s="22"/>
      <c r="AS52" s="22"/>
      <c r="AT52" s="22"/>
      <c r="AU52" s="22"/>
    </row>
    <row r="53" ht="22.5" customHeight="1">
      <c r="A53" s="212"/>
      <c r="B53" s="115"/>
      <c r="C53" s="217" t="s">
        <v>44</v>
      </c>
      <c r="D53" s="140">
        <f t="shared" ref="D53:AG53" si="13">COUNTIF(D5:D45,"C6")</f>
        <v>0</v>
      </c>
      <c r="E53" s="140">
        <f t="shared" si="13"/>
        <v>0</v>
      </c>
      <c r="F53" s="140">
        <f t="shared" si="13"/>
        <v>0</v>
      </c>
      <c r="G53" s="140">
        <f t="shared" si="13"/>
        <v>0</v>
      </c>
      <c r="H53" s="140">
        <f t="shared" si="13"/>
        <v>0</v>
      </c>
      <c r="I53" s="140">
        <f t="shared" si="13"/>
        <v>0</v>
      </c>
      <c r="J53" s="140">
        <f t="shared" si="13"/>
        <v>0</v>
      </c>
      <c r="K53" s="140">
        <f t="shared" si="13"/>
        <v>0</v>
      </c>
      <c r="L53" s="140">
        <f t="shared" si="13"/>
        <v>0</v>
      </c>
      <c r="M53" s="140">
        <f t="shared" si="13"/>
        <v>0</v>
      </c>
      <c r="N53" s="140">
        <f t="shared" si="13"/>
        <v>0</v>
      </c>
      <c r="O53" s="140">
        <f t="shared" si="13"/>
        <v>0</v>
      </c>
      <c r="P53" s="140">
        <f t="shared" si="13"/>
        <v>0</v>
      </c>
      <c r="Q53" s="140">
        <f t="shared" si="13"/>
        <v>0</v>
      </c>
      <c r="R53" s="140">
        <f t="shared" si="13"/>
        <v>0</v>
      </c>
      <c r="S53" s="140">
        <f t="shared" si="13"/>
        <v>0</v>
      </c>
      <c r="T53" s="140">
        <f t="shared" si="13"/>
        <v>0</v>
      </c>
      <c r="U53" s="140">
        <f t="shared" si="13"/>
        <v>0</v>
      </c>
      <c r="V53" s="140">
        <f t="shared" si="13"/>
        <v>0</v>
      </c>
      <c r="W53" s="140">
        <f t="shared" si="13"/>
        <v>0</v>
      </c>
      <c r="X53" s="140">
        <f t="shared" si="13"/>
        <v>0</v>
      </c>
      <c r="Y53" s="140">
        <f t="shared" si="13"/>
        <v>0</v>
      </c>
      <c r="Z53" s="140">
        <f t="shared" si="13"/>
        <v>0</v>
      </c>
      <c r="AA53" s="140">
        <f t="shared" si="13"/>
        <v>0</v>
      </c>
      <c r="AB53" s="140">
        <f t="shared" si="13"/>
        <v>0</v>
      </c>
      <c r="AC53" s="140">
        <f t="shared" si="13"/>
        <v>0</v>
      </c>
      <c r="AD53" s="140">
        <f t="shared" si="13"/>
        <v>0</v>
      </c>
      <c r="AE53" s="140">
        <f t="shared" si="13"/>
        <v>0</v>
      </c>
      <c r="AF53" s="140">
        <f t="shared" si="13"/>
        <v>0</v>
      </c>
      <c r="AG53" s="140">
        <f t="shared" si="13"/>
        <v>0</v>
      </c>
      <c r="AH53" s="186"/>
      <c r="AI53" s="20"/>
      <c r="AJ53" s="20"/>
      <c r="AK53" s="21"/>
      <c r="AL53" s="21"/>
      <c r="AM53" s="21"/>
      <c r="AN53" s="22"/>
      <c r="AO53" s="22"/>
      <c r="AP53" s="22"/>
      <c r="AQ53" s="22"/>
      <c r="AR53" s="22"/>
      <c r="AS53" s="22"/>
      <c r="AT53" s="22"/>
      <c r="AU53" s="22"/>
    </row>
    <row r="54" ht="22.5" customHeight="1">
      <c r="A54" s="212"/>
      <c r="B54" s="115"/>
      <c r="C54" s="217" t="s">
        <v>43</v>
      </c>
      <c r="D54" s="140">
        <f t="shared" ref="D54:AG54" si="14">COUNTIF(D5:D45,"D5")</f>
        <v>0</v>
      </c>
      <c r="E54" s="140">
        <f t="shared" si="14"/>
        <v>0</v>
      </c>
      <c r="F54" s="140">
        <f t="shared" si="14"/>
        <v>0</v>
      </c>
      <c r="G54" s="140">
        <f t="shared" si="14"/>
        <v>0</v>
      </c>
      <c r="H54" s="140">
        <f t="shared" si="14"/>
        <v>0</v>
      </c>
      <c r="I54" s="140">
        <f t="shared" si="14"/>
        <v>0</v>
      </c>
      <c r="J54" s="140">
        <f t="shared" si="14"/>
        <v>0</v>
      </c>
      <c r="K54" s="140">
        <f t="shared" si="14"/>
        <v>0</v>
      </c>
      <c r="L54" s="140">
        <f t="shared" si="14"/>
        <v>0</v>
      </c>
      <c r="M54" s="140">
        <f t="shared" si="14"/>
        <v>0</v>
      </c>
      <c r="N54" s="140">
        <f t="shared" si="14"/>
        <v>0</v>
      </c>
      <c r="O54" s="140">
        <f t="shared" si="14"/>
        <v>0</v>
      </c>
      <c r="P54" s="140">
        <f t="shared" si="14"/>
        <v>0</v>
      </c>
      <c r="Q54" s="140">
        <f t="shared" si="14"/>
        <v>0</v>
      </c>
      <c r="R54" s="140">
        <f t="shared" si="14"/>
        <v>0</v>
      </c>
      <c r="S54" s="140">
        <f t="shared" si="14"/>
        <v>0</v>
      </c>
      <c r="T54" s="140">
        <f t="shared" si="14"/>
        <v>0</v>
      </c>
      <c r="U54" s="140">
        <f t="shared" si="14"/>
        <v>0</v>
      </c>
      <c r="V54" s="140">
        <f t="shared" si="14"/>
        <v>0</v>
      </c>
      <c r="W54" s="140">
        <f t="shared" si="14"/>
        <v>0</v>
      </c>
      <c r="X54" s="140">
        <f t="shared" si="14"/>
        <v>0</v>
      </c>
      <c r="Y54" s="140">
        <f t="shared" si="14"/>
        <v>0</v>
      </c>
      <c r="Z54" s="140">
        <f t="shared" si="14"/>
        <v>0</v>
      </c>
      <c r="AA54" s="140">
        <f t="shared" si="14"/>
        <v>0</v>
      </c>
      <c r="AB54" s="140">
        <f t="shared" si="14"/>
        <v>0</v>
      </c>
      <c r="AC54" s="140">
        <f t="shared" si="14"/>
        <v>0</v>
      </c>
      <c r="AD54" s="140">
        <f t="shared" si="14"/>
        <v>0</v>
      </c>
      <c r="AE54" s="140">
        <f t="shared" si="14"/>
        <v>0</v>
      </c>
      <c r="AF54" s="140">
        <f t="shared" si="14"/>
        <v>0</v>
      </c>
      <c r="AG54" s="140">
        <f t="shared" si="14"/>
        <v>0</v>
      </c>
      <c r="AH54" s="186"/>
      <c r="AI54" s="20"/>
      <c r="AJ54" s="20"/>
      <c r="AK54" s="21"/>
      <c r="AL54" s="21"/>
      <c r="AM54" s="21"/>
      <c r="AN54" s="22"/>
      <c r="AO54" s="22"/>
      <c r="AP54" s="22"/>
      <c r="AQ54" s="22"/>
      <c r="AR54" s="22"/>
      <c r="AS54" s="22"/>
      <c r="AT54" s="22"/>
      <c r="AU54" s="22"/>
    </row>
    <row r="55" ht="22.5" customHeight="1">
      <c r="A55" s="212"/>
      <c r="B55" s="115"/>
      <c r="C55" s="218" t="s">
        <v>53</v>
      </c>
      <c r="D55" s="140">
        <f t="shared" ref="D55:AG55" si="15">COUNTIF(D5:D45,"O")</f>
        <v>12</v>
      </c>
      <c r="E55" s="140">
        <f t="shared" si="15"/>
        <v>13</v>
      </c>
      <c r="F55" s="140">
        <f t="shared" si="15"/>
        <v>12</v>
      </c>
      <c r="G55" s="140">
        <f t="shared" si="15"/>
        <v>12</v>
      </c>
      <c r="H55" s="140">
        <f t="shared" si="15"/>
        <v>13</v>
      </c>
      <c r="I55" s="140">
        <f t="shared" si="15"/>
        <v>10</v>
      </c>
      <c r="J55" s="140">
        <f t="shared" si="15"/>
        <v>10</v>
      </c>
      <c r="K55" s="140">
        <f t="shared" si="15"/>
        <v>12</v>
      </c>
      <c r="L55" s="140">
        <f t="shared" si="15"/>
        <v>13</v>
      </c>
      <c r="M55" s="140">
        <f t="shared" si="15"/>
        <v>12</v>
      </c>
      <c r="N55" s="140">
        <f t="shared" si="15"/>
        <v>12</v>
      </c>
      <c r="O55" s="140">
        <f t="shared" si="15"/>
        <v>13</v>
      </c>
      <c r="P55" s="140">
        <f t="shared" si="15"/>
        <v>10</v>
      </c>
      <c r="Q55" s="140">
        <f t="shared" si="15"/>
        <v>10</v>
      </c>
      <c r="R55" s="140">
        <f t="shared" si="15"/>
        <v>12</v>
      </c>
      <c r="S55" s="140">
        <f t="shared" si="15"/>
        <v>13</v>
      </c>
      <c r="T55" s="140">
        <f t="shared" si="15"/>
        <v>12</v>
      </c>
      <c r="U55" s="140">
        <f t="shared" si="15"/>
        <v>12</v>
      </c>
      <c r="V55" s="140">
        <f t="shared" si="15"/>
        <v>13</v>
      </c>
      <c r="W55" s="140">
        <f t="shared" si="15"/>
        <v>10</v>
      </c>
      <c r="X55" s="140">
        <f t="shared" si="15"/>
        <v>10</v>
      </c>
      <c r="Y55" s="140">
        <f t="shared" si="15"/>
        <v>12</v>
      </c>
      <c r="Z55" s="140">
        <f t="shared" si="15"/>
        <v>13</v>
      </c>
      <c r="AA55" s="140">
        <f t="shared" si="15"/>
        <v>12</v>
      </c>
      <c r="AB55" s="140">
        <f t="shared" si="15"/>
        <v>12</v>
      </c>
      <c r="AC55" s="140">
        <f t="shared" si="15"/>
        <v>13</v>
      </c>
      <c r="AD55" s="140">
        <f t="shared" si="15"/>
        <v>10</v>
      </c>
      <c r="AE55" s="140">
        <f t="shared" si="15"/>
        <v>10</v>
      </c>
      <c r="AF55" s="140">
        <f t="shared" si="15"/>
        <v>11</v>
      </c>
      <c r="AG55" s="140">
        <f t="shared" si="15"/>
        <v>13</v>
      </c>
      <c r="AH55" s="186"/>
      <c r="AI55" s="20"/>
      <c r="AJ55" s="20"/>
      <c r="AK55" s="21"/>
      <c r="AL55" s="21"/>
      <c r="AM55" s="21"/>
      <c r="AN55" s="22"/>
      <c r="AO55" s="22"/>
      <c r="AP55" s="22"/>
      <c r="AQ55" s="22"/>
      <c r="AR55" s="22"/>
      <c r="AS55" s="22"/>
      <c r="AT55" s="22"/>
      <c r="AU55" s="22"/>
    </row>
    <row r="56" ht="22.5" customHeight="1">
      <c r="A56" s="212"/>
      <c r="B56" s="115"/>
      <c r="C56" s="219" t="s">
        <v>48</v>
      </c>
      <c r="D56" s="140">
        <f t="shared" ref="D56:AG56" si="16">COUNTIF(D5:D45,"AL")</f>
        <v>0</v>
      </c>
      <c r="E56" s="140">
        <f t="shared" si="16"/>
        <v>0</v>
      </c>
      <c r="F56" s="140">
        <f t="shared" si="16"/>
        <v>0</v>
      </c>
      <c r="G56" s="140">
        <f t="shared" si="16"/>
        <v>1</v>
      </c>
      <c r="H56" s="140">
        <f t="shared" si="16"/>
        <v>0</v>
      </c>
      <c r="I56" s="140">
        <f t="shared" si="16"/>
        <v>1</v>
      </c>
      <c r="J56" s="140">
        <f t="shared" si="16"/>
        <v>2</v>
      </c>
      <c r="K56" s="140">
        <f t="shared" si="16"/>
        <v>2</v>
      </c>
      <c r="L56" s="140">
        <f t="shared" si="16"/>
        <v>1</v>
      </c>
      <c r="M56" s="140">
        <f t="shared" si="16"/>
        <v>2</v>
      </c>
      <c r="N56" s="140">
        <f t="shared" si="16"/>
        <v>2</v>
      </c>
      <c r="O56" s="140">
        <f t="shared" si="16"/>
        <v>1</v>
      </c>
      <c r="P56" s="140">
        <f t="shared" si="16"/>
        <v>1</v>
      </c>
      <c r="Q56" s="140">
        <f t="shared" si="16"/>
        <v>1</v>
      </c>
      <c r="R56" s="140">
        <f t="shared" si="16"/>
        <v>1</v>
      </c>
      <c r="S56" s="140">
        <f t="shared" si="16"/>
        <v>1</v>
      </c>
      <c r="T56" s="140">
        <f t="shared" si="16"/>
        <v>1</v>
      </c>
      <c r="U56" s="140">
        <f t="shared" si="16"/>
        <v>2</v>
      </c>
      <c r="V56" s="140">
        <f t="shared" si="16"/>
        <v>2</v>
      </c>
      <c r="W56" s="140">
        <f t="shared" si="16"/>
        <v>1</v>
      </c>
      <c r="X56" s="140">
        <f t="shared" si="16"/>
        <v>1</v>
      </c>
      <c r="Y56" s="140">
        <f t="shared" si="16"/>
        <v>1</v>
      </c>
      <c r="Z56" s="140">
        <f t="shared" si="16"/>
        <v>0</v>
      </c>
      <c r="AA56" s="140">
        <f t="shared" si="16"/>
        <v>2</v>
      </c>
      <c r="AB56" s="140">
        <f t="shared" si="16"/>
        <v>2</v>
      </c>
      <c r="AC56" s="140">
        <f t="shared" si="16"/>
        <v>3</v>
      </c>
      <c r="AD56" s="140">
        <f t="shared" si="16"/>
        <v>1</v>
      </c>
      <c r="AE56" s="140">
        <f t="shared" si="16"/>
        <v>0</v>
      </c>
      <c r="AF56" s="140">
        <f t="shared" si="16"/>
        <v>0</v>
      </c>
      <c r="AG56" s="140">
        <f t="shared" si="16"/>
        <v>0</v>
      </c>
      <c r="AH56" s="186"/>
      <c r="AI56" s="20"/>
      <c r="AJ56" s="20"/>
      <c r="AK56" s="21"/>
      <c r="AL56" s="21"/>
      <c r="AM56" s="21"/>
      <c r="AN56" s="22"/>
      <c r="AO56" s="22"/>
      <c r="AP56" s="22"/>
      <c r="AQ56" s="22"/>
      <c r="AR56" s="22"/>
      <c r="AS56" s="22"/>
      <c r="AT56" s="22"/>
      <c r="AU56" s="22"/>
    </row>
    <row r="57" ht="22.5" customHeight="1">
      <c r="A57" s="212"/>
      <c r="B57" s="115"/>
      <c r="C57" s="219" t="s">
        <v>49</v>
      </c>
      <c r="D57" s="140">
        <f t="shared" ref="D57:AG57" si="17">COUNTIF(D5:D45,"PH")</f>
        <v>3</v>
      </c>
      <c r="E57" s="140">
        <f t="shared" si="17"/>
        <v>2</v>
      </c>
      <c r="F57" s="140">
        <f t="shared" si="17"/>
        <v>5</v>
      </c>
      <c r="G57" s="140">
        <f t="shared" si="17"/>
        <v>2</v>
      </c>
      <c r="H57" s="140">
        <f t="shared" si="17"/>
        <v>3</v>
      </c>
      <c r="I57" s="140">
        <f t="shared" si="17"/>
        <v>0</v>
      </c>
      <c r="J57" s="140">
        <f t="shared" si="17"/>
        <v>1</v>
      </c>
      <c r="K57" s="140">
        <f t="shared" si="17"/>
        <v>1</v>
      </c>
      <c r="L57" s="140">
        <f t="shared" si="17"/>
        <v>1</v>
      </c>
      <c r="M57" s="140">
        <f t="shared" si="17"/>
        <v>2</v>
      </c>
      <c r="N57" s="140">
        <f t="shared" si="17"/>
        <v>2</v>
      </c>
      <c r="O57" s="140">
        <f t="shared" si="17"/>
        <v>2</v>
      </c>
      <c r="P57" s="140">
        <f t="shared" si="17"/>
        <v>0</v>
      </c>
      <c r="Q57" s="140">
        <f t="shared" si="17"/>
        <v>1</v>
      </c>
      <c r="R57" s="140">
        <f t="shared" si="17"/>
        <v>2</v>
      </c>
      <c r="S57" s="140">
        <f t="shared" si="17"/>
        <v>1</v>
      </c>
      <c r="T57" s="140">
        <f t="shared" si="17"/>
        <v>3</v>
      </c>
      <c r="U57" s="140">
        <f t="shared" si="17"/>
        <v>1</v>
      </c>
      <c r="V57" s="140">
        <f t="shared" si="17"/>
        <v>1</v>
      </c>
      <c r="W57" s="140">
        <f t="shared" si="17"/>
        <v>3</v>
      </c>
      <c r="X57" s="140">
        <f t="shared" si="17"/>
        <v>1</v>
      </c>
      <c r="Y57" s="140">
        <f t="shared" si="17"/>
        <v>2</v>
      </c>
      <c r="Z57" s="140">
        <f t="shared" si="17"/>
        <v>2</v>
      </c>
      <c r="AA57" s="140">
        <f t="shared" si="17"/>
        <v>2</v>
      </c>
      <c r="AB57" s="140">
        <f t="shared" si="17"/>
        <v>2</v>
      </c>
      <c r="AC57" s="140">
        <f t="shared" si="17"/>
        <v>0</v>
      </c>
      <c r="AD57" s="140">
        <f t="shared" si="17"/>
        <v>0</v>
      </c>
      <c r="AE57" s="140">
        <f t="shared" si="17"/>
        <v>3</v>
      </c>
      <c r="AF57" s="140">
        <f t="shared" si="17"/>
        <v>4</v>
      </c>
      <c r="AG57" s="140">
        <f t="shared" si="17"/>
        <v>2</v>
      </c>
      <c r="AH57" s="186"/>
      <c r="AI57" s="20"/>
      <c r="AJ57" s="20"/>
      <c r="AK57" s="21"/>
      <c r="AL57" s="21"/>
      <c r="AM57" s="21"/>
      <c r="AN57" s="22"/>
      <c r="AO57" s="22"/>
      <c r="AP57" s="22"/>
      <c r="AQ57" s="22"/>
      <c r="AR57" s="22"/>
      <c r="AS57" s="22"/>
      <c r="AT57" s="22"/>
      <c r="AU57" s="22"/>
    </row>
    <row r="58" ht="22.5" customHeight="1">
      <c r="A58" s="212"/>
      <c r="B58" s="115"/>
      <c r="C58" s="218" t="s">
        <v>183</v>
      </c>
      <c r="D58" s="220">
        <f t="shared" ref="D58:AG58" si="18">SUM(D50:D54)</f>
        <v>26</v>
      </c>
      <c r="E58" s="220">
        <f t="shared" si="18"/>
        <v>26</v>
      </c>
      <c r="F58" s="220">
        <f t="shared" si="18"/>
        <v>24</v>
      </c>
      <c r="G58" s="220">
        <f t="shared" si="18"/>
        <v>26</v>
      </c>
      <c r="H58" s="220">
        <f t="shared" si="18"/>
        <v>25</v>
      </c>
      <c r="I58" s="220">
        <f t="shared" si="18"/>
        <v>30</v>
      </c>
      <c r="J58" s="220">
        <f t="shared" si="18"/>
        <v>28</v>
      </c>
      <c r="K58" s="220">
        <f t="shared" si="18"/>
        <v>26</v>
      </c>
      <c r="L58" s="220">
        <f t="shared" si="18"/>
        <v>26</v>
      </c>
      <c r="M58" s="220">
        <f t="shared" si="18"/>
        <v>25</v>
      </c>
      <c r="N58" s="220">
        <f t="shared" si="18"/>
        <v>25</v>
      </c>
      <c r="O58" s="220">
        <f t="shared" si="18"/>
        <v>25</v>
      </c>
      <c r="P58" s="220">
        <f t="shared" si="18"/>
        <v>30</v>
      </c>
      <c r="Q58" s="220">
        <f t="shared" si="18"/>
        <v>29</v>
      </c>
      <c r="R58" s="220">
        <f t="shared" si="18"/>
        <v>26</v>
      </c>
      <c r="S58" s="220">
        <f t="shared" si="18"/>
        <v>26</v>
      </c>
      <c r="T58" s="220">
        <f t="shared" si="18"/>
        <v>25</v>
      </c>
      <c r="U58" s="220">
        <f t="shared" si="18"/>
        <v>26</v>
      </c>
      <c r="V58" s="220">
        <f t="shared" si="18"/>
        <v>25</v>
      </c>
      <c r="W58" s="220">
        <f t="shared" si="18"/>
        <v>27</v>
      </c>
      <c r="X58" s="220">
        <f t="shared" si="18"/>
        <v>29</v>
      </c>
      <c r="Y58" s="220">
        <f t="shared" si="18"/>
        <v>26</v>
      </c>
      <c r="Z58" s="220">
        <f t="shared" si="18"/>
        <v>26</v>
      </c>
      <c r="AA58" s="220">
        <f t="shared" si="18"/>
        <v>25</v>
      </c>
      <c r="AB58" s="220">
        <f t="shared" si="18"/>
        <v>25</v>
      </c>
      <c r="AC58" s="220">
        <f t="shared" si="18"/>
        <v>25</v>
      </c>
      <c r="AD58" s="220">
        <f t="shared" si="18"/>
        <v>30</v>
      </c>
      <c r="AE58" s="220">
        <f t="shared" si="18"/>
        <v>28</v>
      </c>
      <c r="AF58" s="220">
        <f t="shared" si="18"/>
        <v>26</v>
      </c>
      <c r="AG58" s="220">
        <f t="shared" si="18"/>
        <v>26</v>
      </c>
      <c r="AH58" s="186"/>
      <c r="AI58" s="20"/>
      <c r="AJ58" s="20"/>
      <c r="AK58" s="21"/>
      <c r="AL58" s="21"/>
      <c r="AM58" s="21"/>
      <c r="AN58" s="22"/>
      <c r="AO58" s="22"/>
      <c r="AP58" s="22"/>
      <c r="AQ58" s="22"/>
      <c r="AR58" s="22"/>
      <c r="AS58" s="22"/>
      <c r="AT58" s="22"/>
      <c r="AU58" s="22"/>
    </row>
    <row r="59" ht="13.5" customHeight="1">
      <c r="A59" s="204"/>
      <c r="B59" s="115"/>
      <c r="C59" s="221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156"/>
      <c r="AL59" s="156"/>
      <c r="AM59" s="156"/>
      <c r="AN59" s="67"/>
      <c r="AO59" s="67"/>
      <c r="AP59" s="67"/>
      <c r="AQ59" s="67"/>
      <c r="AR59" s="67"/>
      <c r="AS59" s="67"/>
      <c r="AT59" s="67"/>
      <c r="AU59" s="67"/>
    </row>
    <row r="60" ht="13.5" customHeight="1">
      <c r="A60" s="204"/>
      <c r="B60" s="115"/>
      <c r="C60" s="222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156"/>
      <c r="AL60" s="156"/>
      <c r="AM60" s="156"/>
      <c r="AN60" s="67"/>
      <c r="AO60" s="67"/>
      <c r="AP60" s="67"/>
      <c r="AQ60" s="67"/>
      <c r="AR60" s="67"/>
      <c r="AS60" s="67"/>
      <c r="AT60" s="67"/>
      <c r="AU60" s="67"/>
    </row>
    <row r="61" ht="13.5" customHeight="1">
      <c r="A61" s="204"/>
      <c r="B61" s="115"/>
      <c r="C61" s="222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156"/>
      <c r="AL61" s="156"/>
      <c r="AM61" s="156"/>
      <c r="AN61" s="67"/>
      <c r="AO61" s="67"/>
      <c r="AP61" s="67"/>
      <c r="AQ61" s="67"/>
      <c r="AR61" s="67"/>
      <c r="AS61" s="67"/>
      <c r="AT61" s="67"/>
      <c r="AU61" s="67"/>
    </row>
    <row r="62" ht="13.5" customHeight="1">
      <c r="A62" s="204"/>
      <c r="B62" s="115"/>
      <c r="C62" s="222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156"/>
      <c r="AL62" s="156"/>
      <c r="AM62" s="156"/>
      <c r="AN62" s="67"/>
      <c r="AO62" s="67"/>
      <c r="AP62" s="67"/>
      <c r="AQ62" s="67"/>
      <c r="AR62" s="67"/>
      <c r="AS62" s="67"/>
      <c r="AT62" s="67"/>
      <c r="AU62" s="67"/>
    </row>
    <row r="63" ht="13.5" customHeight="1">
      <c r="A63" s="204"/>
      <c r="B63" s="115"/>
      <c r="C63" s="222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156"/>
      <c r="AL63" s="156"/>
      <c r="AM63" s="156"/>
      <c r="AN63" s="67"/>
      <c r="AO63" s="67"/>
      <c r="AP63" s="67"/>
      <c r="AQ63" s="67"/>
      <c r="AR63" s="67"/>
      <c r="AS63" s="67"/>
      <c r="AT63" s="67"/>
      <c r="AU63" s="67"/>
    </row>
    <row r="64" ht="13.5" customHeight="1">
      <c r="A64" s="204"/>
      <c r="B64" s="115"/>
      <c r="C64" s="222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156"/>
      <c r="AL64" s="156"/>
      <c r="AM64" s="156"/>
      <c r="AN64" s="67"/>
      <c r="AO64" s="67"/>
      <c r="AP64" s="67"/>
      <c r="AQ64" s="67"/>
      <c r="AR64" s="67"/>
      <c r="AS64" s="67"/>
      <c r="AT64" s="67"/>
      <c r="AU64" s="67"/>
    </row>
    <row r="65" ht="13.5" customHeight="1">
      <c r="A65" s="204"/>
      <c r="B65" s="115"/>
      <c r="C65" s="222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156"/>
      <c r="AL65" s="156"/>
      <c r="AM65" s="156"/>
      <c r="AN65" s="67"/>
      <c r="AO65" s="67"/>
      <c r="AP65" s="67"/>
      <c r="AQ65" s="67"/>
      <c r="AR65" s="67"/>
      <c r="AS65" s="67"/>
      <c r="AT65" s="67"/>
      <c r="AU65" s="67"/>
    </row>
    <row r="66" ht="13.5" customHeight="1">
      <c r="A66" s="204"/>
      <c r="B66" s="115"/>
      <c r="C66" s="222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156"/>
      <c r="AL66" s="156"/>
      <c r="AM66" s="156"/>
      <c r="AN66" s="67"/>
      <c r="AO66" s="67"/>
      <c r="AP66" s="67"/>
      <c r="AQ66" s="67"/>
      <c r="AR66" s="67"/>
      <c r="AS66" s="67"/>
      <c r="AT66" s="67"/>
      <c r="AU66" s="67"/>
    </row>
    <row r="67" ht="13.5" customHeight="1">
      <c r="A67" s="204"/>
      <c r="B67" s="115"/>
      <c r="C67" s="222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156"/>
      <c r="AL67" s="156"/>
      <c r="AM67" s="156"/>
      <c r="AN67" s="67"/>
      <c r="AO67" s="67"/>
      <c r="AP67" s="67"/>
      <c r="AQ67" s="67"/>
      <c r="AR67" s="67"/>
      <c r="AS67" s="67"/>
      <c r="AT67" s="67"/>
      <c r="AU67" s="67"/>
    </row>
    <row r="68" ht="13.5" customHeight="1">
      <c r="A68" s="204"/>
      <c r="B68" s="115"/>
      <c r="C68" s="222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156"/>
      <c r="AL68" s="156"/>
      <c r="AM68" s="156"/>
      <c r="AN68" s="67"/>
      <c r="AO68" s="67"/>
      <c r="AP68" s="67"/>
      <c r="AQ68" s="67"/>
      <c r="AR68" s="67"/>
      <c r="AS68" s="67"/>
      <c r="AT68" s="67"/>
      <c r="AU68" s="67"/>
    </row>
    <row r="69" ht="13.5" customHeight="1">
      <c r="A69" s="204"/>
      <c r="B69" s="115"/>
      <c r="C69" s="222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156"/>
      <c r="AL69" s="156"/>
      <c r="AM69" s="156"/>
      <c r="AN69" s="67"/>
      <c r="AO69" s="67"/>
      <c r="AP69" s="67"/>
      <c r="AQ69" s="67"/>
      <c r="AR69" s="67"/>
      <c r="AS69" s="67"/>
      <c r="AT69" s="67"/>
      <c r="AU69" s="67"/>
    </row>
    <row r="70" ht="13.5" customHeight="1">
      <c r="A70" s="204"/>
      <c r="B70" s="115"/>
      <c r="C70" s="222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156"/>
      <c r="AL70" s="156"/>
      <c r="AM70" s="156"/>
      <c r="AN70" s="67"/>
      <c r="AO70" s="67"/>
      <c r="AP70" s="67"/>
      <c r="AQ70" s="67"/>
      <c r="AR70" s="67"/>
      <c r="AS70" s="67"/>
      <c r="AT70" s="67"/>
      <c r="AU70" s="67"/>
    </row>
    <row r="71" ht="13.5" customHeight="1">
      <c r="A71" s="204"/>
      <c r="B71" s="115"/>
      <c r="C71" s="222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156"/>
      <c r="AL71" s="156"/>
      <c r="AM71" s="156"/>
      <c r="AN71" s="67"/>
      <c r="AO71" s="67"/>
      <c r="AP71" s="67"/>
      <c r="AQ71" s="67"/>
      <c r="AR71" s="67"/>
      <c r="AS71" s="67"/>
      <c r="AT71" s="67"/>
      <c r="AU71" s="67"/>
    </row>
    <row r="72" ht="13.5" customHeight="1">
      <c r="A72" s="204"/>
      <c r="B72" s="115"/>
      <c r="C72" s="222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156"/>
      <c r="AL72" s="156"/>
      <c r="AM72" s="156"/>
      <c r="AN72" s="67"/>
      <c r="AO72" s="67"/>
      <c r="AP72" s="67"/>
      <c r="AQ72" s="67"/>
      <c r="AR72" s="67"/>
      <c r="AS72" s="67"/>
      <c r="AT72" s="67"/>
      <c r="AU72" s="67"/>
    </row>
    <row r="73" ht="13.5" customHeight="1">
      <c r="A73" s="204"/>
      <c r="B73" s="115"/>
      <c r="C73" s="222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156"/>
      <c r="AL73" s="156"/>
      <c r="AM73" s="156"/>
      <c r="AN73" s="67"/>
      <c r="AO73" s="67"/>
      <c r="AP73" s="67"/>
      <c r="AQ73" s="67"/>
      <c r="AR73" s="67"/>
      <c r="AS73" s="67"/>
      <c r="AT73" s="67"/>
      <c r="AU73" s="67"/>
    </row>
    <row r="74" ht="13.5" customHeight="1">
      <c r="A74" s="204"/>
      <c r="B74" s="115"/>
      <c r="C74" s="222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156"/>
      <c r="AL74" s="156"/>
      <c r="AM74" s="156"/>
      <c r="AN74" s="67"/>
      <c r="AO74" s="67"/>
      <c r="AP74" s="67"/>
      <c r="AQ74" s="67"/>
      <c r="AR74" s="67"/>
      <c r="AS74" s="67"/>
      <c r="AT74" s="67"/>
      <c r="AU74" s="67"/>
    </row>
    <row r="75" ht="13.5" customHeight="1">
      <c r="A75" s="204"/>
      <c r="B75" s="115"/>
      <c r="C75" s="222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156"/>
      <c r="AL75" s="156"/>
      <c r="AM75" s="156"/>
      <c r="AN75" s="67"/>
      <c r="AO75" s="67"/>
      <c r="AP75" s="67"/>
      <c r="AQ75" s="67"/>
      <c r="AR75" s="67"/>
      <c r="AS75" s="67"/>
      <c r="AT75" s="67"/>
      <c r="AU75" s="67"/>
    </row>
    <row r="76" ht="13.5" customHeight="1">
      <c r="A76" s="204"/>
      <c r="B76" s="115"/>
      <c r="C76" s="222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156"/>
      <c r="AL76" s="156"/>
      <c r="AM76" s="156"/>
      <c r="AN76" s="67"/>
      <c r="AO76" s="67"/>
      <c r="AP76" s="67"/>
      <c r="AQ76" s="67"/>
      <c r="AR76" s="67"/>
      <c r="AS76" s="67"/>
      <c r="AT76" s="67"/>
      <c r="AU76" s="67"/>
    </row>
    <row r="77" ht="13.5" customHeight="1">
      <c r="A77" s="204"/>
      <c r="B77" s="115"/>
      <c r="C77" s="222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156"/>
      <c r="AL77" s="156"/>
      <c r="AM77" s="156"/>
      <c r="AN77" s="67"/>
      <c r="AO77" s="67"/>
      <c r="AP77" s="67"/>
      <c r="AQ77" s="67"/>
      <c r="AR77" s="67"/>
      <c r="AS77" s="67"/>
      <c r="AT77" s="67"/>
      <c r="AU77" s="67"/>
    </row>
    <row r="78" ht="13.5" customHeight="1">
      <c r="A78" s="204"/>
      <c r="B78" s="115"/>
      <c r="C78" s="222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156"/>
      <c r="AL78" s="156"/>
      <c r="AM78" s="156"/>
      <c r="AN78" s="67"/>
      <c r="AO78" s="67"/>
      <c r="AP78" s="67"/>
      <c r="AQ78" s="67"/>
      <c r="AR78" s="67"/>
      <c r="AS78" s="67"/>
      <c r="AT78" s="67"/>
      <c r="AU78" s="67"/>
    </row>
    <row r="79" ht="13.5" customHeight="1">
      <c r="A79" s="204"/>
      <c r="B79" s="115"/>
      <c r="C79" s="222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156"/>
      <c r="AL79" s="156"/>
      <c r="AM79" s="156"/>
      <c r="AN79" s="67"/>
      <c r="AO79" s="67"/>
      <c r="AP79" s="67"/>
      <c r="AQ79" s="67"/>
      <c r="AR79" s="67"/>
      <c r="AS79" s="67"/>
      <c r="AT79" s="67"/>
      <c r="AU79" s="67"/>
    </row>
    <row r="80" ht="13.5" customHeight="1">
      <c r="A80" s="204"/>
      <c r="B80" s="115"/>
      <c r="C80" s="222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156"/>
      <c r="AL80" s="156"/>
      <c r="AM80" s="156"/>
      <c r="AN80" s="67"/>
      <c r="AO80" s="67"/>
      <c r="AP80" s="67"/>
      <c r="AQ80" s="67"/>
      <c r="AR80" s="67"/>
      <c r="AS80" s="67"/>
      <c r="AT80" s="67"/>
      <c r="AU80" s="67"/>
    </row>
    <row r="81" ht="13.5" customHeight="1">
      <c r="A81" s="204"/>
      <c r="B81" s="115"/>
      <c r="C81" s="222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156"/>
      <c r="AL81" s="156"/>
      <c r="AM81" s="156"/>
      <c r="AN81" s="67"/>
      <c r="AO81" s="67"/>
      <c r="AP81" s="67"/>
      <c r="AQ81" s="67"/>
      <c r="AR81" s="67"/>
      <c r="AS81" s="67"/>
      <c r="AT81" s="67"/>
      <c r="AU81" s="67"/>
    </row>
    <row r="82" ht="13.5" customHeight="1">
      <c r="A82" s="204"/>
      <c r="B82" s="115"/>
      <c r="C82" s="222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156"/>
      <c r="AL82" s="156"/>
      <c r="AM82" s="156"/>
      <c r="AN82" s="67"/>
      <c r="AO82" s="67"/>
      <c r="AP82" s="67"/>
      <c r="AQ82" s="67"/>
      <c r="AR82" s="67"/>
      <c r="AS82" s="67"/>
      <c r="AT82" s="67"/>
      <c r="AU82" s="67"/>
    </row>
    <row r="83" ht="13.5" customHeight="1">
      <c r="A83" s="204"/>
      <c r="B83" s="115"/>
      <c r="C83" s="222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156"/>
      <c r="AL83" s="156"/>
      <c r="AM83" s="156"/>
      <c r="AN83" s="67"/>
      <c r="AO83" s="67"/>
      <c r="AP83" s="67"/>
      <c r="AQ83" s="67"/>
      <c r="AR83" s="67"/>
      <c r="AS83" s="67"/>
      <c r="AT83" s="67"/>
      <c r="AU83" s="67"/>
    </row>
    <row r="84" ht="13.5" customHeight="1">
      <c r="A84" s="204"/>
      <c r="B84" s="115"/>
      <c r="C84" s="222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156"/>
      <c r="AL84" s="156"/>
      <c r="AM84" s="156"/>
      <c r="AN84" s="67"/>
      <c r="AO84" s="67"/>
      <c r="AP84" s="67"/>
      <c r="AQ84" s="67"/>
      <c r="AR84" s="67"/>
      <c r="AS84" s="67"/>
      <c r="AT84" s="67"/>
      <c r="AU84" s="67"/>
    </row>
    <row r="85" ht="13.5" customHeight="1">
      <c r="A85" s="204"/>
      <c r="B85" s="115"/>
      <c r="C85" s="222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156"/>
      <c r="AL85" s="156"/>
      <c r="AM85" s="156"/>
      <c r="AN85" s="67"/>
      <c r="AO85" s="67"/>
      <c r="AP85" s="67"/>
      <c r="AQ85" s="67"/>
      <c r="AR85" s="67"/>
      <c r="AS85" s="67"/>
      <c r="AT85" s="67"/>
      <c r="AU85" s="67"/>
    </row>
    <row r="86" ht="13.5" customHeight="1">
      <c r="A86" s="204"/>
      <c r="B86" s="115"/>
      <c r="C86" s="222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156"/>
      <c r="AL86" s="156"/>
      <c r="AM86" s="156"/>
      <c r="AN86" s="67"/>
      <c r="AO86" s="67"/>
      <c r="AP86" s="67"/>
      <c r="AQ86" s="67"/>
      <c r="AR86" s="67"/>
      <c r="AS86" s="67"/>
      <c r="AT86" s="67"/>
      <c r="AU86" s="67"/>
    </row>
    <row r="87" ht="13.5" customHeight="1">
      <c r="A87" s="204"/>
      <c r="B87" s="115"/>
      <c r="C87" s="222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156"/>
      <c r="AL87" s="156"/>
      <c r="AM87" s="156"/>
      <c r="AN87" s="67"/>
      <c r="AO87" s="67"/>
      <c r="AP87" s="67"/>
      <c r="AQ87" s="67"/>
      <c r="AR87" s="67"/>
      <c r="AS87" s="67"/>
      <c r="AT87" s="67"/>
      <c r="AU87" s="67"/>
    </row>
    <row r="88" ht="13.5" customHeight="1">
      <c r="A88" s="204"/>
      <c r="B88" s="115"/>
      <c r="C88" s="222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156"/>
      <c r="AL88" s="156"/>
      <c r="AM88" s="156"/>
      <c r="AN88" s="67"/>
      <c r="AO88" s="67"/>
      <c r="AP88" s="67"/>
      <c r="AQ88" s="67"/>
      <c r="AR88" s="67"/>
      <c r="AS88" s="67"/>
      <c r="AT88" s="67"/>
      <c r="AU88" s="67"/>
    </row>
    <row r="89" ht="13.5" customHeight="1">
      <c r="A89" s="204"/>
      <c r="B89" s="115"/>
      <c r="C89" s="222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156"/>
      <c r="AL89" s="156"/>
      <c r="AM89" s="156"/>
      <c r="AN89" s="67"/>
      <c r="AO89" s="67"/>
      <c r="AP89" s="67"/>
      <c r="AQ89" s="67"/>
      <c r="AR89" s="67"/>
      <c r="AS89" s="67"/>
      <c r="AT89" s="67"/>
      <c r="AU89" s="67"/>
    </row>
    <row r="90" ht="13.5" customHeight="1">
      <c r="A90" s="204"/>
      <c r="B90" s="115"/>
      <c r="C90" s="222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156"/>
      <c r="AL90" s="156"/>
      <c r="AM90" s="156"/>
      <c r="AN90" s="67"/>
      <c r="AO90" s="67"/>
      <c r="AP90" s="67"/>
      <c r="AQ90" s="67"/>
      <c r="AR90" s="67"/>
      <c r="AS90" s="67"/>
      <c r="AT90" s="67"/>
      <c r="AU90" s="67"/>
    </row>
    <row r="91" ht="13.5" customHeight="1">
      <c r="A91" s="204"/>
      <c r="B91" s="115"/>
      <c r="C91" s="222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156"/>
      <c r="AL91" s="156"/>
      <c r="AM91" s="156"/>
      <c r="AN91" s="67"/>
      <c r="AO91" s="67"/>
      <c r="AP91" s="67"/>
      <c r="AQ91" s="67"/>
      <c r="AR91" s="67"/>
      <c r="AS91" s="67"/>
      <c r="AT91" s="67"/>
      <c r="AU91" s="67"/>
    </row>
    <row r="92" ht="13.5" customHeight="1">
      <c r="A92" s="204"/>
      <c r="B92" s="115"/>
      <c r="C92" s="222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156"/>
      <c r="AL92" s="156"/>
      <c r="AM92" s="156"/>
      <c r="AN92" s="67"/>
      <c r="AO92" s="67"/>
      <c r="AP92" s="67"/>
      <c r="AQ92" s="67"/>
      <c r="AR92" s="67"/>
      <c r="AS92" s="67"/>
      <c r="AT92" s="67"/>
      <c r="AU92" s="67"/>
    </row>
    <row r="93" ht="13.5" customHeight="1">
      <c r="A93" s="204"/>
      <c r="B93" s="115"/>
      <c r="C93" s="222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156"/>
      <c r="AL93" s="156"/>
      <c r="AM93" s="156"/>
      <c r="AN93" s="67"/>
      <c r="AO93" s="67"/>
      <c r="AP93" s="67"/>
      <c r="AQ93" s="67"/>
      <c r="AR93" s="67"/>
      <c r="AS93" s="67"/>
      <c r="AT93" s="67"/>
      <c r="AU93" s="67"/>
    </row>
    <row r="94" ht="13.5" customHeight="1">
      <c r="A94" s="204"/>
      <c r="B94" s="115"/>
      <c r="C94" s="222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156"/>
      <c r="AL94" s="156"/>
      <c r="AM94" s="156"/>
      <c r="AN94" s="67"/>
      <c r="AO94" s="67"/>
      <c r="AP94" s="67"/>
      <c r="AQ94" s="67"/>
      <c r="AR94" s="67"/>
      <c r="AS94" s="67"/>
      <c r="AT94" s="67"/>
      <c r="AU94" s="67"/>
    </row>
    <row r="95" ht="13.5" customHeight="1">
      <c r="A95" s="204"/>
      <c r="B95" s="115"/>
      <c r="C95" s="222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156"/>
      <c r="AL95" s="156"/>
      <c r="AM95" s="156"/>
      <c r="AN95" s="67"/>
      <c r="AO95" s="67"/>
      <c r="AP95" s="67"/>
      <c r="AQ95" s="67"/>
      <c r="AR95" s="67"/>
      <c r="AS95" s="67"/>
      <c r="AT95" s="67"/>
      <c r="AU95" s="67"/>
    </row>
    <row r="96" ht="13.5" customHeight="1">
      <c r="A96" s="204"/>
      <c r="B96" s="115"/>
      <c r="C96" s="222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156"/>
      <c r="AL96" s="156"/>
      <c r="AM96" s="156"/>
      <c r="AN96" s="67"/>
      <c r="AO96" s="67"/>
      <c r="AP96" s="67"/>
      <c r="AQ96" s="67"/>
      <c r="AR96" s="67"/>
      <c r="AS96" s="67"/>
      <c r="AT96" s="67"/>
      <c r="AU96" s="67"/>
    </row>
    <row r="97" ht="13.5" customHeight="1">
      <c r="A97" s="204"/>
      <c r="B97" s="115"/>
      <c r="C97" s="222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156"/>
      <c r="AL97" s="156"/>
      <c r="AM97" s="156"/>
      <c r="AN97" s="67"/>
      <c r="AO97" s="67"/>
      <c r="AP97" s="67"/>
      <c r="AQ97" s="67"/>
      <c r="AR97" s="67"/>
      <c r="AS97" s="67"/>
      <c r="AT97" s="67"/>
      <c r="AU97" s="67"/>
    </row>
    <row r="98" ht="13.5" customHeight="1">
      <c r="A98" s="204"/>
      <c r="B98" s="115"/>
      <c r="C98" s="222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156"/>
      <c r="AL98" s="156"/>
      <c r="AM98" s="156"/>
      <c r="AN98" s="67"/>
      <c r="AO98" s="67"/>
      <c r="AP98" s="67"/>
      <c r="AQ98" s="67"/>
      <c r="AR98" s="67"/>
      <c r="AS98" s="67"/>
      <c r="AT98" s="67"/>
      <c r="AU98" s="67"/>
    </row>
    <row r="99" ht="13.5" customHeight="1">
      <c r="A99" s="204"/>
      <c r="B99" s="115"/>
      <c r="C99" s="222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156"/>
      <c r="AL99" s="156"/>
      <c r="AM99" s="156"/>
      <c r="AN99" s="67"/>
      <c r="AO99" s="67"/>
      <c r="AP99" s="67"/>
      <c r="AQ99" s="67"/>
      <c r="AR99" s="67"/>
      <c r="AS99" s="67"/>
      <c r="AT99" s="67"/>
      <c r="AU99" s="67"/>
    </row>
    <row r="100" ht="13.5" customHeight="1">
      <c r="A100" s="204"/>
      <c r="B100" s="115"/>
      <c r="C100" s="222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156"/>
      <c r="AL100" s="156"/>
      <c r="AM100" s="156"/>
      <c r="AN100" s="67"/>
      <c r="AO100" s="67"/>
      <c r="AP100" s="67"/>
      <c r="AQ100" s="67"/>
      <c r="AR100" s="67"/>
      <c r="AS100" s="67"/>
      <c r="AT100" s="67"/>
      <c r="AU100" s="67"/>
    </row>
    <row r="101" ht="13.5" customHeight="1">
      <c r="A101" s="204"/>
      <c r="B101" s="115"/>
      <c r="C101" s="222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156"/>
      <c r="AL101" s="156"/>
      <c r="AM101" s="156"/>
      <c r="AN101" s="67"/>
      <c r="AO101" s="67"/>
      <c r="AP101" s="67"/>
      <c r="AQ101" s="67"/>
      <c r="AR101" s="67"/>
      <c r="AS101" s="67"/>
      <c r="AT101" s="67"/>
      <c r="AU101" s="67"/>
    </row>
    <row r="102" ht="13.5" customHeight="1">
      <c r="A102" s="204"/>
      <c r="B102" s="115"/>
      <c r="C102" s="222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156"/>
      <c r="AL102" s="156"/>
      <c r="AM102" s="156"/>
      <c r="AN102" s="67"/>
      <c r="AO102" s="67"/>
      <c r="AP102" s="67"/>
      <c r="AQ102" s="67"/>
      <c r="AR102" s="67"/>
      <c r="AS102" s="67"/>
      <c r="AT102" s="67"/>
      <c r="AU102" s="67"/>
    </row>
    <row r="103" ht="13.5" customHeight="1">
      <c r="A103" s="204"/>
      <c r="B103" s="115"/>
      <c r="C103" s="222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156"/>
      <c r="AL103" s="156"/>
      <c r="AM103" s="156"/>
      <c r="AN103" s="67"/>
      <c r="AO103" s="67"/>
      <c r="AP103" s="67"/>
      <c r="AQ103" s="67"/>
      <c r="AR103" s="67"/>
      <c r="AS103" s="67"/>
      <c r="AT103" s="67"/>
      <c r="AU103" s="67"/>
    </row>
    <row r="104" ht="13.5" customHeight="1">
      <c r="A104" s="204"/>
      <c r="B104" s="115"/>
      <c r="C104" s="222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156"/>
      <c r="AL104" s="156"/>
      <c r="AM104" s="156"/>
      <c r="AN104" s="67"/>
      <c r="AO104" s="67"/>
      <c r="AP104" s="67"/>
      <c r="AQ104" s="67"/>
      <c r="AR104" s="67"/>
      <c r="AS104" s="67"/>
      <c r="AT104" s="67"/>
      <c r="AU104" s="67"/>
    </row>
    <row r="105" ht="13.5" customHeight="1">
      <c r="A105" s="204"/>
      <c r="B105" s="115"/>
      <c r="C105" s="222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156"/>
      <c r="AL105" s="156"/>
      <c r="AM105" s="156"/>
      <c r="AN105" s="67"/>
      <c r="AO105" s="67"/>
      <c r="AP105" s="67"/>
      <c r="AQ105" s="67"/>
      <c r="AR105" s="67"/>
      <c r="AS105" s="67"/>
      <c r="AT105" s="67"/>
      <c r="AU105" s="67"/>
    </row>
    <row r="106" ht="13.5" customHeight="1">
      <c r="A106" s="204"/>
      <c r="B106" s="115"/>
      <c r="C106" s="222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156"/>
      <c r="AL106" s="156"/>
      <c r="AM106" s="156"/>
      <c r="AN106" s="67"/>
      <c r="AO106" s="67"/>
      <c r="AP106" s="67"/>
      <c r="AQ106" s="67"/>
      <c r="AR106" s="67"/>
      <c r="AS106" s="67"/>
      <c r="AT106" s="67"/>
      <c r="AU106" s="67"/>
    </row>
    <row r="107" ht="13.5" customHeight="1">
      <c r="A107" s="204"/>
      <c r="B107" s="115"/>
      <c r="C107" s="222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156"/>
      <c r="AL107" s="156"/>
      <c r="AM107" s="156"/>
      <c r="AN107" s="67"/>
      <c r="AO107" s="67"/>
      <c r="AP107" s="67"/>
      <c r="AQ107" s="67"/>
      <c r="AR107" s="67"/>
      <c r="AS107" s="67"/>
      <c r="AT107" s="67"/>
      <c r="AU107" s="67"/>
    </row>
    <row r="108" ht="13.5" customHeight="1">
      <c r="A108" s="204"/>
      <c r="B108" s="115"/>
      <c r="C108" s="222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156"/>
      <c r="AL108" s="156"/>
      <c r="AM108" s="156"/>
      <c r="AN108" s="67"/>
      <c r="AO108" s="67"/>
      <c r="AP108" s="67"/>
      <c r="AQ108" s="67"/>
      <c r="AR108" s="67"/>
      <c r="AS108" s="67"/>
      <c r="AT108" s="67"/>
      <c r="AU108" s="67"/>
    </row>
    <row r="109" ht="13.5" customHeight="1">
      <c r="A109" s="204"/>
      <c r="B109" s="115"/>
      <c r="C109" s="222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156"/>
      <c r="AL109" s="156"/>
      <c r="AM109" s="156"/>
      <c r="AN109" s="67"/>
      <c r="AO109" s="67"/>
      <c r="AP109" s="67"/>
      <c r="AQ109" s="67"/>
      <c r="AR109" s="67"/>
      <c r="AS109" s="67"/>
      <c r="AT109" s="67"/>
      <c r="AU109" s="67"/>
    </row>
    <row r="110" ht="13.5" customHeight="1">
      <c r="A110" s="204"/>
      <c r="B110" s="115"/>
      <c r="C110" s="222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156"/>
      <c r="AL110" s="156"/>
      <c r="AM110" s="156"/>
      <c r="AN110" s="67"/>
      <c r="AO110" s="67"/>
      <c r="AP110" s="67"/>
      <c r="AQ110" s="67"/>
      <c r="AR110" s="67"/>
      <c r="AS110" s="67"/>
      <c r="AT110" s="67"/>
      <c r="AU110" s="67"/>
    </row>
    <row r="111" ht="13.5" customHeight="1">
      <c r="A111" s="204"/>
      <c r="B111" s="115"/>
      <c r="C111" s="222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156"/>
      <c r="AL111" s="156"/>
      <c r="AM111" s="156"/>
      <c r="AN111" s="67"/>
      <c r="AO111" s="67"/>
      <c r="AP111" s="67"/>
      <c r="AQ111" s="67"/>
      <c r="AR111" s="67"/>
      <c r="AS111" s="67"/>
      <c r="AT111" s="67"/>
      <c r="AU111" s="67"/>
    </row>
    <row r="112" ht="13.5" customHeight="1">
      <c r="A112" s="204"/>
      <c r="B112" s="115"/>
      <c r="C112" s="222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156"/>
      <c r="AL112" s="156"/>
      <c r="AM112" s="156"/>
      <c r="AN112" s="67"/>
      <c r="AO112" s="67"/>
      <c r="AP112" s="67"/>
      <c r="AQ112" s="67"/>
      <c r="AR112" s="67"/>
      <c r="AS112" s="67"/>
      <c r="AT112" s="67"/>
      <c r="AU112" s="67"/>
    </row>
    <row r="113" ht="13.5" customHeight="1">
      <c r="A113" s="204"/>
      <c r="B113" s="115"/>
      <c r="C113" s="222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156"/>
      <c r="AL113" s="156"/>
      <c r="AM113" s="156"/>
      <c r="AN113" s="67"/>
      <c r="AO113" s="67"/>
      <c r="AP113" s="67"/>
      <c r="AQ113" s="67"/>
      <c r="AR113" s="67"/>
      <c r="AS113" s="67"/>
      <c r="AT113" s="67"/>
      <c r="AU113" s="67"/>
    </row>
    <row r="114" ht="13.5" customHeight="1">
      <c r="A114" s="204"/>
      <c r="B114" s="115"/>
      <c r="C114" s="222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156"/>
      <c r="AL114" s="156"/>
      <c r="AM114" s="156"/>
      <c r="AN114" s="67"/>
      <c r="AO114" s="67"/>
      <c r="AP114" s="67"/>
      <c r="AQ114" s="67"/>
      <c r="AR114" s="67"/>
      <c r="AS114" s="67"/>
      <c r="AT114" s="67"/>
      <c r="AU114" s="67"/>
    </row>
    <row r="115" ht="13.5" customHeight="1">
      <c r="A115" s="204"/>
      <c r="B115" s="115"/>
      <c r="C115" s="222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156"/>
      <c r="AL115" s="156"/>
      <c r="AM115" s="156"/>
      <c r="AN115" s="67"/>
      <c r="AO115" s="67"/>
      <c r="AP115" s="67"/>
      <c r="AQ115" s="67"/>
      <c r="AR115" s="67"/>
      <c r="AS115" s="67"/>
      <c r="AT115" s="67"/>
      <c r="AU115" s="67"/>
    </row>
    <row r="116" ht="13.5" customHeight="1">
      <c r="A116" s="204"/>
      <c r="B116" s="115"/>
      <c r="C116" s="222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156"/>
      <c r="AL116" s="156"/>
      <c r="AM116" s="156"/>
      <c r="AN116" s="67"/>
      <c r="AO116" s="67"/>
      <c r="AP116" s="67"/>
      <c r="AQ116" s="67"/>
      <c r="AR116" s="67"/>
      <c r="AS116" s="67"/>
      <c r="AT116" s="67"/>
      <c r="AU116" s="67"/>
    </row>
    <row r="117" ht="13.5" customHeight="1">
      <c r="A117" s="204"/>
      <c r="B117" s="115"/>
      <c r="C117" s="222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156"/>
      <c r="AL117" s="156"/>
      <c r="AM117" s="156"/>
      <c r="AN117" s="67"/>
      <c r="AO117" s="67"/>
      <c r="AP117" s="67"/>
      <c r="AQ117" s="67"/>
      <c r="AR117" s="67"/>
      <c r="AS117" s="67"/>
      <c r="AT117" s="67"/>
      <c r="AU117" s="67"/>
    </row>
    <row r="118" ht="13.5" customHeight="1">
      <c r="A118" s="204"/>
      <c r="B118" s="115"/>
      <c r="C118" s="222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156"/>
      <c r="AL118" s="156"/>
      <c r="AM118" s="156"/>
      <c r="AN118" s="67"/>
      <c r="AO118" s="67"/>
      <c r="AP118" s="67"/>
      <c r="AQ118" s="67"/>
      <c r="AR118" s="67"/>
      <c r="AS118" s="67"/>
      <c r="AT118" s="67"/>
      <c r="AU118" s="67"/>
    </row>
    <row r="119" ht="13.5" customHeight="1">
      <c r="A119" s="204"/>
      <c r="B119" s="115"/>
      <c r="C119" s="222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156"/>
      <c r="AL119" s="156"/>
      <c r="AM119" s="156"/>
      <c r="AN119" s="67"/>
      <c r="AO119" s="67"/>
      <c r="AP119" s="67"/>
      <c r="AQ119" s="67"/>
      <c r="AR119" s="67"/>
      <c r="AS119" s="67"/>
      <c r="AT119" s="67"/>
      <c r="AU119" s="67"/>
    </row>
    <row r="120" ht="13.5" customHeight="1">
      <c r="A120" s="204"/>
      <c r="B120" s="115"/>
      <c r="C120" s="222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156"/>
      <c r="AL120" s="156"/>
      <c r="AM120" s="156"/>
      <c r="AN120" s="67"/>
      <c r="AO120" s="67"/>
      <c r="AP120" s="67"/>
      <c r="AQ120" s="67"/>
      <c r="AR120" s="67"/>
      <c r="AS120" s="67"/>
      <c r="AT120" s="67"/>
      <c r="AU120" s="67"/>
    </row>
    <row r="121" ht="13.5" customHeight="1">
      <c r="A121" s="204"/>
      <c r="B121" s="115"/>
      <c r="C121" s="222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156"/>
      <c r="AL121" s="156"/>
      <c r="AM121" s="156"/>
      <c r="AN121" s="67"/>
      <c r="AO121" s="67"/>
      <c r="AP121" s="67"/>
      <c r="AQ121" s="67"/>
      <c r="AR121" s="67"/>
      <c r="AS121" s="67"/>
      <c r="AT121" s="67"/>
      <c r="AU121" s="67"/>
    </row>
    <row r="122" ht="13.5" customHeight="1">
      <c r="A122" s="204"/>
      <c r="B122" s="115"/>
      <c r="C122" s="222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156"/>
      <c r="AL122" s="156"/>
      <c r="AM122" s="156"/>
      <c r="AN122" s="67"/>
      <c r="AO122" s="67"/>
      <c r="AP122" s="67"/>
      <c r="AQ122" s="67"/>
      <c r="AR122" s="67"/>
      <c r="AS122" s="67"/>
      <c r="AT122" s="67"/>
      <c r="AU122" s="67"/>
    </row>
    <row r="123" ht="13.5" customHeight="1">
      <c r="A123" s="204"/>
      <c r="B123" s="115"/>
      <c r="C123" s="222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156"/>
      <c r="AL123" s="156"/>
      <c r="AM123" s="156"/>
      <c r="AN123" s="67"/>
      <c r="AO123" s="67"/>
      <c r="AP123" s="67"/>
      <c r="AQ123" s="67"/>
      <c r="AR123" s="67"/>
      <c r="AS123" s="67"/>
      <c r="AT123" s="67"/>
      <c r="AU123" s="67"/>
    </row>
    <row r="124" ht="13.5" customHeight="1">
      <c r="A124" s="204"/>
      <c r="B124" s="115"/>
      <c r="C124" s="222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156"/>
      <c r="AL124" s="156"/>
      <c r="AM124" s="156"/>
      <c r="AN124" s="67"/>
      <c r="AO124" s="67"/>
      <c r="AP124" s="67"/>
      <c r="AQ124" s="67"/>
      <c r="AR124" s="67"/>
      <c r="AS124" s="67"/>
      <c r="AT124" s="67"/>
      <c r="AU124" s="67"/>
    </row>
    <row r="125" ht="13.5" customHeight="1">
      <c r="A125" s="204"/>
      <c r="B125" s="115"/>
      <c r="C125" s="222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156"/>
      <c r="AL125" s="156"/>
      <c r="AM125" s="156"/>
      <c r="AN125" s="67"/>
      <c r="AO125" s="67"/>
      <c r="AP125" s="67"/>
      <c r="AQ125" s="67"/>
      <c r="AR125" s="67"/>
      <c r="AS125" s="67"/>
      <c r="AT125" s="67"/>
      <c r="AU125" s="67"/>
    </row>
    <row r="126" ht="13.5" customHeight="1">
      <c r="A126" s="204"/>
      <c r="B126" s="115"/>
      <c r="C126" s="222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156"/>
      <c r="AL126" s="156"/>
      <c r="AM126" s="156"/>
      <c r="AN126" s="67"/>
      <c r="AO126" s="67"/>
      <c r="AP126" s="67"/>
      <c r="AQ126" s="67"/>
      <c r="AR126" s="67"/>
      <c r="AS126" s="67"/>
      <c r="AT126" s="67"/>
      <c r="AU126" s="67"/>
    </row>
    <row r="127" ht="13.5" customHeight="1">
      <c r="A127" s="204"/>
      <c r="B127" s="115"/>
      <c r="C127" s="222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156"/>
      <c r="AL127" s="156"/>
      <c r="AM127" s="156"/>
      <c r="AN127" s="67"/>
      <c r="AO127" s="67"/>
      <c r="AP127" s="67"/>
      <c r="AQ127" s="67"/>
      <c r="AR127" s="67"/>
      <c r="AS127" s="67"/>
      <c r="AT127" s="67"/>
      <c r="AU127" s="67"/>
    </row>
    <row r="128" ht="13.5" customHeight="1">
      <c r="A128" s="204"/>
      <c r="B128" s="115"/>
      <c r="C128" s="222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156"/>
      <c r="AL128" s="156"/>
      <c r="AM128" s="156"/>
      <c r="AN128" s="67"/>
      <c r="AO128" s="67"/>
      <c r="AP128" s="67"/>
      <c r="AQ128" s="67"/>
      <c r="AR128" s="67"/>
      <c r="AS128" s="67"/>
      <c r="AT128" s="67"/>
      <c r="AU128" s="67"/>
    </row>
    <row r="129" ht="13.5" customHeight="1">
      <c r="A129" s="204"/>
      <c r="B129" s="115"/>
      <c r="C129" s="222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156"/>
      <c r="AL129" s="156"/>
      <c r="AM129" s="156"/>
      <c r="AN129" s="67"/>
      <c r="AO129" s="67"/>
      <c r="AP129" s="67"/>
      <c r="AQ129" s="67"/>
      <c r="AR129" s="67"/>
      <c r="AS129" s="67"/>
      <c r="AT129" s="67"/>
      <c r="AU129" s="67"/>
    </row>
    <row r="130" ht="13.5" customHeight="1">
      <c r="A130" s="204"/>
      <c r="B130" s="115"/>
      <c r="C130" s="222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156"/>
      <c r="AL130" s="156"/>
      <c r="AM130" s="156"/>
      <c r="AN130" s="67"/>
      <c r="AO130" s="67"/>
      <c r="AP130" s="67"/>
      <c r="AQ130" s="67"/>
      <c r="AR130" s="67"/>
      <c r="AS130" s="67"/>
      <c r="AT130" s="67"/>
      <c r="AU130" s="67"/>
    </row>
    <row r="131" ht="13.5" customHeight="1">
      <c r="A131" s="204"/>
      <c r="B131" s="115"/>
      <c r="C131" s="222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156"/>
      <c r="AL131" s="156"/>
      <c r="AM131" s="156"/>
      <c r="AN131" s="67"/>
      <c r="AO131" s="67"/>
      <c r="AP131" s="67"/>
      <c r="AQ131" s="67"/>
      <c r="AR131" s="67"/>
      <c r="AS131" s="67"/>
      <c r="AT131" s="67"/>
      <c r="AU131" s="67"/>
    </row>
    <row r="132" ht="13.5" customHeight="1">
      <c r="A132" s="204"/>
      <c r="B132" s="115"/>
      <c r="C132" s="222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156"/>
      <c r="AL132" s="156"/>
      <c r="AM132" s="156"/>
      <c r="AN132" s="67"/>
      <c r="AO132" s="67"/>
      <c r="AP132" s="67"/>
      <c r="AQ132" s="67"/>
      <c r="AR132" s="67"/>
      <c r="AS132" s="67"/>
      <c r="AT132" s="67"/>
      <c r="AU132" s="67"/>
    </row>
    <row r="133" ht="13.5" customHeight="1">
      <c r="A133" s="204"/>
      <c r="B133" s="115"/>
      <c r="C133" s="222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156"/>
      <c r="AL133" s="156"/>
      <c r="AM133" s="156"/>
      <c r="AN133" s="67"/>
      <c r="AO133" s="67"/>
      <c r="AP133" s="67"/>
      <c r="AQ133" s="67"/>
      <c r="AR133" s="67"/>
      <c r="AS133" s="67"/>
      <c r="AT133" s="67"/>
      <c r="AU133" s="67"/>
    </row>
    <row r="134" ht="13.5" customHeight="1">
      <c r="A134" s="204"/>
      <c r="B134" s="115"/>
      <c r="C134" s="222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156"/>
      <c r="AL134" s="156"/>
      <c r="AM134" s="156"/>
      <c r="AN134" s="67"/>
      <c r="AO134" s="67"/>
      <c r="AP134" s="67"/>
      <c r="AQ134" s="67"/>
      <c r="AR134" s="67"/>
      <c r="AS134" s="67"/>
      <c r="AT134" s="67"/>
      <c r="AU134" s="67"/>
    </row>
    <row r="135" ht="13.5" customHeight="1">
      <c r="A135" s="204"/>
      <c r="B135" s="115"/>
      <c r="C135" s="222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156"/>
      <c r="AL135" s="156"/>
      <c r="AM135" s="156"/>
      <c r="AN135" s="67"/>
      <c r="AO135" s="67"/>
      <c r="AP135" s="67"/>
      <c r="AQ135" s="67"/>
      <c r="AR135" s="67"/>
      <c r="AS135" s="67"/>
      <c r="AT135" s="67"/>
      <c r="AU135" s="67"/>
    </row>
    <row r="136" ht="13.5" customHeight="1">
      <c r="A136" s="204"/>
      <c r="B136" s="115"/>
      <c r="C136" s="222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156"/>
      <c r="AL136" s="156"/>
      <c r="AM136" s="156"/>
      <c r="AN136" s="67"/>
      <c r="AO136" s="67"/>
      <c r="AP136" s="67"/>
      <c r="AQ136" s="67"/>
      <c r="AR136" s="67"/>
      <c r="AS136" s="67"/>
      <c r="AT136" s="67"/>
      <c r="AU136" s="67"/>
    </row>
    <row r="137" ht="13.5" customHeight="1">
      <c r="A137" s="204"/>
      <c r="B137" s="115"/>
      <c r="C137" s="222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156"/>
      <c r="AL137" s="156"/>
      <c r="AM137" s="156"/>
      <c r="AN137" s="67"/>
      <c r="AO137" s="67"/>
      <c r="AP137" s="67"/>
      <c r="AQ137" s="67"/>
      <c r="AR137" s="67"/>
      <c r="AS137" s="67"/>
      <c r="AT137" s="67"/>
      <c r="AU137" s="67"/>
    </row>
    <row r="138" ht="13.5" customHeight="1">
      <c r="A138" s="204"/>
      <c r="B138" s="115"/>
      <c r="C138" s="222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156"/>
      <c r="AL138" s="156"/>
      <c r="AM138" s="156"/>
      <c r="AN138" s="67"/>
      <c r="AO138" s="67"/>
      <c r="AP138" s="67"/>
      <c r="AQ138" s="67"/>
      <c r="AR138" s="67"/>
      <c r="AS138" s="67"/>
      <c r="AT138" s="67"/>
      <c r="AU138" s="67"/>
    </row>
    <row r="139" ht="13.5" customHeight="1">
      <c r="A139" s="204"/>
      <c r="B139" s="115"/>
      <c r="C139" s="222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156"/>
      <c r="AL139" s="156"/>
      <c r="AM139" s="156"/>
      <c r="AN139" s="67"/>
      <c r="AO139" s="67"/>
      <c r="AP139" s="67"/>
      <c r="AQ139" s="67"/>
      <c r="AR139" s="67"/>
      <c r="AS139" s="67"/>
      <c r="AT139" s="67"/>
      <c r="AU139" s="67"/>
    </row>
    <row r="140" ht="13.5" customHeight="1">
      <c r="A140" s="204"/>
      <c r="B140" s="115"/>
      <c r="C140" s="222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156"/>
      <c r="AL140" s="156"/>
      <c r="AM140" s="156"/>
      <c r="AN140" s="67"/>
      <c r="AO140" s="67"/>
      <c r="AP140" s="67"/>
      <c r="AQ140" s="67"/>
      <c r="AR140" s="67"/>
      <c r="AS140" s="67"/>
      <c r="AT140" s="67"/>
      <c r="AU140" s="67"/>
    </row>
    <row r="141" ht="13.5" customHeight="1">
      <c r="A141" s="204"/>
      <c r="B141" s="115"/>
      <c r="C141" s="222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156"/>
      <c r="AL141" s="156"/>
      <c r="AM141" s="156"/>
      <c r="AN141" s="67"/>
      <c r="AO141" s="67"/>
      <c r="AP141" s="67"/>
      <c r="AQ141" s="67"/>
      <c r="AR141" s="67"/>
      <c r="AS141" s="67"/>
      <c r="AT141" s="67"/>
      <c r="AU141" s="67"/>
    </row>
    <row r="142" ht="13.5" customHeight="1">
      <c r="A142" s="204"/>
      <c r="B142" s="115"/>
      <c r="C142" s="222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156"/>
      <c r="AL142" s="156"/>
      <c r="AM142" s="156"/>
      <c r="AN142" s="67"/>
      <c r="AO142" s="67"/>
      <c r="AP142" s="67"/>
      <c r="AQ142" s="67"/>
      <c r="AR142" s="67"/>
      <c r="AS142" s="67"/>
      <c r="AT142" s="67"/>
      <c r="AU142" s="67"/>
    </row>
    <row r="143" ht="13.5" customHeight="1">
      <c r="A143" s="204"/>
      <c r="B143" s="115"/>
      <c r="C143" s="222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156"/>
      <c r="AL143" s="156"/>
      <c r="AM143" s="156"/>
      <c r="AN143" s="67"/>
      <c r="AO143" s="67"/>
      <c r="AP143" s="67"/>
      <c r="AQ143" s="67"/>
      <c r="AR143" s="67"/>
      <c r="AS143" s="67"/>
      <c r="AT143" s="67"/>
      <c r="AU143" s="67"/>
    </row>
    <row r="144" ht="13.5" customHeight="1">
      <c r="A144" s="204"/>
      <c r="B144" s="115"/>
      <c r="C144" s="222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156"/>
      <c r="AL144" s="156"/>
      <c r="AM144" s="156"/>
      <c r="AN144" s="67"/>
      <c r="AO144" s="67"/>
      <c r="AP144" s="67"/>
      <c r="AQ144" s="67"/>
      <c r="AR144" s="67"/>
      <c r="AS144" s="67"/>
      <c r="AT144" s="67"/>
      <c r="AU144" s="67"/>
    </row>
    <row r="145" ht="13.5" customHeight="1">
      <c r="A145" s="204"/>
      <c r="B145" s="115"/>
      <c r="C145" s="222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156"/>
      <c r="AL145" s="156"/>
      <c r="AM145" s="156"/>
      <c r="AN145" s="67"/>
      <c r="AO145" s="67"/>
      <c r="AP145" s="67"/>
      <c r="AQ145" s="67"/>
      <c r="AR145" s="67"/>
      <c r="AS145" s="67"/>
      <c r="AT145" s="67"/>
      <c r="AU145" s="67"/>
    </row>
    <row r="146" ht="13.5" customHeight="1">
      <c r="A146" s="204"/>
      <c r="B146" s="115"/>
      <c r="C146" s="222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156"/>
      <c r="AL146" s="156"/>
      <c r="AM146" s="156"/>
      <c r="AN146" s="67"/>
      <c r="AO146" s="67"/>
      <c r="AP146" s="67"/>
      <c r="AQ146" s="67"/>
      <c r="AR146" s="67"/>
      <c r="AS146" s="67"/>
      <c r="AT146" s="67"/>
      <c r="AU146" s="67"/>
    </row>
    <row r="147" ht="13.5" customHeight="1">
      <c r="A147" s="204"/>
      <c r="B147" s="115"/>
      <c r="C147" s="222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156"/>
      <c r="AL147" s="156"/>
      <c r="AM147" s="156"/>
      <c r="AN147" s="67"/>
      <c r="AO147" s="67"/>
      <c r="AP147" s="67"/>
      <c r="AQ147" s="67"/>
      <c r="AR147" s="67"/>
      <c r="AS147" s="67"/>
      <c r="AT147" s="67"/>
      <c r="AU147" s="67"/>
    </row>
    <row r="148" ht="13.5" customHeight="1">
      <c r="A148" s="204"/>
      <c r="B148" s="115"/>
      <c r="C148" s="222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156"/>
      <c r="AL148" s="156"/>
      <c r="AM148" s="156"/>
      <c r="AN148" s="67"/>
      <c r="AO148" s="67"/>
      <c r="AP148" s="67"/>
      <c r="AQ148" s="67"/>
      <c r="AR148" s="67"/>
      <c r="AS148" s="67"/>
      <c r="AT148" s="67"/>
      <c r="AU148" s="67"/>
    </row>
    <row r="149" ht="13.5" customHeight="1">
      <c r="A149" s="204"/>
      <c r="B149" s="115"/>
      <c r="C149" s="222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156"/>
      <c r="AL149" s="156"/>
      <c r="AM149" s="156"/>
      <c r="AN149" s="67"/>
      <c r="AO149" s="67"/>
      <c r="AP149" s="67"/>
      <c r="AQ149" s="67"/>
      <c r="AR149" s="67"/>
      <c r="AS149" s="67"/>
      <c r="AT149" s="67"/>
      <c r="AU149" s="67"/>
    </row>
    <row r="150" ht="13.5" customHeight="1">
      <c r="A150" s="204"/>
      <c r="B150" s="115"/>
      <c r="C150" s="222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156"/>
      <c r="AL150" s="156"/>
      <c r="AM150" s="156"/>
      <c r="AN150" s="67"/>
      <c r="AO150" s="67"/>
      <c r="AP150" s="67"/>
      <c r="AQ150" s="67"/>
      <c r="AR150" s="67"/>
      <c r="AS150" s="67"/>
      <c r="AT150" s="67"/>
      <c r="AU150" s="67"/>
    </row>
    <row r="151" ht="13.5" customHeight="1">
      <c r="A151" s="204"/>
      <c r="B151" s="115"/>
      <c r="C151" s="222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156"/>
      <c r="AL151" s="156"/>
      <c r="AM151" s="156"/>
      <c r="AN151" s="67"/>
      <c r="AO151" s="67"/>
      <c r="AP151" s="67"/>
      <c r="AQ151" s="67"/>
      <c r="AR151" s="67"/>
      <c r="AS151" s="67"/>
      <c r="AT151" s="67"/>
      <c r="AU151" s="67"/>
    </row>
    <row r="152" ht="13.5" customHeight="1">
      <c r="A152" s="204"/>
      <c r="B152" s="115"/>
      <c r="C152" s="222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156"/>
      <c r="AL152" s="156"/>
      <c r="AM152" s="156"/>
      <c r="AN152" s="67"/>
      <c r="AO152" s="67"/>
      <c r="AP152" s="67"/>
      <c r="AQ152" s="67"/>
      <c r="AR152" s="67"/>
      <c r="AS152" s="67"/>
      <c r="AT152" s="67"/>
      <c r="AU152" s="67"/>
    </row>
    <row r="153" ht="13.5" customHeight="1">
      <c r="A153" s="204"/>
      <c r="B153" s="115"/>
      <c r="C153" s="222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156"/>
      <c r="AL153" s="156"/>
      <c r="AM153" s="156"/>
      <c r="AN153" s="67"/>
      <c r="AO153" s="67"/>
      <c r="AP153" s="67"/>
      <c r="AQ153" s="67"/>
      <c r="AR153" s="67"/>
      <c r="AS153" s="67"/>
      <c r="AT153" s="67"/>
      <c r="AU153" s="67"/>
    </row>
    <row r="154" ht="13.5" customHeight="1">
      <c r="A154" s="204"/>
      <c r="B154" s="115"/>
      <c r="C154" s="222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156"/>
      <c r="AL154" s="156"/>
      <c r="AM154" s="156"/>
      <c r="AN154" s="67"/>
      <c r="AO154" s="67"/>
      <c r="AP154" s="67"/>
      <c r="AQ154" s="67"/>
      <c r="AR154" s="67"/>
      <c r="AS154" s="67"/>
      <c r="AT154" s="67"/>
      <c r="AU154" s="67"/>
    </row>
    <row r="155" ht="13.5" customHeight="1">
      <c r="A155" s="204"/>
      <c r="B155" s="115"/>
      <c r="C155" s="222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156"/>
      <c r="AL155" s="156"/>
      <c r="AM155" s="156"/>
      <c r="AN155" s="67"/>
      <c r="AO155" s="67"/>
      <c r="AP155" s="67"/>
      <c r="AQ155" s="67"/>
      <c r="AR155" s="67"/>
      <c r="AS155" s="67"/>
      <c r="AT155" s="67"/>
      <c r="AU155" s="67"/>
    </row>
    <row r="156" ht="13.5" customHeight="1">
      <c r="A156" s="204"/>
      <c r="B156" s="115"/>
      <c r="C156" s="222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156"/>
      <c r="AL156" s="156"/>
      <c r="AM156" s="156"/>
      <c r="AN156" s="67"/>
      <c r="AO156" s="67"/>
      <c r="AP156" s="67"/>
      <c r="AQ156" s="67"/>
      <c r="AR156" s="67"/>
      <c r="AS156" s="67"/>
      <c r="AT156" s="67"/>
      <c r="AU156" s="67"/>
    </row>
    <row r="157" ht="13.5" customHeight="1">
      <c r="A157" s="204"/>
      <c r="B157" s="115"/>
      <c r="C157" s="222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156"/>
      <c r="AL157" s="156"/>
      <c r="AM157" s="156"/>
      <c r="AN157" s="67"/>
      <c r="AO157" s="67"/>
      <c r="AP157" s="67"/>
      <c r="AQ157" s="67"/>
      <c r="AR157" s="67"/>
      <c r="AS157" s="67"/>
      <c r="AT157" s="67"/>
      <c r="AU157" s="67"/>
    </row>
    <row r="158" ht="13.5" customHeight="1">
      <c r="A158" s="204"/>
      <c r="B158" s="115"/>
      <c r="C158" s="222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156"/>
      <c r="AL158" s="156"/>
      <c r="AM158" s="156"/>
      <c r="AN158" s="67"/>
      <c r="AO158" s="67"/>
      <c r="AP158" s="67"/>
      <c r="AQ158" s="67"/>
      <c r="AR158" s="67"/>
      <c r="AS158" s="67"/>
      <c r="AT158" s="67"/>
      <c r="AU158" s="67"/>
    </row>
    <row r="159" ht="13.5" customHeight="1">
      <c r="A159" s="204"/>
      <c r="B159" s="115"/>
      <c r="C159" s="222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156"/>
      <c r="AL159" s="156"/>
      <c r="AM159" s="156"/>
      <c r="AN159" s="67"/>
      <c r="AO159" s="67"/>
      <c r="AP159" s="67"/>
      <c r="AQ159" s="67"/>
      <c r="AR159" s="67"/>
      <c r="AS159" s="67"/>
      <c r="AT159" s="67"/>
      <c r="AU159" s="67"/>
    </row>
    <row r="160" ht="13.5" customHeight="1">
      <c r="A160" s="204"/>
      <c r="B160" s="115"/>
      <c r="C160" s="222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156"/>
      <c r="AL160" s="156"/>
      <c r="AM160" s="156"/>
      <c r="AN160" s="67"/>
      <c r="AO160" s="67"/>
      <c r="AP160" s="67"/>
      <c r="AQ160" s="67"/>
      <c r="AR160" s="67"/>
      <c r="AS160" s="67"/>
      <c r="AT160" s="67"/>
      <c r="AU160" s="67"/>
    </row>
    <row r="161" ht="13.5" customHeight="1">
      <c r="A161" s="204"/>
      <c r="B161" s="115"/>
      <c r="C161" s="222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156"/>
      <c r="AL161" s="156"/>
      <c r="AM161" s="156"/>
      <c r="AN161" s="67"/>
      <c r="AO161" s="67"/>
      <c r="AP161" s="67"/>
      <c r="AQ161" s="67"/>
      <c r="AR161" s="67"/>
      <c r="AS161" s="67"/>
      <c r="AT161" s="67"/>
      <c r="AU161" s="67"/>
    </row>
    <row r="162" ht="13.5" customHeight="1">
      <c r="A162" s="204"/>
      <c r="B162" s="115"/>
      <c r="C162" s="222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156"/>
      <c r="AL162" s="156"/>
      <c r="AM162" s="156"/>
      <c r="AN162" s="67"/>
      <c r="AO162" s="67"/>
      <c r="AP162" s="67"/>
      <c r="AQ162" s="67"/>
      <c r="AR162" s="67"/>
      <c r="AS162" s="67"/>
      <c r="AT162" s="67"/>
      <c r="AU162" s="67"/>
    </row>
    <row r="163" ht="13.5" customHeight="1">
      <c r="A163" s="204"/>
      <c r="B163" s="115"/>
      <c r="C163" s="222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156"/>
      <c r="AL163" s="156"/>
      <c r="AM163" s="156"/>
      <c r="AN163" s="67"/>
      <c r="AO163" s="67"/>
      <c r="AP163" s="67"/>
      <c r="AQ163" s="67"/>
      <c r="AR163" s="67"/>
      <c r="AS163" s="67"/>
      <c r="AT163" s="67"/>
      <c r="AU163" s="67"/>
    </row>
    <row r="164" ht="13.5" customHeight="1">
      <c r="A164" s="204"/>
      <c r="B164" s="115"/>
      <c r="C164" s="222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156"/>
      <c r="AL164" s="156"/>
      <c r="AM164" s="156"/>
      <c r="AN164" s="67"/>
      <c r="AO164" s="67"/>
      <c r="AP164" s="67"/>
      <c r="AQ164" s="67"/>
      <c r="AR164" s="67"/>
      <c r="AS164" s="67"/>
      <c r="AT164" s="67"/>
      <c r="AU164" s="67"/>
    </row>
    <row r="165" ht="13.5" customHeight="1">
      <c r="A165" s="204"/>
      <c r="B165" s="115"/>
      <c r="C165" s="222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156"/>
      <c r="AL165" s="156"/>
      <c r="AM165" s="156"/>
      <c r="AN165" s="67"/>
      <c r="AO165" s="67"/>
      <c r="AP165" s="67"/>
      <c r="AQ165" s="67"/>
      <c r="AR165" s="67"/>
      <c r="AS165" s="67"/>
      <c r="AT165" s="67"/>
      <c r="AU165" s="67"/>
    </row>
    <row r="166" ht="13.5" customHeight="1">
      <c r="A166" s="204"/>
      <c r="B166" s="115"/>
      <c r="C166" s="222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156"/>
      <c r="AL166" s="156"/>
      <c r="AM166" s="156"/>
      <c r="AN166" s="67"/>
      <c r="AO166" s="67"/>
      <c r="AP166" s="67"/>
      <c r="AQ166" s="67"/>
      <c r="AR166" s="67"/>
      <c r="AS166" s="67"/>
      <c r="AT166" s="67"/>
      <c r="AU166" s="67"/>
    </row>
    <row r="167" ht="13.5" customHeight="1">
      <c r="A167" s="204"/>
      <c r="B167" s="115"/>
      <c r="C167" s="222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156"/>
      <c r="AL167" s="156"/>
      <c r="AM167" s="156"/>
      <c r="AN167" s="67"/>
      <c r="AO167" s="67"/>
      <c r="AP167" s="67"/>
      <c r="AQ167" s="67"/>
      <c r="AR167" s="67"/>
      <c r="AS167" s="67"/>
      <c r="AT167" s="67"/>
      <c r="AU167" s="67"/>
    </row>
    <row r="168" ht="13.5" customHeight="1">
      <c r="A168" s="204"/>
      <c r="B168" s="115"/>
      <c r="C168" s="222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156"/>
      <c r="AL168" s="156"/>
      <c r="AM168" s="156"/>
      <c r="AN168" s="67"/>
      <c r="AO168" s="67"/>
      <c r="AP168" s="67"/>
      <c r="AQ168" s="67"/>
      <c r="AR168" s="67"/>
      <c r="AS168" s="67"/>
      <c r="AT168" s="67"/>
      <c r="AU168" s="67"/>
    </row>
    <row r="169" ht="13.5" customHeight="1">
      <c r="A169" s="204"/>
      <c r="B169" s="115"/>
      <c r="C169" s="222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156"/>
      <c r="AL169" s="156"/>
      <c r="AM169" s="156"/>
      <c r="AN169" s="67"/>
      <c r="AO169" s="67"/>
      <c r="AP169" s="67"/>
      <c r="AQ169" s="67"/>
      <c r="AR169" s="67"/>
      <c r="AS169" s="67"/>
      <c r="AT169" s="67"/>
      <c r="AU169" s="67"/>
    </row>
    <row r="170" ht="13.5" customHeight="1">
      <c r="A170" s="204"/>
      <c r="B170" s="115"/>
      <c r="C170" s="222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156"/>
      <c r="AL170" s="156"/>
      <c r="AM170" s="156"/>
      <c r="AN170" s="67"/>
      <c r="AO170" s="67"/>
      <c r="AP170" s="67"/>
      <c r="AQ170" s="67"/>
      <c r="AR170" s="67"/>
      <c r="AS170" s="67"/>
      <c r="AT170" s="67"/>
      <c r="AU170" s="67"/>
    </row>
    <row r="171" ht="13.5" customHeight="1">
      <c r="A171" s="204"/>
      <c r="B171" s="115"/>
      <c r="C171" s="222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156"/>
      <c r="AL171" s="156"/>
      <c r="AM171" s="156"/>
      <c r="AN171" s="67"/>
      <c r="AO171" s="67"/>
      <c r="AP171" s="67"/>
      <c r="AQ171" s="67"/>
      <c r="AR171" s="67"/>
      <c r="AS171" s="67"/>
      <c r="AT171" s="67"/>
      <c r="AU171" s="67"/>
    </row>
    <row r="172" ht="13.5" customHeight="1">
      <c r="A172" s="204"/>
      <c r="B172" s="115"/>
      <c r="C172" s="222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156"/>
      <c r="AL172" s="156"/>
      <c r="AM172" s="156"/>
      <c r="AN172" s="67"/>
      <c r="AO172" s="67"/>
      <c r="AP172" s="67"/>
      <c r="AQ172" s="67"/>
      <c r="AR172" s="67"/>
      <c r="AS172" s="67"/>
      <c r="AT172" s="67"/>
      <c r="AU172" s="67"/>
    </row>
    <row r="173" ht="13.5" customHeight="1">
      <c r="A173" s="204"/>
      <c r="B173" s="115"/>
      <c r="C173" s="222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156"/>
      <c r="AL173" s="156"/>
      <c r="AM173" s="156"/>
      <c r="AN173" s="67"/>
      <c r="AO173" s="67"/>
      <c r="AP173" s="67"/>
      <c r="AQ173" s="67"/>
      <c r="AR173" s="67"/>
      <c r="AS173" s="67"/>
      <c r="AT173" s="67"/>
      <c r="AU173" s="67"/>
    </row>
    <row r="174" ht="13.5" customHeight="1">
      <c r="A174" s="204"/>
      <c r="B174" s="115"/>
      <c r="C174" s="222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156"/>
      <c r="AL174" s="156"/>
      <c r="AM174" s="156"/>
      <c r="AN174" s="67"/>
      <c r="AO174" s="67"/>
      <c r="AP174" s="67"/>
      <c r="AQ174" s="67"/>
      <c r="AR174" s="67"/>
      <c r="AS174" s="67"/>
      <c r="AT174" s="67"/>
      <c r="AU174" s="67"/>
    </row>
    <row r="175" ht="13.5" customHeight="1">
      <c r="A175" s="204"/>
      <c r="B175" s="115"/>
      <c r="C175" s="222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156"/>
      <c r="AL175" s="156"/>
      <c r="AM175" s="156"/>
      <c r="AN175" s="67"/>
      <c r="AO175" s="67"/>
      <c r="AP175" s="67"/>
      <c r="AQ175" s="67"/>
      <c r="AR175" s="67"/>
      <c r="AS175" s="67"/>
      <c r="AT175" s="67"/>
      <c r="AU175" s="67"/>
    </row>
    <row r="176" ht="13.5" customHeight="1">
      <c r="A176" s="204"/>
      <c r="B176" s="115"/>
      <c r="C176" s="222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156"/>
      <c r="AL176" s="156"/>
      <c r="AM176" s="156"/>
      <c r="AN176" s="67"/>
      <c r="AO176" s="67"/>
      <c r="AP176" s="67"/>
      <c r="AQ176" s="67"/>
      <c r="AR176" s="67"/>
      <c r="AS176" s="67"/>
      <c r="AT176" s="67"/>
      <c r="AU176" s="67"/>
    </row>
    <row r="177" ht="13.5" customHeight="1">
      <c r="A177" s="204"/>
      <c r="B177" s="115"/>
      <c r="C177" s="222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156"/>
      <c r="AL177" s="156"/>
      <c r="AM177" s="156"/>
      <c r="AN177" s="67"/>
      <c r="AO177" s="67"/>
      <c r="AP177" s="67"/>
      <c r="AQ177" s="67"/>
      <c r="AR177" s="67"/>
      <c r="AS177" s="67"/>
      <c r="AT177" s="67"/>
      <c r="AU177" s="67"/>
    </row>
    <row r="178" ht="13.5" customHeight="1">
      <c r="A178" s="204"/>
      <c r="B178" s="115"/>
      <c r="C178" s="222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156"/>
      <c r="AL178" s="156"/>
      <c r="AM178" s="156"/>
      <c r="AN178" s="67"/>
      <c r="AO178" s="67"/>
      <c r="AP178" s="67"/>
      <c r="AQ178" s="67"/>
      <c r="AR178" s="67"/>
      <c r="AS178" s="67"/>
      <c r="AT178" s="67"/>
      <c r="AU178" s="67"/>
    </row>
    <row r="179" ht="13.5" customHeight="1">
      <c r="A179" s="204"/>
      <c r="B179" s="115"/>
      <c r="C179" s="222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156"/>
      <c r="AL179" s="156"/>
      <c r="AM179" s="156"/>
      <c r="AN179" s="67"/>
      <c r="AO179" s="67"/>
      <c r="AP179" s="67"/>
      <c r="AQ179" s="67"/>
      <c r="AR179" s="67"/>
      <c r="AS179" s="67"/>
      <c r="AT179" s="67"/>
      <c r="AU179" s="67"/>
    </row>
    <row r="180" ht="13.5" customHeight="1">
      <c r="A180" s="204"/>
      <c r="B180" s="115"/>
      <c r="C180" s="222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156"/>
      <c r="AL180" s="156"/>
      <c r="AM180" s="156"/>
      <c r="AN180" s="67"/>
      <c r="AO180" s="67"/>
      <c r="AP180" s="67"/>
      <c r="AQ180" s="67"/>
      <c r="AR180" s="67"/>
      <c r="AS180" s="67"/>
      <c r="AT180" s="67"/>
      <c r="AU180" s="67"/>
    </row>
    <row r="181" ht="13.5" customHeight="1">
      <c r="A181" s="204"/>
      <c r="B181" s="115"/>
      <c r="C181" s="222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156"/>
      <c r="AL181" s="156"/>
      <c r="AM181" s="156"/>
      <c r="AN181" s="67"/>
      <c r="AO181" s="67"/>
      <c r="AP181" s="67"/>
      <c r="AQ181" s="67"/>
      <c r="AR181" s="67"/>
      <c r="AS181" s="67"/>
      <c r="AT181" s="67"/>
      <c r="AU181" s="67"/>
    </row>
    <row r="182" ht="13.5" customHeight="1">
      <c r="A182" s="204"/>
      <c r="B182" s="115"/>
      <c r="C182" s="222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156"/>
      <c r="AL182" s="156"/>
      <c r="AM182" s="156"/>
      <c r="AN182" s="67"/>
      <c r="AO182" s="67"/>
      <c r="AP182" s="67"/>
      <c r="AQ182" s="67"/>
      <c r="AR182" s="67"/>
      <c r="AS182" s="67"/>
      <c r="AT182" s="67"/>
      <c r="AU182" s="67"/>
    </row>
    <row r="183" ht="13.5" customHeight="1">
      <c r="A183" s="204"/>
      <c r="B183" s="115"/>
      <c r="C183" s="222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156"/>
      <c r="AL183" s="156"/>
      <c r="AM183" s="156"/>
      <c r="AN183" s="67"/>
      <c r="AO183" s="67"/>
      <c r="AP183" s="67"/>
      <c r="AQ183" s="67"/>
      <c r="AR183" s="67"/>
      <c r="AS183" s="67"/>
      <c r="AT183" s="67"/>
      <c r="AU183" s="67"/>
    </row>
    <row r="184" ht="13.5" customHeight="1">
      <c r="A184" s="204"/>
      <c r="B184" s="115"/>
      <c r="C184" s="222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156"/>
      <c r="AL184" s="156"/>
      <c r="AM184" s="156"/>
      <c r="AN184" s="67"/>
      <c r="AO184" s="67"/>
      <c r="AP184" s="67"/>
      <c r="AQ184" s="67"/>
      <c r="AR184" s="67"/>
      <c r="AS184" s="67"/>
      <c r="AT184" s="67"/>
      <c r="AU184" s="67"/>
    </row>
    <row r="185" ht="13.5" customHeight="1">
      <c r="A185" s="204"/>
      <c r="B185" s="115"/>
      <c r="C185" s="222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156"/>
      <c r="AL185" s="156"/>
      <c r="AM185" s="156"/>
      <c r="AN185" s="67"/>
      <c r="AO185" s="67"/>
      <c r="AP185" s="67"/>
      <c r="AQ185" s="67"/>
      <c r="AR185" s="67"/>
      <c r="AS185" s="67"/>
      <c r="AT185" s="67"/>
      <c r="AU185" s="67"/>
    </row>
    <row r="186" ht="13.5" customHeight="1">
      <c r="A186" s="204"/>
      <c r="B186" s="115"/>
      <c r="C186" s="222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156"/>
      <c r="AL186" s="156"/>
      <c r="AM186" s="156"/>
      <c r="AN186" s="67"/>
      <c r="AO186" s="67"/>
      <c r="AP186" s="67"/>
      <c r="AQ186" s="67"/>
      <c r="AR186" s="67"/>
      <c r="AS186" s="67"/>
      <c r="AT186" s="67"/>
      <c r="AU186" s="67"/>
    </row>
    <row r="187" ht="13.5" customHeight="1">
      <c r="A187" s="204"/>
      <c r="B187" s="115"/>
      <c r="C187" s="222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156"/>
      <c r="AL187" s="156"/>
      <c r="AM187" s="156"/>
      <c r="AN187" s="67"/>
      <c r="AO187" s="67"/>
      <c r="AP187" s="67"/>
      <c r="AQ187" s="67"/>
      <c r="AR187" s="67"/>
      <c r="AS187" s="67"/>
      <c r="AT187" s="67"/>
      <c r="AU187" s="67"/>
    </row>
    <row r="188" ht="13.5" customHeight="1">
      <c r="A188" s="204"/>
      <c r="B188" s="115"/>
      <c r="C188" s="222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156"/>
      <c r="AL188" s="156"/>
      <c r="AM188" s="156"/>
      <c r="AN188" s="67"/>
      <c r="AO188" s="67"/>
      <c r="AP188" s="67"/>
      <c r="AQ188" s="67"/>
      <c r="AR188" s="67"/>
      <c r="AS188" s="67"/>
      <c r="AT188" s="67"/>
      <c r="AU188" s="67"/>
    </row>
    <row r="189" ht="13.5" customHeight="1">
      <c r="A189" s="204"/>
      <c r="B189" s="115"/>
      <c r="C189" s="222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156"/>
      <c r="AL189" s="156"/>
      <c r="AM189" s="156"/>
      <c r="AN189" s="67"/>
      <c r="AO189" s="67"/>
      <c r="AP189" s="67"/>
      <c r="AQ189" s="67"/>
      <c r="AR189" s="67"/>
      <c r="AS189" s="67"/>
      <c r="AT189" s="67"/>
      <c r="AU189" s="67"/>
    </row>
    <row r="190" ht="13.5" customHeight="1">
      <c r="A190" s="204"/>
      <c r="B190" s="115"/>
      <c r="C190" s="222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156"/>
      <c r="AL190" s="156"/>
      <c r="AM190" s="156"/>
      <c r="AN190" s="67"/>
      <c r="AO190" s="67"/>
      <c r="AP190" s="67"/>
      <c r="AQ190" s="67"/>
      <c r="AR190" s="67"/>
      <c r="AS190" s="67"/>
      <c r="AT190" s="67"/>
      <c r="AU190" s="67"/>
    </row>
    <row r="191" ht="13.5" customHeight="1">
      <c r="A191" s="204"/>
      <c r="B191" s="115"/>
      <c r="C191" s="222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156"/>
      <c r="AL191" s="156"/>
      <c r="AM191" s="156"/>
      <c r="AN191" s="67"/>
      <c r="AO191" s="67"/>
      <c r="AP191" s="67"/>
      <c r="AQ191" s="67"/>
      <c r="AR191" s="67"/>
      <c r="AS191" s="67"/>
      <c r="AT191" s="67"/>
      <c r="AU191" s="67"/>
    </row>
    <row r="192" ht="13.5" customHeight="1">
      <c r="A192" s="204"/>
      <c r="B192" s="115"/>
      <c r="C192" s="222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156"/>
      <c r="AL192" s="156"/>
      <c r="AM192" s="156"/>
      <c r="AN192" s="67"/>
      <c r="AO192" s="67"/>
      <c r="AP192" s="67"/>
      <c r="AQ192" s="67"/>
      <c r="AR192" s="67"/>
      <c r="AS192" s="67"/>
      <c r="AT192" s="67"/>
      <c r="AU192" s="67"/>
    </row>
    <row r="193" ht="13.5" customHeight="1">
      <c r="A193" s="204"/>
      <c r="B193" s="115"/>
      <c r="C193" s="222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156"/>
      <c r="AL193" s="156"/>
      <c r="AM193" s="156"/>
      <c r="AN193" s="67"/>
      <c r="AO193" s="67"/>
      <c r="AP193" s="67"/>
      <c r="AQ193" s="67"/>
      <c r="AR193" s="67"/>
      <c r="AS193" s="67"/>
      <c r="AT193" s="67"/>
      <c r="AU193" s="67"/>
    </row>
    <row r="194" ht="13.5" customHeight="1">
      <c r="A194" s="204"/>
      <c r="B194" s="115"/>
      <c r="C194" s="222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156"/>
      <c r="AL194" s="156"/>
      <c r="AM194" s="156"/>
      <c r="AN194" s="67"/>
      <c r="AO194" s="67"/>
      <c r="AP194" s="67"/>
      <c r="AQ194" s="67"/>
      <c r="AR194" s="67"/>
      <c r="AS194" s="67"/>
      <c r="AT194" s="67"/>
      <c r="AU194" s="67"/>
    </row>
    <row r="195" ht="13.5" customHeight="1">
      <c r="A195" s="204"/>
      <c r="B195" s="115"/>
      <c r="C195" s="222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156"/>
      <c r="AL195" s="156"/>
      <c r="AM195" s="156"/>
      <c r="AN195" s="67"/>
      <c r="AO195" s="67"/>
      <c r="AP195" s="67"/>
      <c r="AQ195" s="67"/>
      <c r="AR195" s="67"/>
      <c r="AS195" s="67"/>
      <c r="AT195" s="67"/>
      <c r="AU195" s="67"/>
    </row>
    <row r="196" ht="13.5" customHeight="1">
      <c r="A196" s="204"/>
      <c r="B196" s="115"/>
      <c r="C196" s="222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156"/>
      <c r="AL196" s="156"/>
      <c r="AM196" s="156"/>
      <c r="AN196" s="67"/>
      <c r="AO196" s="67"/>
      <c r="AP196" s="67"/>
      <c r="AQ196" s="67"/>
      <c r="AR196" s="67"/>
      <c r="AS196" s="67"/>
      <c r="AT196" s="67"/>
      <c r="AU196" s="67"/>
    </row>
    <row r="197" ht="13.5" customHeight="1">
      <c r="A197" s="204"/>
      <c r="B197" s="115"/>
      <c r="C197" s="222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156"/>
      <c r="AL197" s="156"/>
      <c r="AM197" s="156"/>
      <c r="AN197" s="67"/>
      <c r="AO197" s="67"/>
      <c r="AP197" s="67"/>
      <c r="AQ197" s="67"/>
      <c r="AR197" s="67"/>
      <c r="AS197" s="67"/>
      <c r="AT197" s="67"/>
      <c r="AU197" s="67"/>
    </row>
    <row r="198" ht="13.5" customHeight="1">
      <c r="A198" s="204"/>
      <c r="B198" s="115"/>
      <c r="C198" s="222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156"/>
      <c r="AL198" s="156"/>
      <c r="AM198" s="156"/>
      <c r="AN198" s="67"/>
      <c r="AO198" s="67"/>
      <c r="AP198" s="67"/>
      <c r="AQ198" s="67"/>
      <c r="AR198" s="67"/>
      <c r="AS198" s="67"/>
      <c r="AT198" s="67"/>
      <c r="AU198" s="67"/>
    </row>
    <row r="199" ht="13.5" customHeight="1">
      <c r="A199" s="204"/>
      <c r="B199" s="115"/>
      <c r="C199" s="222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156"/>
      <c r="AL199" s="156"/>
      <c r="AM199" s="156"/>
      <c r="AN199" s="67"/>
      <c r="AO199" s="67"/>
      <c r="AP199" s="67"/>
      <c r="AQ199" s="67"/>
      <c r="AR199" s="67"/>
      <c r="AS199" s="67"/>
      <c r="AT199" s="67"/>
      <c r="AU199" s="67"/>
    </row>
    <row r="200" ht="13.5" customHeight="1">
      <c r="A200" s="204"/>
      <c r="B200" s="115"/>
      <c r="C200" s="222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156"/>
      <c r="AL200" s="156"/>
      <c r="AM200" s="156"/>
      <c r="AN200" s="67"/>
      <c r="AO200" s="67"/>
      <c r="AP200" s="67"/>
      <c r="AQ200" s="67"/>
      <c r="AR200" s="67"/>
      <c r="AS200" s="67"/>
      <c r="AT200" s="67"/>
      <c r="AU200" s="67"/>
    </row>
    <row r="201" ht="13.5" customHeight="1">
      <c r="A201" s="204"/>
      <c r="B201" s="115"/>
      <c r="C201" s="222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156"/>
      <c r="AL201" s="156"/>
      <c r="AM201" s="156"/>
      <c r="AN201" s="67"/>
      <c r="AO201" s="67"/>
      <c r="AP201" s="67"/>
      <c r="AQ201" s="67"/>
      <c r="AR201" s="67"/>
      <c r="AS201" s="67"/>
      <c r="AT201" s="67"/>
      <c r="AU201" s="67"/>
    </row>
    <row r="202" ht="13.5" customHeight="1">
      <c r="A202" s="204"/>
      <c r="B202" s="115"/>
      <c r="C202" s="222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156"/>
      <c r="AL202" s="156"/>
      <c r="AM202" s="156"/>
      <c r="AN202" s="67"/>
      <c r="AO202" s="67"/>
      <c r="AP202" s="67"/>
      <c r="AQ202" s="67"/>
      <c r="AR202" s="67"/>
      <c r="AS202" s="67"/>
      <c r="AT202" s="67"/>
      <c r="AU202" s="67"/>
    </row>
    <row r="203" ht="13.5" customHeight="1">
      <c r="A203" s="204"/>
      <c r="B203" s="115"/>
      <c r="C203" s="222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156"/>
      <c r="AL203" s="156"/>
      <c r="AM203" s="156"/>
      <c r="AN203" s="67"/>
      <c r="AO203" s="67"/>
      <c r="AP203" s="67"/>
      <c r="AQ203" s="67"/>
      <c r="AR203" s="67"/>
      <c r="AS203" s="67"/>
      <c r="AT203" s="67"/>
      <c r="AU203" s="67"/>
    </row>
    <row r="204" ht="13.5" customHeight="1">
      <c r="A204" s="204"/>
      <c r="B204" s="115"/>
      <c r="C204" s="222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156"/>
      <c r="AL204" s="156"/>
      <c r="AM204" s="156"/>
      <c r="AN204" s="67"/>
      <c r="AO204" s="67"/>
      <c r="AP204" s="67"/>
      <c r="AQ204" s="67"/>
      <c r="AR204" s="67"/>
      <c r="AS204" s="67"/>
      <c r="AT204" s="67"/>
      <c r="AU204" s="67"/>
    </row>
    <row r="205" ht="13.5" customHeight="1">
      <c r="A205" s="204"/>
      <c r="B205" s="115"/>
      <c r="C205" s="222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156"/>
      <c r="AL205" s="156"/>
      <c r="AM205" s="156"/>
      <c r="AN205" s="67"/>
      <c r="AO205" s="67"/>
      <c r="AP205" s="67"/>
      <c r="AQ205" s="67"/>
      <c r="AR205" s="67"/>
      <c r="AS205" s="67"/>
      <c r="AT205" s="67"/>
      <c r="AU205" s="67"/>
    </row>
    <row r="206" ht="13.5" customHeight="1">
      <c r="A206" s="204"/>
      <c r="B206" s="115"/>
      <c r="C206" s="222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156"/>
      <c r="AL206" s="156"/>
      <c r="AM206" s="156"/>
      <c r="AN206" s="67"/>
      <c r="AO206" s="67"/>
      <c r="AP206" s="67"/>
      <c r="AQ206" s="67"/>
      <c r="AR206" s="67"/>
      <c r="AS206" s="67"/>
      <c r="AT206" s="67"/>
      <c r="AU206" s="67"/>
    </row>
    <row r="207" ht="13.5" customHeight="1">
      <c r="A207" s="204"/>
      <c r="B207" s="115"/>
      <c r="C207" s="222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156"/>
      <c r="AL207" s="156"/>
      <c r="AM207" s="156"/>
      <c r="AN207" s="67"/>
      <c r="AO207" s="67"/>
      <c r="AP207" s="67"/>
      <c r="AQ207" s="67"/>
      <c r="AR207" s="67"/>
      <c r="AS207" s="67"/>
      <c r="AT207" s="67"/>
      <c r="AU207" s="67"/>
    </row>
    <row r="208" ht="13.5" customHeight="1">
      <c r="A208" s="204"/>
      <c r="B208" s="115"/>
      <c r="C208" s="222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156"/>
      <c r="AL208" s="156"/>
      <c r="AM208" s="156"/>
      <c r="AN208" s="67"/>
      <c r="AO208" s="67"/>
      <c r="AP208" s="67"/>
      <c r="AQ208" s="67"/>
      <c r="AR208" s="67"/>
      <c r="AS208" s="67"/>
      <c r="AT208" s="67"/>
      <c r="AU208" s="67"/>
    </row>
    <row r="209" ht="13.5" customHeight="1">
      <c r="A209" s="204"/>
      <c r="B209" s="115"/>
      <c r="C209" s="222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156"/>
      <c r="AL209" s="156"/>
      <c r="AM209" s="156"/>
      <c r="AN209" s="67"/>
      <c r="AO209" s="67"/>
      <c r="AP209" s="67"/>
      <c r="AQ209" s="67"/>
      <c r="AR209" s="67"/>
      <c r="AS209" s="67"/>
      <c r="AT209" s="67"/>
      <c r="AU209" s="67"/>
    </row>
    <row r="210" ht="13.5" customHeight="1">
      <c r="A210" s="204"/>
      <c r="B210" s="115"/>
      <c r="C210" s="222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156"/>
      <c r="AL210" s="156"/>
      <c r="AM210" s="156"/>
      <c r="AN210" s="67"/>
      <c r="AO210" s="67"/>
      <c r="AP210" s="67"/>
      <c r="AQ210" s="67"/>
      <c r="AR210" s="67"/>
      <c r="AS210" s="67"/>
      <c r="AT210" s="67"/>
      <c r="AU210" s="67"/>
    </row>
    <row r="211" ht="13.5" customHeight="1">
      <c r="A211" s="204"/>
      <c r="B211" s="115"/>
      <c r="C211" s="222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156"/>
      <c r="AL211" s="156"/>
      <c r="AM211" s="156"/>
      <c r="AN211" s="67"/>
      <c r="AO211" s="67"/>
      <c r="AP211" s="67"/>
      <c r="AQ211" s="67"/>
      <c r="AR211" s="67"/>
      <c r="AS211" s="67"/>
      <c r="AT211" s="67"/>
      <c r="AU211" s="67"/>
    </row>
    <row r="212" ht="13.5" customHeight="1">
      <c r="A212" s="204"/>
      <c r="B212" s="115"/>
      <c r="C212" s="222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156"/>
      <c r="AL212" s="156"/>
      <c r="AM212" s="156"/>
      <c r="AN212" s="67"/>
      <c r="AO212" s="67"/>
      <c r="AP212" s="67"/>
      <c r="AQ212" s="67"/>
      <c r="AR212" s="67"/>
      <c r="AS212" s="67"/>
      <c r="AT212" s="67"/>
      <c r="AU212" s="67"/>
    </row>
    <row r="213" ht="13.5" customHeight="1">
      <c r="A213" s="204"/>
      <c r="B213" s="115"/>
      <c r="C213" s="222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156"/>
      <c r="AL213" s="156"/>
      <c r="AM213" s="156"/>
      <c r="AN213" s="67"/>
      <c r="AO213" s="67"/>
      <c r="AP213" s="67"/>
      <c r="AQ213" s="67"/>
      <c r="AR213" s="67"/>
      <c r="AS213" s="67"/>
      <c r="AT213" s="67"/>
      <c r="AU213" s="67"/>
    </row>
    <row r="214" ht="13.5" customHeight="1">
      <c r="A214" s="204"/>
      <c r="B214" s="115"/>
      <c r="C214" s="222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156"/>
      <c r="AL214" s="156"/>
      <c r="AM214" s="156"/>
      <c r="AN214" s="67"/>
      <c r="AO214" s="67"/>
      <c r="AP214" s="67"/>
      <c r="AQ214" s="67"/>
      <c r="AR214" s="67"/>
      <c r="AS214" s="67"/>
      <c r="AT214" s="67"/>
      <c r="AU214" s="67"/>
    </row>
    <row r="215" ht="13.5" customHeight="1">
      <c r="A215" s="204"/>
      <c r="B215" s="115"/>
      <c r="C215" s="222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156"/>
      <c r="AL215" s="156"/>
      <c r="AM215" s="156"/>
      <c r="AN215" s="67"/>
      <c r="AO215" s="67"/>
      <c r="AP215" s="67"/>
      <c r="AQ215" s="67"/>
      <c r="AR215" s="67"/>
      <c r="AS215" s="67"/>
      <c r="AT215" s="67"/>
      <c r="AU215" s="67"/>
    </row>
    <row r="216" ht="13.5" customHeight="1">
      <c r="A216" s="204"/>
      <c r="B216" s="115"/>
      <c r="C216" s="222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156"/>
      <c r="AL216" s="156"/>
      <c r="AM216" s="156"/>
      <c r="AN216" s="67"/>
      <c r="AO216" s="67"/>
      <c r="AP216" s="67"/>
      <c r="AQ216" s="67"/>
      <c r="AR216" s="67"/>
      <c r="AS216" s="67"/>
      <c r="AT216" s="67"/>
      <c r="AU216" s="67"/>
    </row>
    <row r="217" ht="13.5" customHeight="1">
      <c r="A217" s="204"/>
      <c r="B217" s="115"/>
      <c r="C217" s="222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156"/>
      <c r="AL217" s="156"/>
      <c r="AM217" s="156"/>
      <c r="AN217" s="67"/>
      <c r="AO217" s="67"/>
      <c r="AP217" s="67"/>
      <c r="AQ217" s="67"/>
      <c r="AR217" s="67"/>
      <c r="AS217" s="67"/>
      <c r="AT217" s="67"/>
      <c r="AU217" s="67"/>
    </row>
    <row r="218" ht="13.5" customHeight="1">
      <c r="A218" s="204"/>
      <c r="B218" s="115"/>
      <c r="C218" s="222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156"/>
      <c r="AL218" s="156"/>
      <c r="AM218" s="156"/>
      <c r="AN218" s="67"/>
      <c r="AO218" s="67"/>
      <c r="AP218" s="67"/>
      <c r="AQ218" s="67"/>
      <c r="AR218" s="67"/>
      <c r="AS218" s="67"/>
      <c r="AT218" s="67"/>
      <c r="AU218" s="67"/>
    </row>
    <row r="219" ht="13.5" customHeight="1">
      <c r="A219" s="204"/>
      <c r="B219" s="115"/>
      <c r="C219" s="222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156"/>
      <c r="AL219" s="156"/>
      <c r="AM219" s="156"/>
      <c r="AN219" s="67"/>
      <c r="AO219" s="67"/>
      <c r="AP219" s="67"/>
      <c r="AQ219" s="67"/>
      <c r="AR219" s="67"/>
      <c r="AS219" s="67"/>
      <c r="AT219" s="67"/>
      <c r="AU219" s="67"/>
    </row>
    <row r="220" ht="13.5" customHeight="1">
      <c r="A220" s="204"/>
      <c r="B220" s="115"/>
      <c r="C220" s="222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156"/>
      <c r="AL220" s="156"/>
      <c r="AM220" s="156"/>
      <c r="AN220" s="67"/>
      <c r="AO220" s="67"/>
      <c r="AP220" s="67"/>
      <c r="AQ220" s="67"/>
      <c r="AR220" s="67"/>
      <c r="AS220" s="67"/>
      <c r="AT220" s="67"/>
      <c r="AU220" s="67"/>
    </row>
    <row r="221" ht="13.5" customHeight="1">
      <c r="A221" s="204"/>
      <c r="B221" s="115"/>
      <c r="C221" s="222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156"/>
      <c r="AL221" s="156"/>
      <c r="AM221" s="156"/>
      <c r="AN221" s="67"/>
      <c r="AO221" s="67"/>
      <c r="AP221" s="67"/>
      <c r="AQ221" s="67"/>
      <c r="AR221" s="67"/>
      <c r="AS221" s="67"/>
      <c r="AT221" s="67"/>
      <c r="AU221" s="67"/>
    </row>
    <row r="222" ht="13.5" customHeight="1">
      <c r="A222" s="204"/>
      <c r="B222" s="115"/>
      <c r="C222" s="222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156"/>
      <c r="AL222" s="156"/>
      <c r="AM222" s="156"/>
      <c r="AN222" s="67"/>
      <c r="AO222" s="67"/>
      <c r="AP222" s="67"/>
      <c r="AQ222" s="67"/>
      <c r="AR222" s="67"/>
      <c r="AS222" s="67"/>
      <c r="AT222" s="67"/>
      <c r="AU222" s="67"/>
    </row>
    <row r="223" ht="13.5" customHeight="1">
      <c r="A223" s="204"/>
      <c r="B223" s="115"/>
      <c r="C223" s="222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156"/>
      <c r="AL223" s="156"/>
      <c r="AM223" s="156"/>
      <c r="AN223" s="67"/>
      <c r="AO223" s="67"/>
      <c r="AP223" s="67"/>
      <c r="AQ223" s="67"/>
      <c r="AR223" s="67"/>
      <c r="AS223" s="67"/>
      <c r="AT223" s="67"/>
      <c r="AU223" s="67"/>
    </row>
    <row r="224" ht="13.5" customHeight="1">
      <c r="A224" s="204"/>
      <c r="B224" s="115"/>
      <c r="C224" s="222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156"/>
      <c r="AL224" s="156"/>
      <c r="AM224" s="156"/>
      <c r="AN224" s="67"/>
      <c r="AO224" s="67"/>
      <c r="AP224" s="67"/>
      <c r="AQ224" s="67"/>
      <c r="AR224" s="67"/>
      <c r="AS224" s="67"/>
      <c r="AT224" s="67"/>
      <c r="AU224" s="67"/>
    </row>
    <row r="225" ht="13.5" customHeight="1">
      <c r="A225" s="204"/>
      <c r="B225" s="115"/>
      <c r="C225" s="222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156"/>
      <c r="AL225" s="156"/>
      <c r="AM225" s="156"/>
      <c r="AN225" s="67"/>
      <c r="AO225" s="67"/>
      <c r="AP225" s="67"/>
      <c r="AQ225" s="67"/>
      <c r="AR225" s="67"/>
      <c r="AS225" s="67"/>
      <c r="AT225" s="67"/>
      <c r="AU225" s="67"/>
    </row>
    <row r="226" ht="13.5" customHeight="1">
      <c r="A226" s="204"/>
      <c r="B226" s="115"/>
      <c r="C226" s="222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156"/>
      <c r="AL226" s="156"/>
      <c r="AM226" s="156"/>
      <c r="AN226" s="67"/>
      <c r="AO226" s="67"/>
      <c r="AP226" s="67"/>
      <c r="AQ226" s="67"/>
      <c r="AR226" s="67"/>
      <c r="AS226" s="67"/>
      <c r="AT226" s="67"/>
      <c r="AU226" s="67"/>
    </row>
    <row r="227" ht="13.5" customHeight="1">
      <c r="A227" s="204"/>
      <c r="B227" s="115"/>
      <c r="C227" s="222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156"/>
      <c r="AL227" s="156"/>
      <c r="AM227" s="156"/>
      <c r="AN227" s="67"/>
      <c r="AO227" s="67"/>
      <c r="AP227" s="67"/>
      <c r="AQ227" s="67"/>
      <c r="AR227" s="67"/>
      <c r="AS227" s="67"/>
      <c r="AT227" s="67"/>
      <c r="AU227" s="67"/>
    </row>
    <row r="228" ht="13.5" customHeight="1">
      <c r="A228" s="204"/>
      <c r="B228" s="115"/>
      <c r="C228" s="222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156"/>
      <c r="AL228" s="156"/>
      <c r="AM228" s="156"/>
      <c r="AN228" s="67"/>
      <c r="AO228" s="67"/>
      <c r="AP228" s="67"/>
      <c r="AQ228" s="67"/>
      <c r="AR228" s="67"/>
      <c r="AS228" s="67"/>
      <c r="AT228" s="67"/>
      <c r="AU228" s="67"/>
    </row>
    <row r="229" ht="13.5" customHeight="1">
      <c r="A229" s="204"/>
      <c r="B229" s="115"/>
      <c r="C229" s="222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156"/>
      <c r="AL229" s="156"/>
      <c r="AM229" s="156"/>
      <c r="AN229" s="67"/>
      <c r="AO229" s="67"/>
      <c r="AP229" s="67"/>
      <c r="AQ229" s="67"/>
      <c r="AR229" s="67"/>
      <c r="AS229" s="67"/>
      <c r="AT229" s="67"/>
      <c r="AU229" s="67"/>
    </row>
    <row r="230" ht="13.5" customHeight="1">
      <c r="A230" s="204"/>
      <c r="B230" s="115"/>
      <c r="C230" s="222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156"/>
      <c r="AL230" s="156"/>
      <c r="AM230" s="156"/>
      <c r="AN230" s="67"/>
      <c r="AO230" s="67"/>
      <c r="AP230" s="67"/>
      <c r="AQ230" s="67"/>
      <c r="AR230" s="67"/>
      <c r="AS230" s="67"/>
      <c r="AT230" s="67"/>
      <c r="AU230" s="67"/>
    </row>
    <row r="231" ht="13.5" customHeight="1">
      <c r="A231" s="204"/>
      <c r="B231" s="115"/>
      <c r="C231" s="222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156"/>
      <c r="AL231" s="156"/>
      <c r="AM231" s="156"/>
      <c r="AN231" s="67"/>
      <c r="AO231" s="67"/>
      <c r="AP231" s="67"/>
      <c r="AQ231" s="67"/>
      <c r="AR231" s="67"/>
      <c r="AS231" s="67"/>
      <c r="AT231" s="67"/>
      <c r="AU231" s="67"/>
    </row>
    <row r="232" ht="13.5" customHeight="1">
      <c r="A232" s="204"/>
      <c r="B232" s="115"/>
      <c r="C232" s="222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156"/>
      <c r="AL232" s="156"/>
      <c r="AM232" s="156"/>
      <c r="AN232" s="67"/>
      <c r="AO232" s="67"/>
      <c r="AP232" s="67"/>
      <c r="AQ232" s="67"/>
      <c r="AR232" s="67"/>
      <c r="AS232" s="67"/>
      <c r="AT232" s="67"/>
      <c r="AU232" s="67"/>
    </row>
    <row r="233" ht="13.5" customHeight="1">
      <c r="A233" s="204"/>
      <c r="B233" s="115"/>
      <c r="C233" s="222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156"/>
      <c r="AL233" s="156"/>
      <c r="AM233" s="156"/>
      <c r="AN233" s="67"/>
      <c r="AO233" s="67"/>
      <c r="AP233" s="67"/>
      <c r="AQ233" s="67"/>
      <c r="AR233" s="67"/>
      <c r="AS233" s="67"/>
      <c r="AT233" s="67"/>
      <c r="AU233" s="67"/>
    </row>
    <row r="234" ht="13.5" customHeight="1">
      <c r="A234" s="204"/>
      <c r="B234" s="115"/>
      <c r="C234" s="222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156"/>
      <c r="AL234" s="156"/>
      <c r="AM234" s="156"/>
      <c r="AN234" s="67"/>
      <c r="AO234" s="67"/>
      <c r="AP234" s="67"/>
      <c r="AQ234" s="67"/>
      <c r="AR234" s="67"/>
      <c r="AS234" s="67"/>
      <c r="AT234" s="67"/>
      <c r="AU234" s="67"/>
    </row>
    <row r="235" ht="13.5" customHeight="1">
      <c r="A235" s="204"/>
      <c r="B235" s="115"/>
      <c r="C235" s="222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156"/>
      <c r="AL235" s="156"/>
      <c r="AM235" s="156"/>
      <c r="AN235" s="67"/>
      <c r="AO235" s="67"/>
      <c r="AP235" s="67"/>
      <c r="AQ235" s="67"/>
      <c r="AR235" s="67"/>
      <c r="AS235" s="67"/>
      <c r="AT235" s="67"/>
      <c r="AU235" s="67"/>
    </row>
    <row r="236" ht="13.5" customHeight="1">
      <c r="A236" s="204"/>
      <c r="B236" s="115"/>
      <c r="C236" s="222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156"/>
      <c r="AL236" s="156"/>
      <c r="AM236" s="156"/>
      <c r="AN236" s="67"/>
      <c r="AO236" s="67"/>
      <c r="AP236" s="67"/>
      <c r="AQ236" s="67"/>
      <c r="AR236" s="67"/>
      <c r="AS236" s="67"/>
      <c r="AT236" s="67"/>
      <c r="AU236" s="67"/>
    </row>
    <row r="237" ht="13.5" customHeight="1">
      <c r="A237" s="204"/>
      <c r="B237" s="115"/>
      <c r="C237" s="222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156"/>
      <c r="AL237" s="156"/>
      <c r="AM237" s="156"/>
      <c r="AN237" s="67"/>
      <c r="AO237" s="67"/>
      <c r="AP237" s="67"/>
      <c r="AQ237" s="67"/>
      <c r="AR237" s="67"/>
      <c r="AS237" s="67"/>
      <c r="AT237" s="67"/>
      <c r="AU237" s="67"/>
    </row>
    <row r="238" ht="13.5" customHeight="1">
      <c r="A238" s="204"/>
      <c r="B238" s="115"/>
      <c r="C238" s="222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156"/>
      <c r="AL238" s="156"/>
      <c r="AM238" s="156"/>
      <c r="AN238" s="67"/>
      <c r="AO238" s="67"/>
      <c r="AP238" s="67"/>
      <c r="AQ238" s="67"/>
      <c r="AR238" s="67"/>
      <c r="AS238" s="67"/>
      <c r="AT238" s="67"/>
      <c r="AU238" s="67"/>
    </row>
    <row r="239" ht="13.5" customHeight="1">
      <c r="A239" s="204"/>
      <c r="B239" s="115"/>
      <c r="C239" s="222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156"/>
      <c r="AL239" s="156"/>
      <c r="AM239" s="156"/>
      <c r="AN239" s="67"/>
      <c r="AO239" s="67"/>
      <c r="AP239" s="67"/>
      <c r="AQ239" s="67"/>
      <c r="AR239" s="67"/>
      <c r="AS239" s="67"/>
      <c r="AT239" s="67"/>
      <c r="AU239" s="67"/>
    </row>
    <row r="240" ht="13.5" customHeight="1">
      <c r="A240" s="204"/>
      <c r="B240" s="115"/>
      <c r="C240" s="222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156"/>
      <c r="AL240" s="156"/>
      <c r="AM240" s="156"/>
      <c r="AN240" s="67"/>
      <c r="AO240" s="67"/>
      <c r="AP240" s="67"/>
      <c r="AQ240" s="67"/>
      <c r="AR240" s="67"/>
      <c r="AS240" s="67"/>
      <c r="AT240" s="67"/>
      <c r="AU240" s="67"/>
    </row>
    <row r="241" ht="13.5" customHeight="1">
      <c r="A241" s="204"/>
      <c r="B241" s="115"/>
      <c r="C241" s="222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156"/>
      <c r="AL241" s="156"/>
      <c r="AM241" s="156"/>
      <c r="AN241" s="67"/>
      <c r="AO241" s="67"/>
      <c r="AP241" s="67"/>
      <c r="AQ241" s="67"/>
      <c r="AR241" s="67"/>
      <c r="AS241" s="67"/>
      <c r="AT241" s="67"/>
      <c r="AU241" s="67"/>
    </row>
    <row r="242" ht="13.5" customHeight="1">
      <c r="A242" s="204"/>
      <c r="B242" s="115"/>
      <c r="C242" s="222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156"/>
      <c r="AL242" s="156"/>
      <c r="AM242" s="156"/>
      <c r="AN242" s="67"/>
      <c r="AO242" s="67"/>
      <c r="AP242" s="67"/>
      <c r="AQ242" s="67"/>
      <c r="AR242" s="67"/>
      <c r="AS242" s="67"/>
      <c r="AT242" s="67"/>
      <c r="AU242" s="67"/>
    </row>
    <row r="243" ht="13.5" customHeight="1">
      <c r="A243" s="204"/>
      <c r="B243" s="115"/>
      <c r="C243" s="222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156"/>
      <c r="AL243" s="156"/>
      <c r="AM243" s="156"/>
      <c r="AN243" s="67"/>
      <c r="AO243" s="67"/>
      <c r="AP243" s="67"/>
      <c r="AQ243" s="67"/>
      <c r="AR243" s="67"/>
      <c r="AS243" s="67"/>
      <c r="AT243" s="67"/>
      <c r="AU243" s="67"/>
    </row>
    <row r="244" ht="13.5" customHeight="1">
      <c r="A244" s="204"/>
      <c r="B244" s="115"/>
      <c r="C244" s="222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156"/>
      <c r="AL244" s="156"/>
      <c r="AM244" s="156"/>
      <c r="AN244" s="67"/>
      <c r="AO244" s="67"/>
      <c r="AP244" s="67"/>
      <c r="AQ244" s="67"/>
      <c r="AR244" s="67"/>
      <c r="AS244" s="67"/>
      <c r="AT244" s="67"/>
      <c r="AU244" s="67"/>
    </row>
    <row r="245" ht="13.5" customHeight="1">
      <c r="A245" s="204"/>
      <c r="B245" s="115"/>
      <c r="C245" s="222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156"/>
      <c r="AL245" s="156"/>
      <c r="AM245" s="156"/>
      <c r="AN245" s="67"/>
      <c r="AO245" s="67"/>
      <c r="AP245" s="67"/>
      <c r="AQ245" s="67"/>
      <c r="AR245" s="67"/>
      <c r="AS245" s="67"/>
      <c r="AT245" s="67"/>
      <c r="AU245" s="67"/>
    </row>
    <row r="246" ht="13.5" customHeight="1">
      <c r="A246" s="204"/>
      <c r="B246" s="115"/>
      <c r="C246" s="222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156"/>
      <c r="AL246" s="156"/>
      <c r="AM246" s="156"/>
      <c r="AN246" s="67"/>
      <c r="AO246" s="67"/>
      <c r="AP246" s="67"/>
      <c r="AQ246" s="67"/>
      <c r="AR246" s="67"/>
      <c r="AS246" s="67"/>
      <c r="AT246" s="67"/>
      <c r="AU246" s="67"/>
    </row>
    <row r="247" ht="13.5" customHeight="1">
      <c r="A247" s="204"/>
      <c r="B247" s="115"/>
      <c r="C247" s="222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156"/>
      <c r="AL247" s="156"/>
      <c r="AM247" s="156"/>
      <c r="AN247" s="67"/>
      <c r="AO247" s="67"/>
      <c r="AP247" s="67"/>
      <c r="AQ247" s="67"/>
      <c r="AR247" s="67"/>
      <c r="AS247" s="67"/>
      <c r="AT247" s="67"/>
      <c r="AU247" s="67"/>
    </row>
    <row r="248" ht="13.5" customHeight="1">
      <c r="A248" s="204"/>
      <c r="B248" s="115"/>
      <c r="C248" s="222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156"/>
      <c r="AL248" s="156"/>
      <c r="AM248" s="156"/>
      <c r="AN248" s="67"/>
      <c r="AO248" s="67"/>
      <c r="AP248" s="67"/>
      <c r="AQ248" s="67"/>
      <c r="AR248" s="67"/>
      <c r="AS248" s="67"/>
      <c r="AT248" s="67"/>
      <c r="AU248" s="67"/>
    </row>
    <row r="249" ht="13.5" customHeight="1">
      <c r="A249" s="204"/>
      <c r="B249" s="115"/>
      <c r="C249" s="222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156"/>
      <c r="AL249" s="156"/>
      <c r="AM249" s="156"/>
      <c r="AN249" s="67"/>
      <c r="AO249" s="67"/>
      <c r="AP249" s="67"/>
      <c r="AQ249" s="67"/>
      <c r="AR249" s="67"/>
      <c r="AS249" s="67"/>
      <c r="AT249" s="67"/>
      <c r="AU249" s="67"/>
    </row>
    <row r="250" ht="13.5" customHeight="1">
      <c r="A250" s="204"/>
      <c r="B250" s="115"/>
      <c r="C250" s="222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156"/>
      <c r="AL250" s="156"/>
      <c r="AM250" s="156"/>
      <c r="AN250" s="67"/>
      <c r="AO250" s="67"/>
      <c r="AP250" s="67"/>
      <c r="AQ250" s="67"/>
      <c r="AR250" s="67"/>
      <c r="AS250" s="67"/>
      <c r="AT250" s="67"/>
      <c r="AU250" s="67"/>
    </row>
    <row r="251" ht="13.5" customHeight="1">
      <c r="A251" s="204"/>
      <c r="B251" s="115"/>
      <c r="C251" s="222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156"/>
      <c r="AL251" s="156"/>
      <c r="AM251" s="156"/>
      <c r="AN251" s="67"/>
      <c r="AO251" s="67"/>
      <c r="AP251" s="67"/>
      <c r="AQ251" s="67"/>
      <c r="AR251" s="67"/>
      <c r="AS251" s="67"/>
      <c r="AT251" s="67"/>
      <c r="AU251" s="67"/>
    </row>
    <row r="252" ht="13.5" customHeight="1">
      <c r="A252" s="204"/>
      <c r="B252" s="115"/>
      <c r="C252" s="222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156"/>
      <c r="AL252" s="156"/>
      <c r="AM252" s="156"/>
      <c r="AN252" s="67"/>
      <c r="AO252" s="67"/>
      <c r="AP252" s="67"/>
      <c r="AQ252" s="67"/>
      <c r="AR252" s="67"/>
      <c r="AS252" s="67"/>
      <c r="AT252" s="67"/>
      <c r="AU252" s="67"/>
    </row>
    <row r="253" ht="13.5" customHeight="1">
      <c r="A253" s="204"/>
      <c r="B253" s="115"/>
      <c r="C253" s="222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156"/>
      <c r="AL253" s="156"/>
      <c r="AM253" s="156"/>
      <c r="AN253" s="67"/>
      <c r="AO253" s="67"/>
      <c r="AP253" s="67"/>
      <c r="AQ253" s="67"/>
      <c r="AR253" s="67"/>
      <c r="AS253" s="67"/>
      <c r="AT253" s="67"/>
      <c r="AU253" s="67"/>
    </row>
    <row r="254" ht="13.5" customHeight="1">
      <c r="A254" s="204"/>
      <c r="B254" s="115"/>
      <c r="C254" s="222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156"/>
      <c r="AL254" s="156"/>
      <c r="AM254" s="156"/>
      <c r="AN254" s="67"/>
      <c r="AO254" s="67"/>
      <c r="AP254" s="67"/>
      <c r="AQ254" s="67"/>
      <c r="AR254" s="67"/>
      <c r="AS254" s="67"/>
      <c r="AT254" s="67"/>
      <c r="AU254" s="67"/>
    </row>
    <row r="255" ht="13.5" customHeight="1">
      <c r="A255" s="204"/>
      <c r="B255" s="115"/>
      <c r="C255" s="222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156"/>
      <c r="AL255" s="156"/>
      <c r="AM255" s="156"/>
      <c r="AN255" s="67"/>
      <c r="AO255" s="67"/>
      <c r="AP255" s="67"/>
      <c r="AQ255" s="67"/>
      <c r="AR255" s="67"/>
      <c r="AS255" s="67"/>
      <c r="AT255" s="67"/>
      <c r="AU255" s="67"/>
    </row>
    <row r="256" ht="13.5" customHeight="1">
      <c r="A256" s="204"/>
      <c r="B256" s="115"/>
      <c r="C256" s="222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156"/>
      <c r="AL256" s="156"/>
      <c r="AM256" s="156"/>
      <c r="AN256" s="67"/>
      <c r="AO256" s="67"/>
      <c r="AP256" s="67"/>
      <c r="AQ256" s="67"/>
      <c r="AR256" s="67"/>
      <c r="AS256" s="67"/>
      <c r="AT256" s="67"/>
      <c r="AU256" s="67"/>
    </row>
    <row r="257" ht="13.5" customHeight="1">
      <c r="A257" s="204"/>
      <c r="B257" s="115"/>
      <c r="C257" s="222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156"/>
      <c r="AL257" s="156"/>
      <c r="AM257" s="156"/>
      <c r="AN257" s="67"/>
      <c r="AO257" s="67"/>
      <c r="AP257" s="67"/>
      <c r="AQ257" s="67"/>
      <c r="AR257" s="67"/>
      <c r="AS257" s="67"/>
      <c r="AT257" s="67"/>
      <c r="AU257" s="67"/>
    </row>
    <row r="258" ht="13.5" customHeight="1">
      <c r="A258" s="204"/>
      <c r="B258" s="115"/>
      <c r="C258" s="222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156"/>
      <c r="AL258" s="156"/>
      <c r="AM258" s="156"/>
      <c r="AN258" s="67"/>
      <c r="AO258" s="67"/>
      <c r="AP258" s="67"/>
      <c r="AQ258" s="67"/>
      <c r="AR258" s="67"/>
      <c r="AS258" s="67"/>
      <c r="AT258" s="67"/>
      <c r="AU258" s="67"/>
    </row>
    <row r="259" ht="13.5" customHeight="1">
      <c r="A259" s="204"/>
      <c r="B259" s="115"/>
      <c r="C259" s="222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156"/>
      <c r="AL259" s="156"/>
      <c r="AM259" s="156"/>
      <c r="AN259" s="67"/>
      <c r="AO259" s="67"/>
      <c r="AP259" s="67"/>
      <c r="AQ259" s="67"/>
      <c r="AR259" s="67"/>
      <c r="AS259" s="67"/>
      <c r="AT259" s="67"/>
      <c r="AU259" s="67"/>
    </row>
    <row r="260" ht="13.5" customHeight="1">
      <c r="A260" s="204"/>
      <c r="B260" s="115"/>
      <c r="C260" s="222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156"/>
      <c r="AL260" s="156"/>
      <c r="AM260" s="156"/>
      <c r="AN260" s="67"/>
      <c r="AO260" s="67"/>
      <c r="AP260" s="67"/>
      <c r="AQ260" s="67"/>
      <c r="AR260" s="67"/>
      <c r="AS260" s="67"/>
      <c r="AT260" s="67"/>
      <c r="AU260" s="67"/>
    </row>
    <row r="261" ht="13.5" customHeight="1">
      <c r="A261" s="204"/>
      <c r="B261" s="115"/>
      <c r="C261" s="222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156"/>
      <c r="AL261" s="156"/>
      <c r="AM261" s="156"/>
      <c r="AN261" s="67"/>
      <c r="AO261" s="67"/>
      <c r="AP261" s="67"/>
      <c r="AQ261" s="67"/>
      <c r="AR261" s="67"/>
      <c r="AS261" s="67"/>
      <c r="AT261" s="67"/>
      <c r="AU261" s="67"/>
    </row>
    <row r="262" ht="15.75" customHeight="1">
      <c r="A262" s="223"/>
      <c r="C262" s="224"/>
    </row>
    <row r="263" ht="15.75" customHeight="1">
      <c r="A263" s="223"/>
      <c r="C263" s="224"/>
    </row>
    <row r="264" ht="15.75" customHeight="1">
      <c r="A264" s="223"/>
      <c r="C264" s="224"/>
    </row>
    <row r="265" ht="15.75" customHeight="1">
      <c r="A265" s="223"/>
      <c r="C265" s="224"/>
    </row>
    <row r="266" ht="15.75" customHeight="1">
      <c r="A266" s="223"/>
      <c r="C266" s="224"/>
    </row>
    <row r="267" ht="15.75" customHeight="1">
      <c r="A267" s="223"/>
      <c r="C267" s="224"/>
    </row>
    <row r="268" ht="15.75" customHeight="1">
      <c r="A268" s="223"/>
      <c r="C268" s="224"/>
    </row>
    <row r="269" ht="15.75" customHeight="1">
      <c r="A269" s="223"/>
      <c r="C269" s="224"/>
    </row>
    <row r="270" ht="15.75" customHeight="1">
      <c r="A270" s="223"/>
      <c r="C270" s="224"/>
    </row>
    <row r="271" ht="15.75" customHeight="1">
      <c r="A271" s="223"/>
      <c r="C271" s="224"/>
    </row>
    <row r="272" ht="15.75" customHeight="1">
      <c r="A272" s="223"/>
      <c r="C272" s="224"/>
    </row>
    <row r="273" ht="15.75" customHeight="1">
      <c r="A273" s="223"/>
      <c r="C273" s="224"/>
    </row>
    <row r="274" ht="15.75" customHeight="1">
      <c r="A274" s="223"/>
      <c r="C274" s="224"/>
    </row>
    <row r="275" ht="15.75" customHeight="1">
      <c r="A275" s="223"/>
      <c r="C275" s="224"/>
    </row>
    <row r="276" ht="15.75" customHeight="1">
      <c r="A276" s="223"/>
      <c r="C276" s="224"/>
    </row>
    <row r="277" ht="15.75" customHeight="1">
      <c r="A277" s="223"/>
      <c r="C277" s="224"/>
    </row>
    <row r="278" ht="15.75" customHeight="1">
      <c r="A278" s="223"/>
      <c r="C278" s="224"/>
    </row>
    <row r="279" ht="15.75" customHeight="1">
      <c r="A279" s="223"/>
      <c r="C279" s="224"/>
    </row>
    <row r="280" ht="15.75" customHeight="1">
      <c r="A280" s="223"/>
      <c r="C280" s="224"/>
    </row>
    <row r="281" ht="15.75" customHeight="1">
      <c r="A281" s="223"/>
      <c r="C281" s="224"/>
    </row>
    <row r="282" ht="15.75" customHeight="1">
      <c r="A282" s="223"/>
      <c r="C282" s="224"/>
    </row>
    <row r="283" ht="15.75" customHeight="1">
      <c r="A283" s="223"/>
      <c r="C283" s="224"/>
    </row>
    <row r="284" ht="15.75" customHeight="1">
      <c r="A284" s="223"/>
      <c r="C284" s="224"/>
    </row>
    <row r="285" ht="15.75" customHeight="1">
      <c r="A285" s="223"/>
      <c r="C285" s="224"/>
    </row>
    <row r="286" ht="15.75" customHeight="1">
      <c r="A286" s="223"/>
      <c r="C286" s="224"/>
    </row>
    <row r="287" ht="15.75" customHeight="1">
      <c r="A287" s="223"/>
      <c r="C287" s="224"/>
    </row>
    <row r="288" ht="15.75" customHeight="1">
      <c r="A288" s="223"/>
      <c r="C288" s="224"/>
    </row>
    <row r="289" ht="15.75" customHeight="1">
      <c r="A289" s="223"/>
      <c r="C289" s="224"/>
    </row>
    <row r="290" ht="15.75" customHeight="1">
      <c r="A290" s="223"/>
      <c r="C290" s="224"/>
    </row>
    <row r="291" ht="15.75" customHeight="1">
      <c r="A291" s="223"/>
      <c r="C291" s="224"/>
    </row>
    <row r="292" ht="15.75" customHeight="1">
      <c r="A292" s="223"/>
      <c r="C292" s="224"/>
    </row>
    <row r="293" ht="15.75" customHeight="1">
      <c r="A293" s="223"/>
      <c r="C293" s="224"/>
    </row>
    <row r="294" ht="15.75" customHeight="1">
      <c r="A294" s="223"/>
      <c r="C294" s="224"/>
    </row>
    <row r="295" ht="15.75" customHeight="1">
      <c r="A295" s="223"/>
      <c r="C295" s="224"/>
    </row>
    <row r="296" ht="15.75" customHeight="1">
      <c r="A296" s="223"/>
      <c r="C296" s="224"/>
    </row>
    <row r="297" ht="15.75" customHeight="1">
      <c r="A297" s="223"/>
      <c r="C297" s="224"/>
    </row>
    <row r="298" ht="15.75" customHeight="1">
      <c r="A298" s="223"/>
      <c r="C298" s="224"/>
    </row>
    <row r="299" ht="15.75" customHeight="1">
      <c r="A299" s="223"/>
      <c r="C299" s="224"/>
    </row>
    <row r="300" ht="15.75" customHeight="1">
      <c r="A300" s="223"/>
      <c r="C300" s="224"/>
    </row>
    <row r="301" ht="15.75" customHeight="1">
      <c r="A301" s="223"/>
      <c r="C301" s="224"/>
    </row>
    <row r="302" ht="15.75" customHeight="1">
      <c r="A302" s="223"/>
      <c r="C302" s="224"/>
    </row>
    <row r="303" ht="15.75" customHeight="1">
      <c r="A303" s="223"/>
      <c r="C303" s="224"/>
    </row>
    <row r="304" ht="15.75" customHeight="1">
      <c r="A304" s="223"/>
      <c r="C304" s="224"/>
    </row>
    <row r="305" ht="15.75" customHeight="1">
      <c r="A305" s="223"/>
      <c r="C305" s="224"/>
    </row>
    <row r="306" ht="15.75" customHeight="1">
      <c r="A306" s="223"/>
      <c r="C306" s="224"/>
    </row>
    <row r="307" ht="15.75" customHeight="1">
      <c r="A307" s="223"/>
      <c r="C307" s="224"/>
    </row>
    <row r="308" ht="15.75" customHeight="1">
      <c r="A308" s="223"/>
      <c r="C308" s="224"/>
    </row>
    <row r="309" ht="15.75" customHeight="1">
      <c r="A309" s="223"/>
      <c r="C309" s="224"/>
    </row>
    <row r="310" ht="15.75" customHeight="1">
      <c r="A310" s="223"/>
      <c r="C310" s="224"/>
    </row>
    <row r="311" ht="15.75" customHeight="1">
      <c r="A311" s="223"/>
      <c r="C311" s="224"/>
    </row>
    <row r="312" ht="15.75" customHeight="1">
      <c r="A312" s="223"/>
      <c r="C312" s="224"/>
    </row>
    <row r="313" ht="15.75" customHeight="1">
      <c r="A313" s="223"/>
      <c r="C313" s="224"/>
    </row>
    <row r="314" ht="15.75" customHeight="1">
      <c r="A314" s="223"/>
      <c r="C314" s="224"/>
    </row>
    <row r="315" ht="15.75" customHeight="1">
      <c r="A315" s="223"/>
      <c r="C315" s="224"/>
    </row>
    <row r="316" ht="15.75" customHeight="1">
      <c r="A316" s="223"/>
      <c r="C316" s="224"/>
    </row>
    <row r="317" ht="15.75" customHeight="1">
      <c r="A317" s="223"/>
      <c r="C317" s="224"/>
    </row>
    <row r="318" ht="15.75" customHeight="1">
      <c r="A318" s="223"/>
      <c r="C318" s="224"/>
    </row>
    <row r="319" ht="15.75" customHeight="1">
      <c r="A319" s="223"/>
      <c r="C319" s="224"/>
    </row>
    <row r="320" ht="15.75" customHeight="1">
      <c r="A320" s="223"/>
      <c r="C320" s="224"/>
    </row>
    <row r="321" ht="15.75" customHeight="1">
      <c r="A321" s="223"/>
      <c r="C321" s="224"/>
    </row>
    <row r="322" ht="15.75" customHeight="1">
      <c r="A322" s="223"/>
      <c r="C322" s="224"/>
    </row>
    <row r="323" ht="15.75" customHeight="1">
      <c r="A323" s="223"/>
      <c r="C323" s="224"/>
    </row>
    <row r="324" ht="15.75" customHeight="1">
      <c r="A324" s="223"/>
      <c r="C324" s="224"/>
    </row>
    <row r="325" ht="15.75" customHeight="1">
      <c r="A325" s="223"/>
      <c r="C325" s="224"/>
    </row>
    <row r="326" ht="15.75" customHeight="1">
      <c r="A326" s="223"/>
      <c r="C326" s="224"/>
    </row>
    <row r="327" ht="15.75" customHeight="1">
      <c r="A327" s="223"/>
      <c r="C327" s="224"/>
    </row>
    <row r="328" ht="15.75" customHeight="1">
      <c r="A328" s="223"/>
      <c r="C328" s="224"/>
    </row>
    <row r="329" ht="15.75" customHeight="1">
      <c r="A329" s="223"/>
      <c r="C329" s="224"/>
    </row>
    <row r="330" ht="15.75" customHeight="1">
      <c r="A330" s="223"/>
      <c r="C330" s="224"/>
    </row>
    <row r="331" ht="15.75" customHeight="1">
      <c r="A331" s="223"/>
      <c r="C331" s="224"/>
    </row>
    <row r="332" ht="15.75" customHeight="1">
      <c r="A332" s="223"/>
      <c r="C332" s="224"/>
    </row>
    <row r="333" ht="15.75" customHeight="1">
      <c r="A333" s="223"/>
      <c r="C333" s="224"/>
    </row>
    <row r="334" ht="15.75" customHeight="1">
      <c r="A334" s="223"/>
      <c r="C334" s="224"/>
    </row>
    <row r="335" ht="15.75" customHeight="1">
      <c r="A335" s="223"/>
      <c r="C335" s="224"/>
    </row>
    <row r="336" ht="15.75" customHeight="1">
      <c r="A336" s="223"/>
      <c r="C336" s="224"/>
    </row>
    <row r="337" ht="15.75" customHeight="1">
      <c r="A337" s="223"/>
      <c r="C337" s="224"/>
    </row>
    <row r="338" ht="15.75" customHeight="1">
      <c r="A338" s="223"/>
      <c r="C338" s="224"/>
    </row>
    <row r="339" ht="15.75" customHeight="1">
      <c r="A339" s="223"/>
      <c r="C339" s="224"/>
    </row>
    <row r="340" ht="15.75" customHeight="1">
      <c r="A340" s="223"/>
      <c r="C340" s="224"/>
    </row>
    <row r="341" ht="15.75" customHeight="1">
      <c r="A341" s="223"/>
      <c r="C341" s="224"/>
    </row>
    <row r="342" ht="15.75" customHeight="1">
      <c r="A342" s="223"/>
      <c r="C342" s="224"/>
    </row>
    <row r="343" ht="15.75" customHeight="1">
      <c r="A343" s="223"/>
      <c r="C343" s="224"/>
    </row>
    <row r="344" ht="15.75" customHeight="1">
      <c r="A344" s="223"/>
      <c r="C344" s="224"/>
    </row>
    <row r="345" ht="15.75" customHeight="1">
      <c r="A345" s="223"/>
      <c r="C345" s="224"/>
    </row>
    <row r="346" ht="15.75" customHeight="1">
      <c r="A346" s="223"/>
      <c r="C346" s="224"/>
    </row>
    <row r="347" ht="15.75" customHeight="1">
      <c r="A347" s="223"/>
      <c r="C347" s="224"/>
    </row>
    <row r="348" ht="15.75" customHeight="1">
      <c r="A348" s="223"/>
      <c r="C348" s="224"/>
    </row>
    <row r="349" ht="15.75" customHeight="1">
      <c r="A349" s="223"/>
      <c r="C349" s="224"/>
    </row>
    <row r="350" ht="15.75" customHeight="1">
      <c r="A350" s="223"/>
      <c r="C350" s="224"/>
    </row>
    <row r="351" ht="15.75" customHeight="1">
      <c r="A351" s="223"/>
      <c r="C351" s="224"/>
    </row>
    <row r="352" ht="15.75" customHeight="1">
      <c r="A352" s="223"/>
      <c r="C352" s="224"/>
    </row>
    <row r="353" ht="15.75" customHeight="1">
      <c r="A353" s="223"/>
      <c r="C353" s="224"/>
    </row>
    <row r="354" ht="15.75" customHeight="1">
      <c r="A354" s="223"/>
      <c r="C354" s="224"/>
    </row>
    <row r="355" ht="15.75" customHeight="1">
      <c r="A355" s="223"/>
      <c r="C355" s="224"/>
    </row>
    <row r="356" ht="15.75" customHeight="1">
      <c r="A356" s="223"/>
      <c r="C356" s="224"/>
    </row>
    <row r="357" ht="15.75" customHeight="1">
      <c r="A357" s="223"/>
      <c r="C357" s="224"/>
    </row>
    <row r="358" ht="15.75" customHeight="1">
      <c r="A358" s="223"/>
      <c r="C358" s="224"/>
    </row>
    <row r="359" ht="15.75" customHeight="1">
      <c r="A359" s="223"/>
      <c r="C359" s="224"/>
    </row>
    <row r="360" ht="15.75" customHeight="1">
      <c r="A360" s="223"/>
      <c r="C360" s="224"/>
    </row>
    <row r="361" ht="15.75" customHeight="1">
      <c r="A361" s="223"/>
      <c r="C361" s="224"/>
    </row>
    <row r="362" ht="15.75" customHeight="1">
      <c r="A362" s="223"/>
      <c r="C362" s="224"/>
    </row>
    <row r="363" ht="15.75" customHeight="1">
      <c r="A363" s="223"/>
      <c r="C363" s="224"/>
    </row>
    <row r="364" ht="15.75" customHeight="1">
      <c r="A364" s="223"/>
      <c r="C364" s="224"/>
    </row>
    <row r="365" ht="15.75" customHeight="1">
      <c r="A365" s="223"/>
      <c r="C365" s="224"/>
    </row>
    <row r="366" ht="15.75" customHeight="1">
      <c r="A366" s="223"/>
      <c r="C366" s="224"/>
    </row>
    <row r="367" ht="15.75" customHeight="1">
      <c r="A367" s="223"/>
      <c r="C367" s="224"/>
    </row>
    <row r="368" ht="15.75" customHeight="1">
      <c r="A368" s="223"/>
      <c r="C368" s="224"/>
    </row>
    <row r="369" ht="15.75" customHeight="1">
      <c r="A369" s="223"/>
      <c r="C369" s="224"/>
    </row>
    <row r="370" ht="15.75" customHeight="1">
      <c r="A370" s="223"/>
      <c r="C370" s="224"/>
    </row>
    <row r="371" ht="15.75" customHeight="1">
      <c r="A371" s="223"/>
      <c r="C371" s="224"/>
    </row>
    <row r="372" ht="15.75" customHeight="1">
      <c r="A372" s="223"/>
      <c r="C372" s="224"/>
    </row>
    <row r="373" ht="15.75" customHeight="1">
      <c r="A373" s="223"/>
      <c r="C373" s="224"/>
    </row>
    <row r="374" ht="15.75" customHeight="1">
      <c r="A374" s="223"/>
      <c r="C374" s="224"/>
    </row>
    <row r="375" ht="15.75" customHeight="1">
      <c r="A375" s="223"/>
      <c r="C375" s="224"/>
    </row>
    <row r="376" ht="15.75" customHeight="1">
      <c r="A376" s="223"/>
      <c r="C376" s="224"/>
    </row>
    <row r="377" ht="15.75" customHeight="1">
      <c r="A377" s="223"/>
      <c r="C377" s="224"/>
    </row>
    <row r="378" ht="15.75" customHeight="1">
      <c r="A378" s="223"/>
      <c r="C378" s="224"/>
    </row>
    <row r="379" ht="15.75" customHeight="1">
      <c r="A379" s="223"/>
      <c r="C379" s="224"/>
    </row>
    <row r="380" ht="15.75" customHeight="1">
      <c r="A380" s="223"/>
      <c r="C380" s="224"/>
    </row>
    <row r="381" ht="15.75" customHeight="1">
      <c r="A381" s="223"/>
      <c r="C381" s="224"/>
    </row>
    <row r="382" ht="15.75" customHeight="1">
      <c r="A382" s="223"/>
      <c r="C382" s="224"/>
    </row>
    <row r="383" ht="15.75" customHeight="1">
      <c r="A383" s="223"/>
      <c r="C383" s="224"/>
    </row>
    <row r="384" ht="15.75" customHeight="1">
      <c r="A384" s="223"/>
      <c r="C384" s="224"/>
    </row>
    <row r="385" ht="15.75" customHeight="1">
      <c r="A385" s="223"/>
      <c r="C385" s="224"/>
    </row>
    <row r="386" ht="15.75" customHeight="1">
      <c r="A386" s="223"/>
      <c r="C386" s="224"/>
    </row>
    <row r="387" ht="15.75" customHeight="1">
      <c r="A387" s="223"/>
      <c r="C387" s="224"/>
    </row>
    <row r="388" ht="15.75" customHeight="1">
      <c r="A388" s="223"/>
      <c r="C388" s="224"/>
    </row>
    <row r="389" ht="15.75" customHeight="1">
      <c r="A389" s="223"/>
      <c r="C389" s="224"/>
    </row>
    <row r="390" ht="15.75" customHeight="1">
      <c r="A390" s="223"/>
      <c r="C390" s="224"/>
    </row>
    <row r="391" ht="15.75" customHeight="1">
      <c r="A391" s="223"/>
      <c r="C391" s="224"/>
    </row>
    <row r="392" ht="15.75" customHeight="1">
      <c r="A392" s="223"/>
      <c r="C392" s="224"/>
    </row>
    <row r="393" ht="15.75" customHeight="1">
      <c r="A393" s="223"/>
      <c r="C393" s="224"/>
    </row>
    <row r="394" ht="15.75" customHeight="1">
      <c r="A394" s="223"/>
      <c r="C394" s="224"/>
    </row>
    <row r="395" ht="15.75" customHeight="1">
      <c r="A395" s="223"/>
      <c r="C395" s="224"/>
    </row>
    <row r="396" ht="15.75" customHeight="1">
      <c r="A396" s="223"/>
      <c r="C396" s="224"/>
    </row>
    <row r="397" ht="15.75" customHeight="1">
      <c r="A397" s="223"/>
      <c r="C397" s="224"/>
    </row>
    <row r="398" ht="15.75" customHeight="1">
      <c r="A398" s="223"/>
      <c r="C398" s="224"/>
    </row>
    <row r="399" ht="15.75" customHeight="1">
      <c r="A399" s="223"/>
      <c r="C399" s="224"/>
    </row>
    <row r="400" ht="15.75" customHeight="1">
      <c r="A400" s="223"/>
      <c r="C400" s="224"/>
    </row>
    <row r="401" ht="15.75" customHeight="1">
      <c r="A401" s="223"/>
      <c r="C401" s="224"/>
    </row>
    <row r="402" ht="15.75" customHeight="1">
      <c r="A402" s="223"/>
      <c r="C402" s="224"/>
    </row>
    <row r="403" ht="15.75" customHeight="1">
      <c r="A403" s="223"/>
      <c r="C403" s="224"/>
    </row>
    <row r="404" ht="15.75" customHeight="1">
      <c r="A404" s="223"/>
      <c r="C404" s="224"/>
    </row>
    <row r="405" ht="15.75" customHeight="1">
      <c r="A405" s="223"/>
      <c r="C405" s="224"/>
    </row>
    <row r="406" ht="15.75" customHeight="1">
      <c r="A406" s="223"/>
      <c r="C406" s="224"/>
    </row>
    <row r="407" ht="15.75" customHeight="1">
      <c r="A407" s="223"/>
      <c r="C407" s="224"/>
    </row>
    <row r="408" ht="15.75" customHeight="1">
      <c r="A408" s="223"/>
      <c r="C408" s="224"/>
    </row>
    <row r="409" ht="15.75" customHeight="1">
      <c r="A409" s="223"/>
      <c r="C409" s="224"/>
    </row>
    <row r="410" ht="15.75" customHeight="1">
      <c r="A410" s="223"/>
      <c r="C410" s="224"/>
    </row>
    <row r="411" ht="15.75" customHeight="1">
      <c r="A411" s="223"/>
      <c r="C411" s="224"/>
    </row>
    <row r="412" ht="15.75" customHeight="1">
      <c r="A412" s="223"/>
      <c r="C412" s="224"/>
    </row>
    <row r="413" ht="15.75" customHeight="1">
      <c r="A413" s="223"/>
      <c r="C413" s="224"/>
    </row>
    <row r="414" ht="15.75" customHeight="1">
      <c r="A414" s="223"/>
      <c r="C414" s="224"/>
    </row>
    <row r="415" ht="15.75" customHeight="1">
      <c r="A415" s="223"/>
      <c r="C415" s="224"/>
    </row>
    <row r="416" ht="15.75" customHeight="1">
      <c r="A416" s="223"/>
      <c r="C416" s="224"/>
    </row>
    <row r="417" ht="15.75" customHeight="1">
      <c r="A417" s="223"/>
      <c r="C417" s="224"/>
    </row>
    <row r="418" ht="15.75" customHeight="1">
      <c r="A418" s="223"/>
      <c r="C418" s="224"/>
    </row>
    <row r="419" ht="15.75" customHeight="1">
      <c r="A419" s="223"/>
      <c r="C419" s="224"/>
    </row>
    <row r="420" ht="15.75" customHeight="1">
      <c r="A420" s="223"/>
      <c r="C420" s="224"/>
    </row>
    <row r="421" ht="15.75" customHeight="1">
      <c r="A421" s="223"/>
      <c r="C421" s="224"/>
    </row>
    <row r="422" ht="15.75" customHeight="1">
      <c r="A422" s="223"/>
      <c r="C422" s="224"/>
    </row>
    <row r="423" ht="15.75" customHeight="1">
      <c r="A423" s="223"/>
      <c r="C423" s="224"/>
    </row>
    <row r="424" ht="15.75" customHeight="1">
      <c r="A424" s="223"/>
      <c r="C424" s="224"/>
    </row>
    <row r="425" ht="15.75" customHeight="1">
      <c r="A425" s="223"/>
      <c r="C425" s="224"/>
    </row>
    <row r="426" ht="15.75" customHeight="1">
      <c r="A426" s="223"/>
      <c r="C426" s="224"/>
    </row>
    <row r="427" ht="15.75" customHeight="1">
      <c r="A427" s="223"/>
      <c r="C427" s="224"/>
    </row>
    <row r="428" ht="15.75" customHeight="1">
      <c r="A428" s="223"/>
      <c r="C428" s="224"/>
    </row>
    <row r="429" ht="15.75" customHeight="1">
      <c r="A429" s="223"/>
      <c r="C429" s="224"/>
    </row>
    <row r="430" ht="15.75" customHeight="1">
      <c r="A430" s="223"/>
      <c r="C430" s="224"/>
    </row>
    <row r="431" ht="15.75" customHeight="1">
      <c r="A431" s="223"/>
      <c r="C431" s="224"/>
    </row>
    <row r="432" ht="15.75" customHeight="1">
      <c r="A432" s="223"/>
      <c r="C432" s="224"/>
    </row>
    <row r="433" ht="15.75" customHeight="1">
      <c r="A433" s="223"/>
      <c r="C433" s="224"/>
    </row>
    <row r="434" ht="15.75" customHeight="1">
      <c r="A434" s="223"/>
      <c r="C434" s="224"/>
    </row>
    <row r="435" ht="15.75" customHeight="1">
      <c r="A435" s="223"/>
      <c r="C435" s="224"/>
    </row>
    <row r="436" ht="15.75" customHeight="1">
      <c r="A436" s="223"/>
      <c r="C436" s="224"/>
    </row>
    <row r="437" ht="15.75" customHeight="1">
      <c r="A437" s="223"/>
      <c r="C437" s="224"/>
    </row>
    <row r="438" ht="15.75" customHeight="1">
      <c r="A438" s="223"/>
      <c r="C438" s="224"/>
    </row>
    <row r="439" ht="15.75" customHeight="1">
      <c r="A439" s="223"/>
      <c r="C439" s="224"/>
    </row>
    <row r="440" ht="15.75" customHeight="1">
      <c r="A440" s="223"/>
      <c r="C440" s="224"/>
    </row>
    <row r="441" ht="15.75" customHeight="1">
      <c r="A441" s="223"/>
      <c r="C441" s="224"/>
    </row>
    <row r="442" ht="15.75" customHeight="1">
      <c r="A442" s="223"/>
      <c r="C442" s="224"/>
    </row>
    <row r="443" ht="15.75" customHeight="1">
      <c r="A443" s="223"/>
      <c r="C443" s="224"/>
    </row>
    <row r="444" ht="15.75" customHeight="1">
      <c r="A444" s="223"/>
      <c r="C444" s="224"/>
    </row>
    <row r="445" ht="15.75" customHeight="1">
      <c r="A445" s="223"/>
      <c r="C445" s="224"/>
    </row>
    <row r="446" ht="15.75" customHeight="1">
      <c r="A446" s="223"/>
      <c r="C446" s="224"/>
    </row>
    <row r="447" ht="15.75" customHeight="1">
      <c r="A447" s="223"/>
      <c r="C447" s="224"/>
    </row>
    <row r="448" ht="15.75" customHeight="1">
      <c r="A448" s="223"/>
      <c r="C448" s="224"/>
    </row>
    <row r="449" ht="15.75" customHeight="1">
      <c r="A449" s="223"/>
      <c r="C449" s="224"/>
    </row>
    <row r="450" ht="15.75" customHeight="1">
      <c r="A450" s="223"/>
      <c r="C450" s="224"/>
    </row>
    <row r="451" ht="15.75" customHeight="1">
      <c r="A451" s="223"/>
      <c r="C451" s="224"/>
    </row>
    <row r="452" ht="15.75" customHeight="1">
      <c r="A452" s="223"/>
      <c r="C452" s="224"/>
    </row>
    <row r="453" ht="15.75" customHeight="1">
      <c r="A453" s="223"/>
      <c r="C453" s="224"/>
    </row>
    <row r="454" ht="15.75" customHeight="1">
      <c r="A454" s="223"/>
      <c r="C454" s="224"/>
    </row>
    <row r="455" ht="15.75" customHeight="1">
      <c r="A455" s="223"/>
      <c r="C455" s="224"/>
    </row>
    <row r="456" ht="15.75" customHeight="1">
      <c r="A456" s="223"/>
      <c r="C456" s="224"/>
    </row>
    <row r="457" ht="15.75" customHeight="1">
      <c r="A457" s="223"/>
      <c r="C457" s="224"/>
    </row>
    <row r="458" ht="15.75" customHeight="1">
      <c r="A458" s="223"/>
      <c r="C458" s="224"/>
    </row>
    <row r="459" ht="15.75" customHeight="1">
      <c r="A459" s="223"/>
      <c r="C459" s="224"/>
    </row>
    <row r="460" ht="15.75" customHeight="1">
      <c r="A460" s="223"/>
      <c r="C460" s="224"/>
    </row>
    <row r="461" ht="15.75" customHeight="1">
      <c r="A461" s="223"/>
      <c r="C461" s="224"/>
    </row>
    <row r="462" ht="15.75" customHeight="1">
      <c r="A462" s="223"/>
      <c r="C462" s="224"/>
    </row>
    <row r="463" ht="15.75" customHeight="1">
      <c r="A463" s="223"/>
      <c r="C463" s="224"/>
    </row>
    <row r="464" ht="15.75" customHeight="1">
      <c r="A464" s="223"/>
      <c r="C464" s="224"/>
    </row>
    <row r="465" ht="15.75" customHeight="1">
      <c r="A465" s="223"/>
      <c r="C465" s="224"/>
    </row>
    <row r="466" ht="15.75" customHeight="1">
      <c r="A466" s="223"/>
      <c r="C466" s="224"/>
    </row>
    <row r="467" ht="15.75" customHeight="1">
      <c r="A467" s="223"/>
      <c r="C467" s="224"/>
    </row>
    <row r="468" ht="15.75" customHeight="1">
      <c r="A468" s="223"/>
      <c r="C468" s="224"/>
    </row>
    <row r="469" ht="15.75" customHeight="1">
      <c r="A469" s="223"/>
      <c r="C469" s="224"/>
    </row>
    <row r="470" ht="15.75" customHeight="1">
      <c r="A470" s="223"/>
      <c r="C470" s="224"/>
    </row>
    <row r="471" ht="15.75" customHeight="1">
      <c r="A471" s="223"/>
      <c r="C471" s="224"/>
    </row>
    <row r="472" ht="15.75" customHeight="1">
      <c r="A472" s="223"/>
      <c r="C472" s="224"/>
    </row>
    <row r="473" ht="15.75" customHeight="1">
      <c r="A473" s="223"/>
      <c r="C473" s="224"/>
    </row>
    <row r="474" ht="15.75" customHeight="1">
      <c r="A474" s="223"/>
      <c r="C474" s="224"/>
    </row>
    <row r="475" ht="15.75" customHeight="1">
      <c r="A475" s="223"/>
      <c r="C475" s="224"/>
    </row>
    <row r="476" ht="15.75" customHeight="1">
      <c r="A476" s="223"/>
      <c r="C476" s="224"/>
    </row>
    <row r="477" ht="15.75" customHeight="1">
      <c r="A477" s="223"/>
      <c r="C477" s="224"/>
    </row>
    <row r="478" ht="15.75" customHeight="1">
      <c r="A478" s="223"/>
      <c r="C478" s="224"/>
    </row>
    <row r="479" ht="15.75" customHeight="1">
      <c r="A479" s="223"/>
      <c r="C479" s="224"/>
    </row>
    <row r="480" ht="15.75" customHeight="1">
      <c r="A480" s="223"/>
      <c r="C480" s="224"/>
    </row>
    <row r="481" ht="15.75" customHeight="1">
      <c r="A481" s="223"/>
      <c r="C481" s="224"/>
    </row>
    <row r="482" ht="15.75" customHeight="1">
      <c r="A482" s="223"/>
      <c r="C482" s="224"/>
    </row>
    <row r="483" ht="15.75" customHeight="1">
      <c r="A483" s="223"/>
      <c r="C483" s="224"/>
    </row>
    <row r="484" ht="15.75" customHeight="1">
      <c r="A484" s="223"/>
      <c r="C484" s="224"/>
    </row>
    <row r="485" ht="15.75" customHeight="1">
      <c r="A485" s="223"/>
      <c r="C485" s="224"/>
    </row>
    <row r="486" ht="15.75" customHeight="1">
      <c r="A486" s="223"/>
      <c r="C486" s="224"/>
    </row>
    <row r="487" ht="15.75" customHeight="1">
      <c r="A487" s="223"/>
      <c r="C487" s="224"/>
    </row>
    <row r="488" ht="15.75" customHeight="1">
      <c r="A488" s="223"/>
      <c r="C488" s="224"/>
    </row>
    <row r="489" ht="15.75" customHeight="1">
      <c r="A489" s="223"/>
      <c r="C489" s="224"/>
    </row>
    <row r="490" ht="15.75" customHeight="1">
      <c r="A490" s="223"/>
      <c r="C490" s="224"/>
    </row>
    <row r="491" ht="15.75" customHeight="1">
      <c r="A491" s="223"/>
      <c r="C491" s="224"/>
    </row>
    <row r="492" ht="15.75" customHeight="1">
      <c r="A492" s="223"/>
      <c r="C492" s="224"/>
    </row>
    <row r="493" ht="15.75" customHeight="1">
      <c r="A493" s="223"/>
      <c r="C493" s="224"/>
    </row>
    <row r="494" ht="15.75" customHeight="1">
      <c r="A494" s="223"/>
      <c r="C494" s="224"/>
    </row>
    <row r="495" ht="15.75" customHeight="1">
      <c r="A495" s="223"/>
      <c r="C495" s="224"/>
    </row>
    <row r="496" ht="15.75" customHeight="1">
      <c r="A496" s="223"/>
      <c r="C496" s="224"/>
    </row>
    <row r="497" ht="15.75" customHeight="1">
      <c r="A497" s="223"/>
      <c r="C497" s="224"/>
    </row>
    <row r="498" ht="15.75" customHeight="1">
      <c r="A498" s="223"/>
      <c r="C498" s="224"/>
    </row>
    <row r="499" ht="15.75" customHeight="1">
      <c r="A499" s="223"/>
      <c r="C499" s="224"/>
    </row>
    <row r="500" ht="15.75" customHeight="1">
      <c r="A500" s="223"/>
      <c r="C500" s="224"/>
    </row>
    <row r="501" ht="15.75" customHeight="1">
      <c r="A501" s="223"/>
      <c r="C501" s="224"/>
    </row>
    <row r="502" ht="15.75" customHeight="1">
      <c r="A502" s="223"/>
      <c r="C502" s="224"/>
    </row>
    <row r="503" ht="15.75" customHeight="1">
      <c r="A503" s="223"/>
      <c r="C503" s="224"/>
    </row>
    <row r="504" ht="15.75" customHeight="1">
      <c r="A504" s="223"/>
      <c r="C504" s="224"/>
    </row>
    <row r="505" ht="15.75" customHeight="1">
      <c r="A505" s="223"/>
      <c r="C505" s="224"/>
    </row>
    <row r="506" ht="15.75" customHeight="1">
      <c r="A506" s="223"/>
      <c r="C506" s="224"/>
    </row>
    <row r="507" ht="15.75" customHeight="1">
      <c r="A507" s="223"/>
      <c r="C507" s="224"/>
    </row>
    <row r="508" ht="15.75" customHeight="1">
      <c r="A508" s="223"/>
      <c r="C508" s="224"/>
    </row>
    <row r="509" ht="15.75" customHeight="1">
      <c r="A509" s="223"/>
      <c r="C509" s="224"/>
    </row>
    <row r="510" ht="15.75" customHeight="1">
      <c r="A510" s="223"/>
      <c r="C510" s="224"/>
    </row>
    <row r="511" ht="15.75" customHeight="1">
      <c r="A511" s="223"/>
      <c r="C511" s="224"/>
    </row>
    <row r="512" ht="15.75" customHeight="1">
      <c r="A512" s="223"/>
      <c r="C512" s="224"/>
    </row>
    <row r="513" ht="15.75" customHeight="1">
      <c r="A513" s="223"/>
      <c r="C513" s="224"/>
    </row>
    <row r="514" ht="15.75" customHeight="1">
      <c r="A514" s="223"/>
      <c r="C514" s="224"/>
    </row>
    <row r="515" ht="15.75" customHeight="1">
      <c r="A515" s="223"/>
      <c r="C515" s="224"/>
    </row>
    <row r="516" ht="15.75" customHeight="1">
      <c r="A516" s="223"/>
      <c r="C516" s="224"/>
    </row>
    <row r="517" ht="15.75" customHeight="1">
      <c r="A517" s="223"/>
      <c r="C517" s="224"/>
    </row>
    <row r="518" ht="15.75" customHeight="1">
      <c r="A518" s="223"/>
      <c r="C518" s="224"/>
    </row>
    <row r="519" ht="15.75" customHeight="1">
      <c r="A519" s="223"/>
      <c r="C519" s="224"/>
    </row>
    <row r="520" ht="15.75" customHeight="1">
      <c r="A520" s="223"/>
      <c r="C520" s="224"/>
    </row>
    <row r="521" ht="15.75" customHeight="1">
      <c r="A521" s="223"/>
      <c r="C521" s="224"/>
    </row>
    <row r="522" ht="15.75" customHeight="1">
      <c r="A522" s="223"/>
      <c r="C522" s="224"/>
    </row>
    <row r="523" ht="15.75" customHeight="1">
      <c r="A523" s="223"/>
      <c r="C523" s="224"/>
    </row>
    <row r="524" ht="15.75" customHeight="1">
      <c r="A524" s="223"/>
      <c r="C524" s="224"/>
    </row>
    <row r="525" ht="15.75" customHeight="1">
      <c r="A525" s="223"/>
      <c r="C525" s="224"/>
    </row>
    <row r="526" ht="15.75" customHeight="1">
      <c r="A526" s="223"/>
      <c r="C526" s="224"/>
    </row>
    <row r="527" ht="15.75" customHeight="1">
      <c r="A527" s="223"/>
      <c r="C527" s="224"/>
    </row>
    <row r="528" ht="15.75" customHeight="1">
      <c r="A528" s="223"/>
      <c r="C528" s="224"/>
    </row>
    <row r="529" ht="15.75" customHeight="1">
      <c r="A529" s="223"/>
      <c r="C529" s="224"/>
    </row>
    <row r="530" ht="15.75" customHeight="1">
      <c r="A530" s="223"/>
      <c r="C530" s="224"/>
    </row>
    <row r="531" ht="15.75" customHeight="1">
      <c r="A531" s="223"/>
      <c r="C531" s="224"/>
    </row>
    <row r="532" ht="15.75" customHeight="1">
      <c r="A532" s="223"/>
      <c r="C532" s="224"/>
    </row>
    <row r="533" ht="15.75" customHeight="1">
      <c r="A533" s="223"/>
      <c r="C533" s="224"/>
    </row>
    <row r="534" ht="15.75" customHeight="1">
      <c r="A534" s="223"/>
      <c r="C534" s="224"/>
    </row>
    <row r="535" ht="15.75" customHeight="1">
      <c r="A535" s="223"/>
      <c r="C535" s="224"/>
    </row>
    <row r="536" ht="15.75" customHeight="1">
      <c r="A536" s="223"/>
      <c r="C536" s="224"/>
    </row>
    <row r="537" ht="15.75" customHeight="1">
      <c r="A537" s="223"/>
      <c r="C537" s="224"/>
    </row>
    <row r="538" ht="15.75" customHeight="1">
      <c r="A538" s="223"/>
      <c r="C538" s="224"/>
    </row>
    <row r="539" ht="15.75" customHeight="1">
      <c r="A539" s="223"/>
      <c r="C539" s="224"/>
    </row>
    <row r="540" ht="15.75" customHeight="1">
      <c r="A540" s="223"/>
      <c r="C540" s="224"/>
    </row>
    <row r="541" ht="15.75" customHeight="1">
      <c r="A541" s="223"/>
      <c r="C541" s="224"/>
    </row>
    <row r="542" ht="15.75" customHeight="1">
      <c r="A542" s="223"/>
      <c r="C542" s="224"/>
    </row>
    <row r="543" ht="15.75" customHeight="1">
      <c r="A543" s="223"/>
      <c r="C543" s="224"/>
    </row>
    <row r="544" ht="15.75" customHeight="1">
      <c r="A544" s="223"/>
      <c r="C544" s="224"/>
    </row>
    <row r="545" ht="15.75" customHeight="1">
      <c r="A545" s="223"/>
      <c r="C545" s="224"/>
    </row>
    <row r="546" ht="15.75" customHeight="1">
      <c r="A546" s="223"/>
      <c r="C546" s="224"/>
    </row>
    <row r="547" ht="15.75" customHeight="1">
      <c r="A547" s="223"/>
      <c r="C547" s="224"/>
    </row>
    <row r="548" ht="15.75" customHeight="1">
      <c r="A548" s="223"/>
      <c r="C548" s="224"/>
    </row>
    <row r="549" ht="15.75" customHeight="1">
      <c r="A549" s="223"/>
      <c r="C549" s="224"/>
    </row>
    <row r="550" ht="15.75" customHeight="1">
      <c r="A550" s="223"/>
      <c r="C550" s="224"/>
    </row>
    <row r="551" ht="15.75" customHeight="1">
      <c r="A551" s="223"/>
      <c r="C551" s="224"/>
    </row>
    <row r="552" ht="15.75" customHeight="1">
      <c r="A552" s="223"/>
      <c r="C552" s="224"/>
    </row>
    <row r="553" ht="15.75" customHeight="1">
      <c r="A553" s="223"/>
      <c r="C553" s="224"/>
    </row>
    <row r="554" ht="15.75" customHeight="1">
      <c r="A554" s="223"/>
      <c r="C554" s="224"/>
    </row>
    <row r="555" ht="15.75" customHeight="1">
      <c r="A555" s="223"/>
      <c r="C555" s="224"/>
    </row>
    <row r="556" ht="15.75" customHeight="1">
      <c r="A556" s="223"/>
      <c r="C556" s="224"/>
    </row>
    <row r="557" ht="15.75" customHeight="1">
      <c r="A557" s="223"/>
      <c r="C557" s="224"/>
    </row>
    <row r="558" ht="15.75" customHeight="1">
      <c r="A558" s="223"/>
      <c r="C558" s="224"/>
    </row>
    <row r="559" ht="15.75" customHeight="1">
      <c r="A559" s="223"/>
      <c r="C559" s="224"/>
    </row>
    <row r="560" ht="15.75" customHeight="1">
      <c r="A560" s="223"/>
      <c r="C560" s="224"/>
    </row>
    <row r="561" ht="15.75" customHeight="1">
      <c r="A561" s="223"/>
      <c r="C561" s="224"/>
    </row>
    <row r="562" ht="15.75" customHeight="1">
      <c r="A562" s="223"/>
      <c r="C562" s="224"/>
    </row>
    <row r="563" ht="15.75" customHeight="1">
      <c r="A563" s="223"/>
      <c r="C563" s="224"/>
    </row>
    <row r="564" ht="15.75" customHeight="1">
      <c r="A564" s="223"/>
      <c r="C564" s="224"/>
    </row>
    <row r="565" ht="15.75" customHeight="1">
      <c r="A565" s="223"/>
      <c r="C565" s="224"/>
    </row>
    <row r="566" ht="15.75" customHeight="1">
      <c r="A566" s="223"/>
      <c r="C566" s="224"/>
    </row>
    <row r="567" ht="15.75" customHeight="1">
      <c r="A567" s="223"/>
      <c r="C567" s="224"/>
    </row>
    <row r="568" ht="15.75" customHeight="1">
      <c r="A568" s="223"/>
      <c r="C568" s="224"/>
    </row>
    <row r="569" ht="15.75" customHeight="1">
      <c r="A569" s="223"/>
      <c r="C569" s="224"/>
    </row>
    <row r="570" ht="15.75" customHeight="1">
      <c r="A570" s="223"/>
      <c r="C570" s="224"/>
    </row>
    <row r="571" ht="15.75" customHeight="1">
      <c r="A571" s="223"/>
      <c r="C571" s="224"/>
    </row>
    <row r="572" ht="15.75" customHeight="1">
      <c r="A572" s="223"/>
      <c r="C572" s="224"/>
    </row>
    <row r="573" ht="15.75" customHeight="1">
      <c r="A573" s="223"/>
      <c r="C573" s="224"/>
    </row>
    <row r="574" ht="15.75" customHeight="1">
      <c r="A574" s="223"/>
      <c r="C574" s="224"/>
    </row>
    <row r="575" ht="15.75" customHeight="1">
      <c r="A575" s="223"/>
      <c r="C575" s="224"/>
    </row>
    <row r="576" ht="15.75" customHeight="1">
      <c r="A576" s="223"/>
      <c r="C576" s="224"/>
    </row>
    <row r="577" ht="15.75" customHeight="1">
      <c r="A577" s="223"/>
      <c r="C577" s="224"/>
    </row>
    <row r="578" ht="15.75" customHeight="1">
      <c r="A578" s="223"/>
      <c r="C578" s="224"/>
    </row>
    <row r="579" ht="15.75" customHeight="1">
      <c r="A579" s="223"/>
      <c r="C579" s="224"/>
    </row>
    <row r="580" ht="15.75" customHeight="1">
      <c r="A580" s="223"/>
      <c r="C580" s="224"/>
    </row>
    <row r="581" ht="15.75" customHeight="1">
      <c r="A581" s="223"/>
      <c r="C581" s="224"/>
    </row>
    <row r="582" ht="15.75" customHeight="1">
      <c r="A582" s="223"/>
      <c r="C582" s="224"/>
    </row>
    <row r="583" ht="15.75" customHeight="1">
      <c r="A583" s="223"/>
      <c r="C583" s="224"/>
    </row>
    <row r="584" ht="15.75" customHeight="1">
      <c r="A584" s="223"/>
      <c r="C584" s="224"/>
    </row>
    <row r="585" ht="15.75" customHeight="1">
      <c r="A585" s="223"/>
      <c r="C585" s="224"/>
    </row>
    <row r="586" ht="15.75" customHeight="1">
      <c r="A586" s="223"/>
      <c r="C586" s="224"/>
    </row>
    <row r="587" ht="15.75" customHeight="1">
      <c r="A587" s="223"/>
      <c r="C587" s="224"/>
    </row>
    <row r="588" ht="15.75" customHeight="1">
      <c r="A588" s="223"/>
      <c r="C588" s="224"/>
    </row>
    <row r="589" ht="15.75" customHeight="1">
      <c r="A589" s="223"/>
      <c r="C589" s="224"/>
    </row>
    <row r="590" ht="15.75" customHeight="1">
      <c r="A590" s="223"/>
      <c r="C590" s="224"/>
    </row>
    <row r="591" ht="15.75" customHeight="1">
      <c r="A591" s="223"/>
      <c r="C591" s="224"/>
    </row>
    <row r="592" ht="15.75" customHeight="1">
      <c r="A592" s="223"/>
      <c r="C592" s="224"/>
    </row>
    <row r="593" ht="15.75" customHeight="1">
      <c r="A593" s="223"/>
      <c r="C593" s="224"/>
    </row>
    <row r="594" ht="15.75" customHeight="1">
      <c r="A594" s="223"/>
      <c r="C594" s="224"/>
    </row>
    <row r="595" ht="15.75" customHeight="1">
      <c r="A595" s="223"/>
      <c r="C595" s="224"/>
    </row>
    <row r="596" ht="15.75" customHeight="1">
      <c r="A596" s="223"/>
      <c r="C596" s="224"/>
    </row>
    <row r="597" ht="15.75" customHeight="1">
      <c r="A597" s="223"/>
      <c r="C597" s="224"/>
    </row>
    <row r="598" ht="15.75" customHeight="1">
      <c r="A598" s="223"/>
      <c r="C598" s="224"/>
    </row>
    <row r="599" ht="15.75" customHeight="1">
      <c r="A599" s="223"/>
      <c r="C599" s="224"/>
    </row>
    <row r="600" ht="15.75" customHeight="1">
      <c r="A600" s="223"/>
      <c r="C600" s="224"/>
    </row>
    <row r="601" ht="15.75" customHeight="1">
      <c r="A601" s="223"/>
      <c r="C601" s="224"/>
    </row>
    <row r="602" ht="15.75" customHeight="1">
      <c r="A602" s="223"/>
      <c r="C602" s="224"/>
    </row>
    <row r="603" ht="15.75" customHeight="1">
      <c r="A603" s="223"/>
      <c r="C603" s="224"/>
    </row>
    <row r="604" ht="15.75" customHeight="1">
      <c r="A604" s="223"/>
      <c r="C604" s="224"/>
    </row>
    <row r="605" ht="15.75" customHeight="1">
      <c r="A605" s="223"/>
      <c r="C605" s="224"/>
    </row>
    <row r="606" ht="15.75" customHeight="1">
      <c r="A606" s="223"/>
      <c r="C606" s="224"/>
    </row>
    <row r="607" ht="15.75" customHeight="1">
      <c r="A607" s="223"/>
      <c r="C607" s="224"/>
    </row>
    <row r="608" ht="15.75" customHeight="1">
      <c r="A608" s="223"/>
      <c r="C608" s="224"/>
    </row>
    <row r="609" ht="15.75" customHeight="1">
      <c r="A609" s="223"/>
      <c r="C609" s="224"/>
    </row>
    <row r="610" ht="15.75" customHeight="1">
      <c r="A610" s="223"/>
      <c r="C610" s="224"/>
    </row>
    <row r="611" ht="15.75" customHeight="1">
      <c r="A611" s="223"/>
      <c r="C611" s="224"/>
    </row>
    <row r="612" ht="15.75" customHeight="1">
      <c r="A612" s="223"/>
      <c r="C612" s="224"/>
    </row>
    <row r="613" ht="15.75" customHeight="1">
      <c r="A613" s="223"/>
      <c r="C613" s="224"/>
    </row>
    <row r="614" ht="15.75" customHeight="1">
      <c r="A614" s="223"/>
      <c r="C614" s="224"/>
    </row>
    <row r="615" ht="15.75" customHeight="1">
      <c r="A615" s="223"/>
      <c r="C615" s="224"/>
    </row>
    <row r="616" ht="15.75" customHeight="1">
      <c r="A616" s="223"/>
      <c r="C616" s="224"/>
    </row>
    <row r="617" ht="15.75" customHeight="1">
      <c r="A617" s="223"/>
      <c r="C617" s="224"/>
    </row>
    <row r="618" ht="15.75" customHeight="1">
      <c r="A618" s="223"/>
      <c r="C618" s="224"/>
    </row>
    <row r="619" ht="15.75" customHeight="1">
      <c r="A619" s="223"/>
      <c r="C619" s="224"/>
    </row>
    <row r="620" ht="15.75" customHeight="1">
      <c r="A620" s="223"/>
      <c r="C620" s="224"/>
    </row>
    <row r="621" ht="15.75" customHeight="1">
      <c r="A621" s="223"/>
      <c r="C621" s="224"/>
    </row>
    <row r="622" ht="15.75" customHeight="1">
      <c r="A622" s="223"/>
      <c r="C622" s="224"/>
    </row>
    <row r="623" ht="15.75" customHeight="1">
      <c r="A623" s="223"/>
      <c r="C623" s="224"/>
    </row>
    <row r="624" ht="15.75" customHeight="1">
      <c r="A624" s="223"/>
      <c r="C624" s="224"/>
    </row>
    <row r="625" ht="15.75" customHeight="1">
      <c r="A625" s="223"/>
      <c r="C625" s="224"/>
    </row>
    <row r="626" ht="15.75" customHeight="1">
      <c r="A626" s="223"/>
      <c r="C626" s="224"/>
    </row>
    <row r="627" ht="15.75" customHeight="1">
      <c r="A627" s="223"/>
      <c r="C627" s="224"/>
    </row>
    <row r="628" ht="15.75" customHeight="1">
      <c r="A628" s="223"/>
      <c r="C628" s="224"/>
    </row>
    <row r="629" ht="15.75" customHeight="1">
      <c r="A629" s="223"/>
      <c r="C629" s="224"/>
    </row>
    <row r="630" ht="15.75" customHeight="1">
      <c r="A630" s="223"/>
      <c r="C630" s="224"/>
    </row>
    <row r="631" ht="15.75" customHeight="1">
      <c r="A631" s="223"/>
      <c r="C631" s="224"/>
    </row>
    <row r="632" ht="15.75" customHeight="1">
      <c r="A632" s="223"/>
      <c r="C632" s="224"/>
    </row>
    <row r="633" ht="15.75" customHeight="1">
      <c r="A633" s="223"/>
      <c r="C633" s="224"/>
    </row>
    <row r="634" ht="15.75" customHeight="1">
      <c r="A634" s="223"/>
      <c r="C634" s="224"/>
    </row>
    <row r="635" ht="15.75" customHeight="1">
      <c r="A635" s="223"/>
      <c r="C635" s="224"/>
    </row>
    <row r="636" ht="15.75" customHeight="1">
      <c r="A636" s="223"/>
      <c r="C636" s="224"/>
    </row>
    <row r="637" ht="15.75" customHeight="1">
      <c r="A637" s="223"/>
      <c r="C637" s="224"/>
    </row>
    <row r="638" ht="15.75" customHeight="1">
      <c r="A638" s="223"/>
      <c r="C638" s="224"/>
    </row>
    <row r="639" ht="15.75" customHeight="1">
      <c r="A639" s="223"/>
      <c r="C639" s="224"/>
    </row>
    <row r="640" ht="15.75" customHeight="1">
      <c r="A640" s="223"/>
      <c r="C640" s="224"/>
    </row>
    <row r="641" ht="15.75" customHeight="1">
      <c r="A641" s="223"/>
      <c r="C641" s="224"/>
    </row>
    <row r="642" ht="15.75" customHeight="1">
      <c r="A642" s="223"/>
      <c r="C642" s="224"/>
    </row>
    <row r="643" ht="15.75" customHeight="1">
      <c r="A643" s="223"/>
      <c r="C643" s="224"/>
    </row>
    <row r="644" ht="15.75" customHeight="1">
      <c r="A644" s="223"/>
      <c r="C644" s="224"/>
    </row>
    <row r="645" ht="15.75" customHeight="1">
      <c r="A645" s="223"/>
      <c r="C645" s="224"/>
    </row>
    <row r="646" ht="15.75" customHeight="1">
      <c r="A646" s="223"/>
      <c r="C646" s="224"/>
    </row>
    <row r="647" ht="15.75" customHeight="1">
      <c r="A647" s="223"/>
      <c r="C647" s="224"/>
    </row>
    <row r="648" ht="15.75" customHeight="1">
      <c r="A648" s="223"/>
      <c r="C648" s="224"/>
    </row>
    <row r="649" ht="15.75" customHeight="1">
      <c r="A649" s="223"/>
      <c r="C649" s="224"/>
    </row>
    <row r="650" ht="15.75" customHeight="1">
      <c r="A650" s="223"/>
      <c r="C650" s="224"/>
    </row>
    <row r="651" ht="15.75" customHeight="1">
      <c r="A651" s="223"/>
      <c r="C651" s="224"/>
    </row>
    <row r="652" ht="15.75" customHeight="1">
      <c r="A652" s="223"/>
      <c r="C652" s="224"/>
    </row>
    <row r="653" ht="15.75" customHeight="1">
      <c r="A653" s="223"/>
      <c r="C653" s="224"/>
    </row>
    <row r="654" ht="15.75" customHeight="1">
      <c r="A654" s="223"/>
      <c r="C654" s="224"/>
    </row>
    <row r="655" ht="15.75" customHeight="1">
      <c r="A655" s="223"/>
      <c r="C655" s="224"/>
    </row>
    <row r="656" ht="15.75" customHeight="1">
      <c r="A656" s="223"/>
      <c r="C656" s="224"/>
    </row>
    <row r="657" ht="15.75" customHeight="1">
      <c r="A657" s="223"/>
      <c r="C657" s="224"/>
    </row>
    <row r="658" ht="15.75" customHeight="1">
      <c r="A658" s="223"/>
      <c r="C658" s="224"/>
    </row>
    <row r="659" ht="15.75" customHeight="1">
      <c r="A659" s="223"/>
      <c r="C659" s="224"/>
    </row>
    <row r="660" ht="15.75" customHeight="1">
      <c r="A660" s="223"/>
      <c r="C660" s="224"/>
    </row>
    <row r="661" ht="15.75" customHeight="1">
      <c r="A661" s="223"/>
      <c r="C661" s="224"/>
    </row>
    <row r="662" ht="15.75" customHeight="1">
      <c r="A662" s="223"/>
      <c r="C662" s="224"/>
    </row>
    <row r="663" ht="15.75" customHeight="1">
      <c r="A663" s="223"/>
      <c r="C663" s="224"/>
    </row>
    <row r="664" ht="15.75" customHeight="1">
      <c r="A664" s="223"/>
      <c r="C664" s="224"/>
    </row>
    <row r="665" ht="15.75" customHeight="1">
      <c r="A665" s="223"/>
      <c r="C665" s="224"/>
    </row>
    <row r="666" ht="15.75" customHeight="1">
      <c r="A666" s="223"/>
      <c r="C666" s="224"/>
    </row>
    <row r="667" ht="15.75" customHeight="1">
      <c r="A667" s="223"/>
      <c r="C667" s="224"/>
    </row>
    <row r="668" ht="15.75" customHeight="1">
      <c r="A668" s="223"/>
      <c r="C668" s="224"/>
    </row>
    <row r="669" ht="15.75" customHeight="1">
      <c r="A669" s="223"/>
      <c r="C669" s="224"/>
    </row>
    <row r="670" ht="15.75" customHeight="1">
      <c r="A670" s="223"/>
      <c r="C670" s="224"/>
    </row>
    <row r="671" ht="15.75" customHeight="1">
      <c r="A671" s="223"/>
      <c r="C671" s="224"/>
    </row>
    <row r="672" ht="15.75" customHeight="1">
      <c r="A672" s="223"/>
      <c r="C672" s="224"/>
    </row>
    <row r="673" ht="15.75" customHeight="1">
      <c r="A673" s="223"/>
      <c r="C673" s="224"/>
    </row>
    <row r="674" ht="15.75" customHeight="1">
      <c r="A674" s="223"/>
      <c r="C674" s="224"/>
    </row>
    <row r="675" ht="15.75" customHeight="1">
      <c r="A675" s="223"/>
      <c r="C675" s="224"/>
    </row>
    <row r="676" ht="15.75" customHeight="1">
      <c r="A676" s="223"/>
      <c r="C676" s="224"/>
    </row>
    <row r="677" ht="15.75" customHeight="1">
      <c r="A677" s="223"/>
      <c r="C677" s="224"/>
    </row>
    <row r="678" ht="15.75" customHeight="1">
      <c r="A678" s="223"/>
      <c r="C678" s="224"/>
    </row>
    <row r="679" ht="15.75" customHeight="1">
      <c r="A679" s="223"/>
      <c r="C679" s="224"/>
    </row>
    <row r="680" ht="15.75" customHeight="1">
      <c r="A680" s="223"/>
      <c r="C680" s="224"/>
    </row>
    <row r="681" ht="15.75" customHeight="1">
      <c r="A681" s="223"/>
      <c r="C681" s="224"/>
    </row>
    <row r="682" ht="15.75" customHeight="1">
      <c r="A682" s="223"/>
      <c r="C682" s="224"/>
    </row>
    <row r="683" ht="15.75" customHeight="1">
      <c r="A683" s="223"/>
      <c r="C683" s="224"/>
    </row>
    <row r="684" ht="15.75" customHeight="1">
      <c r="A684" s="223"/>
      <c r="C684" s="224"/>
    </row>
    <row r="685" ht="15.75" customHeight="1">
      <c r="A685" s="223"/>
      <c r="C685" s="224"/>
    </row>
    <row r="686" ht="15.75" customHeight="1">
      <c r="A686" s="223"/>
      <c r="C686" s="224"/>
    </row>
    <row r="687" ht="15.75" customHeight="1">
      <c r="A687" s="223"/>
      <c r="C687" s="224"/>
    </row>
    <row r="688" ht="15.75" customHeight="1">
      <c r="A688" s="223"/>
      <c r="C688" s="224"/>
    </row>
    <row r="689" ht="15.75" customHeight="1">
      <c r="A689" s="223"/>
      <c r="C689" s="224"/>
    </row>
    <row r="690" ht="15.75" customHeight="1">
      <c r="A690" s="223"/>
      <c r="C690" s="224"/>
    </row>
    <row r="691" ht="15.75" customHeight="1">
      <c r="A691" s="223"/>
      <c r="C691" s="224"/>
    </row>
    <row r="692" ht="15.75" customHeight="1">
      <c r="A692" s="223"/>
      <c r="C692" s="224"/>
    </row>
    <row r="693" ht="15.75" customHeight="1">
      <c r="A693" s="223"/>
      <c r="C693" s="224"/>
    </row>
    <row r="694" ht="15.75" customHeight="1">
      <c r="A694" s="223"/>
      <c r="C694" s="224"/>
    </row>
    <row r="695" ht="15.75" customHeight="1">
      <c r="A695" s="223"/>
      <c r="C695" s="224"/>
    </row>
    <row r="696" ht="15.75" customHeight="1">
      <c r="A696" s="223"/>
      <c r="C696" s="224"/>
    </row>
    <row r="697" ht="15.75" customHeight="1">
      <c r="A697" s="223"/>
      <c r="C697" s="224"/>
    </row>
    <row r="698" ht="15.75" customHeight="1">
      <c r="A698" s="223"/>
      <c r="C698" s="224"/>
    </row>
    <row r="699" ht="15.75" customHeight="1">
      <c r="A699" s="223"/>
      <c r="C699" s="224"/>
    </row>
    <row r="700" ht="15.75" customHeight="1">
      <c r="A700" s="223"/>
      <c r="C700" s="224"/>
    </row>
    <row r="701" ht="15.75" customHeight="1">
      <c r="A701" s="223"/>
      <c r="C701" s="224"/>
    </row>
    <row r="702" ht="15.75" customHeight="1">
      <c r="A702" s="223"/>
      <c r="C702" s="224"/>
    </row>
    <row r="703" ht="15.75" customHeight="1">
      <c r="A703" s="223"/>
      <c r="C703" s="224"/>
    </row>
    <row r="704" ht="15.75" customHeight="1">
      <c r="A704" s="223"/>
      <c r="C704" s="224"/>
    </row>
    <row r="705" ht="15.75" customHeight="1">
      <c r="A705" s="223"/>
      <c r="C705" s="224"/>
    </row>
    <row r="706" ht="15.75" customHeight="1">
      <c r="A706" s="223"/>
      <c r="C706" s="224"/>
    </row>
    <row r="707" ht="15.75" customHeight="1">
      <c r="A707" s="223"/>
      <c r="C707" s="224"/>
    </row>
    <row r="708" ht="15.75" customHeight="1">
      <c r="A708" s="223"/>
      <c r="C708" s="224"/>
    </row>
    <row r="709" ht="15.75" customHeight="1">
      <c r="A709" s="223"/>
      <c r="C709" s="224"/>
    </row>
    <row r="710" ht="15.75" customHeight="1">
      <c r="A710" s="223"/>
      <c r="C710" s="224"/>
    </row>
    <row r="711" ht="15.75" customHeight="1">
      <c r="A711" s="223"/>
      <c r="C711" s="224"/>
    </row>
    <row r="712" ht="15.75" customHeight="1">
      <c r="A712" s="223"/>
      <c r="C712" s="224"/>
    </row>
    <row r="713" ht="15.75" customHeight="1">
      <c r="A713" s="223"/>
      <c r="C713" s="224"/>
    </row>
    <row r="714" ht="15.75" customHeight="1">
      <c r="A714" s="223"/>
      <c r="C714" s="224"/>
    </row>
    <row r="715" ht="15.75" customHeight="1">
      <c r="A715" s="223"/>
      <c r="C715" s="224"/>
    </row>
    <row r="716" ht="15.75" customHeight="1">
      <c r="A716" s="223"/>
      <c r="C716" s="224"/>
    </row>
    <row r="717" ht="15.75" customHeight="1">
      <c r="A717" s="223"/>
      <c r="C717" s="224"/>
    </row>
    <row r="718" ht="15.75" customHeight="1">
      <c r="A718" s="223"/>
      <c r="C718" s="224"/>
    </row>
    <row r="719" ht="15.75" customHeight="1">
      <c r="A719" s="223"/>
      <c r="C719" s="224"/>
    </row>
    <row r="720" ht="15.75" customHeight="1">
      <c r="A720" s="223"/>
      <c r="C720" s="224"/>
    </row>
    <row r="721" ht="15.75" customHeight="1">
      <c r="A721" s="223"/>
      <c r="C721" s="224"/>
    </row>
    <row r="722" ht="15.75" customHeight="1">
      <c r="A722" s="223"/>
      <c r="C722" s="224"/>
    </row>
    <row r="723" ht="15.75" customHeight="1">
      <c r="A723" s="223"/>
      <c r="C723" s="224"/>
    </row>
    <row r="724" ht="15.75" customHeight="1">
      <c r="A724" s="223"/>
      <c r="C724" s="224"/>
    </row>
    <row r="725" ht="15.75" customHeight="1">
      <c r="A725" s="223"/>
      <c r="C725" s="224"/>
    </row>
    <row r="726" ht="15.75" customHeight="1">
      <c r="A726" s="223"/>
      <c r="C726" s="224"/>
    </row>
    <row r="727" ht="15.75" customHeight="1">
      <c r="A727" s="223"/>
      <c r="C727" s="224"/>
    </row>
    <row r="728" ht="15.75" customHeight="1">
      <c r="A728" s="223"/>
      <c r="C728" s="224"/>
    </row>
    <row r="729" ht="15.75" customHeight="1">
      <c r="A729" s="223"/>
      <c r="C729" s="224"/>
    </row>
    <row r="730" ht="15.75" customHeight="1">
      <c r="A730" s="223"/>
      <c r="C730" s="224"/>
    </row>
    <row r="731" ht="15.75" customHeight="1">
      <c r="A731" s="223"/>
      <c r="C731" s="224"/>
    </row>
    <row r="732" ht="15.75" customHeight="1">
      <c r="A732" s="223"/>
      <c r="C732" s="224"/>
    </row>
    <row r="733" ht="15.75" customHeight="1">
      <c r="A733" s="223"/>
      <c r="C733" s="224"/>
    </row>
    <row r="734" ht="15.75" customHeight="1">
      <c r="A734" s="223"/>
      <c r="C734" s="224"/>
    </row>
    <row r="735" ht="15.75" customHeight="1">
      <c r="A735" s="223"/>
      <c r="C735" s="224"/>
    </row>
    <row r="736" ht="15.75" customHeight="1">
      <c r="A736" s="223"/>
      <c r="C736" s="224"/>
    </row>
    <row r="737" ht="15.75" customHeight="1">
      <c r="A737" s="223"/>
      <c r="C737" s="224"/>
    </row>
    <row r="738" ht="15.75" customHeight="1">
      <c r="A738" s="223"/>
      <c r="C738" s="224"/>
    </row>
    <row r="739" ht="15.75" customHeight="1">
      <c r="A739" s="223"/>
      <c r="C739" s="224"/>
    </row>
    <row r="740" ht="15.75" customHeight="1">
      <c r="A740" s="223"/>
      <c r="C740" s="224"/>
    </row>
    <row r="741" ht="15.75" customHeight="1">
      <c r="A741" s="223"/>
      <c r="C741" s="224"/>
    </row>
    <row r="742" ht="15.75" customHeight="1">
      <c r="A742" s="223"/>
      <c r="C742" s="224"/>
    </row>
    <row r="743" ht="15.75" customHeight="1">
      <c r="A743" s="223"/>
      <c r="C743" s="224"/>
    </row>
    <row r="744" ht="15.75" customHeight="1">
      <c r="A744" s="223"/>
      <c r="C744" s="224"/>
    </row>
    <row r="745" ht="15.75" customHeight="1">
      <c r="A745" s="223"/>
      <c r="C745" s="224"/>
    </row>
    <row r="746" ht="15.75" customHeight="1">
      <c r="A746" s="223"/>
      <c r="C746" s="224"/>
    </row>
    <row r="747" ht="15.75" customHeight="1">
      <c r="A747" s="223"/>
      <c r="C747" s="224"/>
    </row>
    <row r="748" ht="15.75" customHeight="1">
      <c r="A748" s="223"/>
      <c r="C748" s="224"/>
    </row>
    <row r="749" ht="15.75" customHeight="1">
      <c r="A749" s="223"/>
      <c r="C749" s="224"/>
    </row>
    <row r="750" ht="15.75" customHeight="1">
      <c r="A750" s="223"/>
      <c r="C750" s="224"/>
    </row>
    <row r="751" ht="15.75" customHeight="1">
      <c r="A751" s="223"/>
      <c r="C751" s="224"/>
    </row>
    <row r="752" ht="15.75" customHeight="1">
      <c r="A752" s="223"/>
      <c r="C752" s="224"/>
    </row>
    <row r="753" ht="15.75" customHeight="1">
      <c r="A753" s="223"/>
      <c r="C753" s="224"/>
    </row>
    <row r="754" ht="15.75" customHeight="1">
      <c r="A754" s="223"/>
      <c r="C754" s="224"/>
    </row>
    <row r="755" ht="15.75" customHeight="1">
      <c r="A755" s="223"/>
      <c r="C755" s="224"/>
    </row>
    <row r="756" ht="15.75" customHeight="1">
      <c r="A756" s="223"/>
      <c r="C756" s="224"/>
    </row>
    <row r="757" ht="15.75" customHeight="1">
      <c r="A757" s="223"/>
      <c r="C757" s="224"/>
    </row>
    <row r="758" ht="15.75" customHeight="1">
      <c r="A758" s="223"/>
      <c r="C758" s="224"/>
    </row>
    <row r="759" ht="15.75" customHeight="1">
      <c r="A759" s="223"/>
      <c r="C759" s="224"/>
    </row>
    <row r="760" ht="15.75" customHeight="1">
      <c r="A760" s="223"/>
      <c r="C760" s="224"/>
    </row>
    <row r="761" ht="15.75" customHeight="1">
      <c r="A761" s="223"/>
      <c r="C761" s="224"/>
    </row>
    <row r="762" ht="15.75" customHeight="1">
      <c r="A762" s="223"/>
      <c r="C762" s="224"/>
    </row>
    <row r="763" ht="15.75" customHeight="1">
      <c r="A763" s="223"/>
      <c r="C763" s="224"/>
    </row>
    <row r="764" ht="15.75" customHeight="1">
      <c r="A764" s="223"/>
      <c r="C764" s="224"/>
    </row>
    <row r="765" ht="15.75" customHeight="1">
      <c r="A765" s="223"/>
      <c r="C765" s="224"/>
    </row>
    <row r="766" ht="15.75" customHeight="1">
      <c r="A766" s="223"/>
      <c r="C766" s="224"/>
    </row>
    <row r="767" ht="15.75" customHeight="1">
      <c r="A767" s="223"/>
      <c r="C767" s="224"/>
    </row>
    <row r="768" ht="15.75" customHeight="1">
      <c r="A768" s="223"/>
      <c r="C768" s="224"/>
    </row>
    <row r="769" ht="15.75" customHeight="1">
      <c r="A769" s="223"/>
      <c r="C769" s="224"/>
    </row>
    <row r="770" ht="15.75" customHeight="1">
      <c r="A770" s="223"/>
      <c r="C770" s="224"/>
    </row>
    <row r="771" ht="15.75" customHeight="1">
      <c r="A771" s="223"/>
      <c r="C771" s="224"/>
    </row>
    <row r="772" ht="15.75" customHeight="1">
      <c r="A772" s="223"/>
      <c r="C772" s="224"/>
    </row>
    <row r="773" ht="15.75" customHeight="1">
      <c r="A773" s="223"/>
      <c r="C773" s="224"/>
    </row>
    <row r="774" ht="15.75" customHeight="1">
      <c r="A774" s="223"/>
      <c r="C774" s="224"/>
    </row>
    <row r="775" ht="15.75" customHeight="1">
      <c r="A775" s="223"/>
      <c r="C775" s="224"/>
    </row>
    <row r="776" ht="15.75" customHeight="1">
      <c r="A776" s="223"/>
      <c r="C776" s="224"/>
    </row>
    <row r="777" ht="15.75" customHeight="1">
      <c r="A777" s="223"/>
      <c r="C777" s="224"/>
    </row>
    <row r="778" ht="15.75" customHeight="1">
      <c r="A778" s="223"/>
      <c r="C778" s="224"/>
    </row>
    <row r="779" ht="15.75" customHeight="1">
      <c r="A779" s="223"/>
      <c r="C779" s="224"/>
    </row>
    <row r="780" ht="15.75" customHeight="1">
      <c r="A780" s="223"/>
      <c r="C780" s="224"/>
    </row>
    <row r="781" ht="15.75" customHeight="1">
      <c r="A781" s="223"/>
      <c r="C781" s="224"/>
    </row>
    <row r="782" ht="15.75" customHeight="1">
      <c r="A782" s="223"/>
      <c r="C782" s="224"/>
    </row>
    <row r="783" ht="15.75" customHeight="1">
      <c r="A783" s="223"/>
      <c r="C783" s="224"/>
    </row>
    <row r="784" ht="15.75" customHeight="1">
      <c r="A784" s="223"/>
      <c r="C784" s="224"/>
    </row>
    <row r="785" ht="15.75" customHeight="1">
      <c r="A785" s="223"/>
      <c r="C785" s="224"/>
    </row>
    <row r="786" ht="15.75" customHeight="1">
      <c r="A786" s="223"/>
      <c r="C786" s="224"/>
    </row>
    <row r="787" ht="15.75" customHeight="1">
      <c r="A787" s="223"/>
      <c r="C787" s="224"/>
    </row>
    <row r="788" ht="15.75" customHeight="1">
      <c r="A788" s="223"/>
      <c r="C788" s="224"/>
    </row>
    <row r="789" ht="15.75" customHeight="1">
      <c r="A789" s="223"/>
      <c r="C789" s="224"/>
    </row>
    <row r="790" ht="15.75" customHeight="1">
      <c r="A790" s="223"/>
      <c r="C790" s="224"/>
    </row>
    <row r="791" ht="15.75" customHeight="1">
      <c r="A791" s="223"/>
      <c r="C791" s="224"/>
    </row>
    <row r="792" ht="15.75" customHeight="1">
      <c r="A792" s="223"/>
      <c r="C792" s="224"/>
    </row>
    <row r="793" ht="15.75" customHeight="1">
      <c r="A793" s="223"/>
      <c r="C793" s="224"/>
    </row>
    <row r="794" ht="15.75" customHeight="1">
      <c r="A794" s="223"/>
      <c r="C794" s="224"/>
    </row>
    <row r="795" ht="15.75" customHeight="1">
      <c r="A795" s="223"/>
      <c r="C795" s="224"/>
    </row>
    <row r="796" ht="15.75" customHeight="1">
      <c r="A796" s="223"/>
      <c r="C796" s="224"/>
    </row>
    <row r="797" ht="15.75" customHeight="1">
      <c r="A797" s="223"/>
      <c r="C797" s="224"/>
    </row>
    <row r="798" ht="15.75" customHeight="1">
      <c r="A798" s="223"/>
      <c r="C798" s="224"/>
    </row>
    <row r="799" ht="15.75" customHeight="1">
      <c r="A799" s="223"/>
      <c r="C799" s="224"/>
    </row>
    <row r="800" ht="15.75" customHeight="1">
      <c r="A800" s="223"/>
      <c r="C800" s="224"/>
    </row>
    <row r="801" ht="15.75" customHeight="1">
      <c r="A801" s="223"/>
      <c r="C801" s="224"/>
    </row>
    <row r="802" ht="15.75" customHeight="1">
      <c r="A802" s="223"/>
      <c r="C802" s="224"/>
    </row>
    <row r="803" ht="15.75" customHeight="1">
      <c r="A803" s="223"/>
      <c r="C803" s="224"/>
    </row>
    <row r="804" ht="15.75" customHeight="1">
      <c r="A804" s="223"/>
      <c r="C804" s="224"/>
    </row>
    <row r="805" ht="15.75" customHeight="1">
      <c r="A805" s="223"/>
      <c r="C805" s="224"/>
    </row>
    <row r="806" ht="15.75" customHeight="1">
      <c r="A806" s="223"/>
      <c r="C806" s="224"/>
    </row>
    <row r="807" ht="15.75" customHeight="1">
      <c r="A807" s="223"/>
      <c r="C807" s="224"/>
    </row>
    <row r="808" ht="15.75" customHeight="1">
      <c r="A808" s="223"/>
      <c r="C808" s="224"/>
    </row>
    <row r="809" ht="15.75" customHeight="1">
      <c r="A809" s="223"/>
      <c r="C809" s="224"/>
    </row>
    <row r="810" ht="15.75" customHeight="1">
      <c r="A810" s="223"/>
      <c r="C810" s="224"/>
    </row>
    <row r="811" ht="15.75" customHeight="1">
      <c r="A811" s="223"/>
      <c r="C811" s="224"/>
    </row>
    <row r="812" ht="15.75" customHeight="1">
      <c r="A812" s="223"/>
      <c r="C812" s="224"/>
    </row>
    <row r="813" ht="15.75" customHeight="1">
      <c r="A813" s="223"/>
      <c r="C813" s="224"/>
    </row>
    <row r="814" ht="15.75" customHeight="1">
      <c r="A814" s="223"/>
      <c r="C814" s="224"/>
    </row>
    <row r="815" ht="15.75" customHeight="1">
      <c r="A815" s="223"/>
      <c r="C815" s="224"/>
    </row>
    <row r="816" ht="15.75" customHeight="1">
      <c r="A816" s="223"/>
      <c r="C816" s="224"/>
    </row>
    <row r="817" ht="15.75" customHeight="1">
      <c r="A817" s="223"/>
      <c r="C817" s="224"/>
    </row>
    <row r="818" ht="15.75" customHeight="1">
      <c r="A818" s="223"/>
      <c r="C818" s="224"/>
    </row>
    <row r="819" ht="15.75" customHeight="1">
      <c r="A819" s="223"/>
      <c r="C819" s="224"/>
    </row>
    <row r="820" ht="15.75" customHeight="1">
      <c r="A820" s="223"/>
      <c r="C820" s="224"/>
    </row>
    <row r="821" ht="15.75" customHeight="1">
      <c r="A821" s="223"/>
      <c r="C821" s="224"/>
    </row>
    <row r="822" ht="15.75" customHeight="1">
      <c r="A822" s="223"/>
      <c r="C822" s="224"/>
    </row>
    <row r="823" ht="15.75" customHeight="1">
      <c r="A823" s="223"/>
      <c r="C823" s="224"/>
    </row>
    <row r="824" ht="15.75" customHeight="1">
      <c r="A824" s="223"/>
      <c r="C824" s="224"/>
    </row>
    <row r="825" ht="15.75" customHeight="1">
      <c r="A825" s="223"/>
      <c r="C825" s="224"/>
    </row>
    <row r="826" ht="15.75" customHeight="1">
      <c r="A826" s="223"/>
      <c r="C826" s="224"/>
    </row>
    <row r="827" ht="15.75" customHeight="1">
      <c r="A827" s="223"/>
      <c r="C827" s="224"/>
    </row>
    <row r="828" ht="15.75" customHeight="1">
      <c r="A828" s="223"/>
      <c r="C828" s="224"/>
    </row>
    <row r="829" ht="15.75" customHeight="1">
      <c r="A829" s="223"/>
      <c r="C829" s="224"/>
    </row>
    <row r="830" ht="15.75" customHeight="1">
      <c r="A830" s="223"/>
      <c r="C830" s="224"/>
    </row>
    <row r="831" ht="15.75" customHeight="1">
      <c r="A831" s="223"/>
      <c r="C831" s="224"/>
    </row>
    <row r="832" ht="15.75" customHeight="1">
      <c r="A832" s="223"/>
      <c r="C832" s="224"/>
    </row>
    <row r="833" ht="15.75" customHeight="1">
      <c r="A833" s="223"/>
      <c r="C833" s="224"/>
    </row>
    <row r="834" ht="15.75" customHeight="1">
      <c r="A834" s="223"/>
      <c r="C834" s="224"/>
    </row>
    <row r="835" ht="15.75" customHeight="1">
      <c r="A835" s="223"/>
      <c r="C835" s="224"/>
    </row>
    <row r="836" ht="15.75" customHeight="1">
      <c r="A836" s="223"/>
      <c r="C836" s="224"/>
    </row>
    <row r="837" ht="15.75" customHeight="1">
      <c r="A837" s="223"/>
      <c r="C837" s="224"/>
    </row>
    <row r="838" ht="15.75" customHeight="1">
      <c r="A838" s="223"/>
      <c r="C838" s="224"/>
    </row>
    <row r="839" ht="15.75" customHeight="1">
      <c r="A839" s="223"/>
      <c r="C839" s="224"/>
    </row>
    <row r="840" ht="15.75" customHeight="1">
      <c r="A840" s="223"/>
      <c r="C840" s="224"/>
    </row>
    <row r="841" ht="15.75" customHeight="1">
      <c r="A841" s="223"/>
      <c r="C841" s="224"/>
    </row>
    <row r="842" ht="15.75" customHeight="1">
      <c r="A842" s="223"/>
      <c r="C842" s="224"/>
    </row>
    <row r="843" ht="15.75" customHeight="1">
      <c r="A843" s="223"/>
      <c r="C843" s="224"/>
    </row>
    <row r="844" ht="15.75" customHeight="1">
      <c r="A844" s="223"/>
      <c r="C844" s="224"/>
    </row>
    <row r="845" ht="15.75" customHeight="1">
      <c r="A845" s="223"/>
      <c r="C845" s="224"/>
    </row>
    <row r="846" ht="15.75" customHeight="1">
      <c r="A846" s="223"/>
      <c r="C846" s="224"/>
    </row>
    <row r="847" ht="15.75" customHeight="1">
      <c r="A847" s="223"/>
      <c r="C847" s="224"/>
    </row>
    <row r="848" ht="15.75" customHeight="1">
      <c r="A848" s="223"/>
      <c r="C848" s="224"/>
    </row>
    <row r="849" ht="15.75" customHeight="1">
      <c r="A849" s="223"/>
      <c r="C849" s="224"/>
    </row>
    <row r="850" ht="15.75" customHeight="1">
      <c r="A850" s="223"/>
      <c r="C850" s="224"/>
    </row>
    <row r="851" ht="15.75" customHeight="1">
      <c r="A851" s="223"/>
      <c r="C851" s="224"/>
    </row>
    <row r="852" ht="15.75" customHeight="1">
      <c r="A852" s="223"/>
      <c r="C852" s="224"/>
    </row>
    <row r="853" ht="15.75" customHeight="1">
      <c r="A853" s="223"/>
      <c r="C853" s="224"/>
    </row>
    <row r="854" ht="15.75" customHeight="1">
      <c r="A854" s="223"/>
      <c r="C854" s="224"/>
    </row>
    <row r="855" ht="15.75" customHeight="1">
      <c r="A855" s="223"/>
      <c r="C855" s="224"/>
    </row>
    <row r="856" ht="15.75" customHeight="1">
      <c r="A856" s="223"/>
      <c r="C856" s="224"/>
    </row>
    <row r="857" ht="15.75" customHeight="1">
      <c r="A857" s="223"/>
      <c r="C857" s="224"/>
    </row>
    <row r="858" ht="15.75" customHeight="1">
      <c r="A858" s="223"/>
      <c r="C858" s="224"/>
    </row>
    <row r="859" ht="15.75" customHeight="1">
      <c r="A859" s="223"/>
      <c r="C859" s="224"/>
    </row>
    <row r="860" ht="15.75" customHeight="1">
      <c r="A860" s="223"/>
      <c r="C860" s="224"/>
    </row>
    <row r="861" ht="15.75" customHeight="1">
      <c r="A861" s="223"/>
      <c r="C861" s="224"/>
    </row>
    <row r="862" ht="15.75" customHeight="1">
      <c r="A862" s="223"/>
      <c r="C862" s="224"/>
    </row>
    <row r="863" ht="15.75" customHeight="1">
      <c r="A863" s="223"/>
      <c r="C863" s="224"/>
    </row>
    <row r="864" ht="15.75" customHeight="1">
      <c r="A864" s="223"/>
      <c r="C864" s="224"/>
    </row>
    <row r="865" ht="15.75" customHeight="1">
      <c r="A865" s="223"/>
      <c r="C865" s="224"/>
    </row>
    <row r="866" ht="15.75" customHeight="1">
      <c r="A866" s="223"/>
      <c r="C866" s="224"/>
    </row>
    <row r="867" ht="15.75" customHeight="1">
      <c r="A867" s="223"/>
      <c r="C867" s="224"/>
    </row>
    <row r="868" ht="15.75" customHeight="1">
      <c r="A868" s="223"/>
      <c r="C868" s="224"/>
    </row>
    <row r="869" ht="15.75" customHeight="1">
      <c r="A869" s="223"/>
      <c r="C869" s="224"/>
    </row>
    <row r="870" ht="15.75" customHeight="1">
      <c r="A870" s="223"/>
      <c r="C870" s="224"/>
    </row>
    <row r="871" ht="15.75" customHeight="1">
      <c r="A871" s="223"/>
      <c r="C871" s="224"/>
    </row>
    <row r="872" ht="15.75" customHeight="1">
      <c r="A872" s="223"/>
      <c r="C872" s="224"/>
    </row>
    <row r="873" ht="15.75" customHeight="1">
      <c r="A873" s="223"/>
      <c r="C873" s="224"/>
    </row>
    <row r="874" ht="15.75" customHeight="1">
      <c r="A874" s="223"/>
      <c r="C874" s="224"/>
    </row>
    <row r="875" ht="15.75" customHeight="1">
      <c r="A875" s="223"/>
      <c r="C875" s="224"/>
    </row>
    <row r="876" ht="15.75" customHeight="1">
      <c r="A876" s="223"/>
      <c r="C876" s="224"/>
    </row>
    <row r="877" ht="15.75" customHeight="1">
      <c r="A877" s="223"/>
      <c r="C877" s="224"/>
    </row>
    <row r="878" ht="15.75" customHeight="1">
      <c r="A878" s="223"/>
      <c r="C878" s="224"/>
    </row>
    <row r="879" ht="15.75" customHeight="1">
      <c r="A879" s="223"/>
      <c r="C879" s="224"/>
    </row>
    <row r="880" ht="15.75" customHeight="1">
      <c r="A880" s="223"/>
      <c r="C880" s="224"/>
    </row>
    <row r="881" ht="15.75" customHeight="1">
      <c r="A881" s="223"/>
      <c r="C881" s="224"/>
    </row>
    <row r="882" ht="15.75" customHeight="1">
      <c r="A882" s="223"/>
      <c r="C882" s="224"/>
    </row>
    <row r="883" ht="15.75" customHeight="1">
      <c r="A883" s="223"/>
      <c r="C883" s="224"/>
    </row>
    <row r="884" ht="15.75" customHeight="1">
      <c r="A884" s="223"/>
      <c r="C884" s="224"/>
    </row>
    <row r="885" ht="15.75" customHeight="1">
      <c r="A885" s="223"/>
      <c r="C885" s="224"/>
    </row>
    <row r="886" ht="15.75" customHeight="1">
      <c r="A886" s="223"/>
      <c r="C886" s="224"/>
    </row>
    <row r="887" ht="15.75" customHeight="1">
      <c r="A887" s="223"/>
      <c r="C887" s="224"/>
    </row>
    <row r="888" ht="15.75" customHeight="1">
      <c r="A888" s="223"/>
      <c r="C888" s="224"/>
    </row>
    <row r="889" ht="15.75" customHeight="1">
      <c r="A889" s="223"/>
      <c r="C889" s="224"/>
    </row>
    <row r="890" ht="15.75" customHeight="1">
      <c r="A890" s="223"/>
      <c r="C890" s="224"/>
    </row>
    <row r="891" ht="15.75" customHeight="1">
      <c r="A891" s="223"/>
      <c r="C891" s="224"/>
    </row>
    <row r="892" ht="15.75" customHeight="1">
      <c r="A892" s="223"/>
      <c r="C892" s="224"/>
    </row>
    <row r="893" ht="15.75" customHeight="1">
      <c r="A893" s="223"/>
      <c r="C893" s="224"/>
    </row>
    <row r="894" ht="15.75" customHeight="1">
      <c r="A894" s="223"/>
      <c r="C894" s="224"/>
    </row>
    <row r="895" ht="15.75" customHeight="1">
      <c r="A895" s="223"/>
      <c r="C895" s="224"/>
    </row>
    <row r="896" ht="15.75" customHeight="1">
      <c r="A896" s="223"/>
      <c r="C896" s="224"/>
    </row>
    <row r="897" ht="15.75" customHeight="1">
      <c r="A897" s="223"/>
      <c r="C897" s="224"/>
    </row>
    <row r="898" ht="15.75" customHeight="1">
      <c r="A898" s="223"/>
      <c r="C898" s="224"/>
    </row>
    <row r="899" ht="15.75" customHeight="1">
      <c r="A899" s="223"/>
      <c r="C899" s="224"/>
    </row>
    <row r="900" ht="15.75" customHeight="1">
      <c r="A900" s="223"/>
      <c r="C900" s="224"/>
    </row>
    <row r="901" ht="15.75" customHeight="1">
      <c r="A901" s="223"/>
      <c r="C901" s="224"/>
    </row>
    <row r="902" ht="15.75" customHeight="1">
      <c r="A902" s="223"/>
      <c r="C902" s="224"/>
    </row>
    <row r="903" ht="15.75" customHeight="1">
      <c r="A903" s="223"/>
      <c r="C903" s="224"/>
    </row>
    <row r="904" ht="15.75" customHeight="1">
      <c r="A904" s="223"/>
      <c r="C904" s="224"/>
    </row>
    <row r="905" ht="15.75" customHeight="1">
      <c r="A905" s="223"/>
      <c r="C905" s="224"/>
    </row>
    <row r="906" ht="15.75" customHeight="1">
      <c r="A906" s="223"/>
      <c r="C906" s="224"/>
    </row>
    <row r="907" ht="15.75" customHeight="1">
      <c r="A907" s="223"/>
      <c r="C907" s="224"/>
    </row>
    <row r="908" ht="15.75" customHeight="1">
      <c r="A908" s="223"/>
      <c r="C908" s="224"/>
    </row>
    <row r="909" ht="15.75" customHeight="1">
      <c r="A909" s="223"/>
      <c r="C909" s="224"/>
    </row>
    <row r="910" ht="15.75" customHeight="1">
      <c r="A910" s="223"/>
      <c r="C910" s="224"/>
    </row>
    <row r="911" ht="15.75" customHeight="1">
      <c r="A911" s="223"/>
      <c r="C911" s="224"/>
    </row>
    <row r="912" ht="15.75" customHeight="1">
      <c r="A912" s="223"/>
      <c r="C912" s="224"/>
    </row>
    <row r="913" ht="15.75" customHeight="1">
      <c r="A913" s="223"/>
      <c r="C913" s="224"/>
    </row>
    <row r="914" ht="15.75" customHeight="1">
      <c r="A914" s="223"/>
      <c r="C914" s="224"/>
    </row>
    <row r="915" ht="15.75" customHeight="1">
      <c r="A915" s="223"/>
      <c r="C915" s="224"/>
    </row>
    <row r="916" ht="15.75" customHeight="1">
      <c r="A916" s="223"/>
      <c r="C916" s="224"/>
    </row>
    <row r="917" ht="15.75" customHeight="1">
      <c r="A917" s="223"/>
      <c r="C917" s="224"/>
    </row>
    <row r="918" ht="15.75" customHeight="1">
      <c r="A918" s="223"/>
      <c r="C918" s="224"/>
    </row>
    <row r="919" ht="15.75" customHeight="1">
      <c r="A919" s="223"/>
      <c r="C919" s="224"/>
    </row>
    <row r="920" ht="15.75" customHeight="1">
      <c r="A920" s="223"/>
      <c r="C920" s="224"/>
    </row>
    <row r="921" ht="15.75" customHeight="1">
      <c r="A921" s="223"/>
      <c r="C921" s="224"/>
    </row>
    <row r="922" ht="15.75" customHeight="1">
      <c r="A922" s="223"/>
      <c r="C922" s="224"/>
    </row>
    <row r="923" ht="15.75" customHeight="1">
      <c r="A923" s="223"/>
      <c r="C923" s="224"/>
    </row>
    <row r="924" ht="15.75" customHeight="1">
      <c r="A924" s="223"/>
      <c r="C924" s="224"/>
    </row>
    <row r="925" ht="15.75" customHeight="1">
      <c r="A925" s="223"/>
      <c r="C925" s="224"/>
    </row>
    <row r="926" ht="15.75" customHeight="1">
      <c r="A926" s="223"/>
      <c r="C926" s="224"/>
    </row>
    <row r="927" ht="15.75" customHeight="1">
      <c r="A927" s="223"/>
      <c r="C927" s="224"/>
    </row>
    <row r="928" ht="15.75" customHeight="1">
      <c r="A928" s="223"/>
      <c r="C928" s="224"/>
    </row>
    <row r="929" ht="15.75" customHeight="1">
      <c r="A929" s="223"/>
      <c r="C929" s="224"/>
    </row>
    <row r="930" ht="15.75" customHeight="1">
      <c r="A930" s="223"/>
      <c r="C930" s="224"/>
    </row>
    <row r="931" ht="15.75" customHeight="1">
      <c r="A931" s="223"/>
      <c r="C931" s="224"/>
    </row>
    <row r="932" ht="15.75" customHeight="1">
      <c r="A932" s="223"/>
      <c r="C932" s="224"/>
    </row>
    <row r="933" ht="15.75" customHeight="1">
      <c r="A933" s="223"/>
      <c r="C933" s="224"/>
    </row>
    <row r="934" ht="15.75" customHeight="1">
      <c r="A934" s="223"/>
      <c r="C934" s="224"/>
    </row>
    <row r="935" ht="15.75" customHeight="1">
      <c r="A935" s="223"/>
      <c r="C935" s="224"/>
    </row>
    <row r="936" ht="15.75" customHeight="1">
      <c r="A936" s="223"/>
      <c r="C936" s="224"/>
    </row>
    <row r="937" ht="15.75" customHeight="1">
      <c r="A937" s="223"/>
      <c r="C937" s="224"/>
    </row>
    <row r="938" ht="15.75" customHeight="1">
      <c r="A938" s="223"/>
      <c r="C938" s="224"/>
    </row>
    <row r="939" ht="15.75" customHeight="1">
      <c r="A939" s="223"/>
      <c r="C939" s="224"/>
    </row>
    <row r="940" ht="15.75" customHeight="1">
      <c r="A940" s="223"/>
      <c r="C940" s="224"/>
    </row>
    <row r="941" ht="15.75" customHeight="1">
      <c r="A941" s="223"/>
      <c r="C941" s="224"/>
    </row>
    <row r="942" ht="15.75" customHeight="1">
      <c r="A942" s="223"/>
      <c r="C942" s="224"/>
    </row>
    <row r="943" ht="15.75" customHeight="1">
      <c r="A943" s="223"/>
      <c r="C943" s="224"/>
    </row>
    <row r="944" ht="15.75" customHeight="1">
      <c r="A944" s="223"/>
      <c r="C944" s="224"/>
    </row>
    <row r="945" ht="15.75" customHeight="1">
      <c r="A945" s="223"/>
      <c r="C945" s="224"/>
    </row>
    <row r="946" ht="15.75" customHeight="1">
      <c r="A946" s="223"/>
      <c r="C946" s="224"/>
    </row>
    <row r="947" ht="15.75" customHeight="1">
      <c r="A947" s="223"/>
      <c r="C947" s="224"/>
    </row>
    <row r="948" ht="15.75" customHeight="1">
      <c r="A948" s="223"/>
      <c r="C948" s="224"/>
    </row>
    <row r="949" ht="15.75" customHeight="1">
      <c r="A949" s="223"/>
      <c r="C949" s="224"/>
    </row>
    <row r="950" ht="15.75" customHeight="1">
      <c r="A950" s="223"/>
      <c r="C950" s="224"/>
    </row>
    <row r="951" ht="15.75" customHeight="1">
      <c r="A951" s="223"/>
      <c r="C951" s="224"/>
    </row>
    <row r="952" ht="15.75" customHeight="1">
      <c r="A952" s="223"/>
      <c r="C952" s="224"/>
    </row>
    <row r="953" ht="15.75" customHeight="1">
      <c r="A953" s="223"/>
      <c r="C953" s="224"/>
    </row>
    <row r="954" ht="15.75" customHeight="1">
      <c r="A954" s="223"/>
      <c r="C954" s="224"/>
    </row>
    <row r="955" ht="15.75" customHeight="1">
      <c r="A955" s="223"/>
      <c r="C955" s="224"/>
    </row>
    <row r="956" ht="15.75" customHeight="1">
      <c r="A956" s="223"/>
      <c r="C956" s="224"/>
    </row>
    <row r="957" ht="15.75" customHeight="1">
      <c r="A957" s="223"/>
      <c r="C957" s="224"/>
    </row>
    <row r="958" ht="15.75" customHeight="1">
      <c r="A958" s="223"/>
      <c r="C958" s="224"/>
    </row>
    <row r="959" ht="15.75" customHeight="1">
      <c r="A959" s="223"/>
      <c r="C959" s="224"/>
    </row>
    <row r="960" ht="15.75" customHeight="1">
      <c r="A960" s="223"/>
      <c r="C960" s="224"/>
    </row>
    <row r="961" ht="15.75" customHeight="1">
      <c r="A961" s="223"/>
      <c r="C961" s="224"/>
    </row>
    <row r="962" ht="15.75" customHeight="1">
      <c r="A962" s="223"/>
      <c r="C962" s="224"/>
    </row>
    <row r="963" ht="15.75" customHeight="1">
      <c r="A963" s="223"/>
      <c r="C963" s="224"/>
    </row>
    <row r="964" ht="15.75" customHeight="1">
      <c r="A964" s="223"/>
      <c r="C964" s="224"/>
    </row>
    <row r="965" ht="15.75" customHeight="1">
      <c r="A965" s="223"/>
      <c r="C965" s="224"/>
    </row>
    <row r="966" ht="15.75" customHeight="1">
      <c r="A966" s="223"/>
      <c r="C966" s="224"/>
    </row>
    <row r="967" ht="15.75" customHeight="1">
      <c r="A967" s="223"/>
      <c r="C967" s="224"/>
    </row>
    <row r="968" ht="15.75" customHeight="1">
      <c r="A968" s="223"/>
      <c r="C968" s="224"/>
    </row>
    <row r="969" ht="15.75" customHeight="1">
      <c r="A969" s="223"/>
      <c r="C969" s="224"/>
    </row>
    <row r="970" ht="15.75" customHeight="1">
      <c r="A970" s="223"/>
      <c r="C970" s="224"/>
    </row>
    <row r="971" ht="15.75" customHeight="1">
      <c r="A971" s="223"/>
      <c r="C971" s="224"/>
    </row>
    <row r="972" ht="15.75" customHeight="1">
      <c r="A972" s="223"/>
      <c r="C972" s="224"/>
    </row>
    <row r="973" ht="15.75" customHeight="1">
      <c r="A973" s="223"/>
      <c r="C973" s="224"/>
    </row>
    <row r="974" ht="15.75" customHeight="1">
      <c r="A974" s="223"/>
      <c r="C974" s="224"/>
    </row>
    <row r="975" ht="15.75" customHeight="1">
      <c r="A975" s="223"/>
      <c r="C975" s="224"/>
    </row>
    <row r="976" ht="15.75" customHeight="1">
      <c r="A976" s="223"/>
      <c r="C976" s="224"/>
    </row>
    <row r="977" ht="15.75" customHeight="1">
      <c r="A977" s="223"/>
      <c r="C977" s="224"/>
    </row>
    <row r="978" ht="15.75" customHeight="1">
      <c r="A978" s="223"/>
      <c r="C978" s="224"/>
    </row>
    <row r="979" ht="15.75" customHeight="1">
      <c r="A979" s="223"/>
      <c r="C979" s="224"/>
    </row>
    <row r="980" ht="15.75" customHeight="1">
      <c r="A980" s="223"/>
      <c r="C980" s="224"/>
    </row>
    <row r="981" ht="15.75" customHeight="1">
      <c r="A981" s="223"/>
      <c r="C981" s="224"/>
    </row>
    <row r="982" ht="15.75" customHeight="1">
      <c r="A982" s="223"/>
      <c r="C982" s="224"/>
    </row>
    <row r="983" ht="15.75" customHeight="1">
      <c r="A983" s="223"/>
      <c r="C983" s="224"/>
    </row>
    <row r="984" ht="15.75" customHeight="1">
      <c r="A984" s="223"/>
      <c r="C984" s="224"/>
    </row>
    <row r="985" ht="15.75" customHeight="1">
      <c r="A985" s="223"/>
      <c r="C985" s="224"/>
    </row>
    <row r="986" ht="15.75" customHeight="1">
      <c r="A986" s="223"/>
      <c r="C986" s="224"/>
    </row>
    <row r="987" ht="15.75" customHeight="1">
      <c r="A987" s="223"/>
      <c r="C987" s="224"/>
    </row>
    <row r="988" ht="15.75" customHeight="1">
      <c r="A988" s="223"/>
      <c r="C988" s="224"/>
    </row>
    <row r="989" ht="15.75" customHeight="1">
      <c r="A989" s="223"/>
      <c r="C989" s="224"/>
    </row>
    <row r="990" ht="15.75" customHeight="1">
      <c r="A990" s="223"/>
      <c r="C990" s="224"/>
    </row>
    <row r="991" ht="15.75" customHeight="1">
      <c r="A991" s="223"/>
      <c r="C991" s="224"/>
    </row>
    <row r="992" ht="15.75" customHeight="1">
      <c r="A992" s="223"/>
      <c r="C992" s="224"/>
    </row>
    <row r="993" ht="15.75" customHeight="1">
      <c r="A993" s="223"/>
      <c r="C993" s="224"/>
    </row>
    <row r="994" ht="15.75" customHeight="1">
      <c r="A994" s="223"/>
      <c r="C994" s="224"/>
    </row>
    <row r="995" ht="15.75" customHeight="1">
      <c r="A995" s="223"/>
      <c r="C995" s="224"/>
    </row>
  </sheetData>
  <mergeCells count="1">
    <mergeCell ref="T2:AA2"/>
  </mergeCells>
  <conditionalFormatting sqref="D5:O46 P5:P9 Q5:AG46 P11:P46">
    <cfRule type="containsText" dxfId="0" priority="1" operator="containsText" text="PH">
      <formula>NOT(ISERROR(SEARCH(("PH"),(D5))))</formula>
    </cfRule>
  </conditionalFormatting>
  <conditionalFormatting sqref="D5:O46 P5:P9 Q5:AG46 P11:P46">
    <cfRule type="containsText" dxfId="1" priority="2" operator="containsText" text="AL">
      <formula>NOT(ISERROR(SEARCH(("AL"),(D5))))</formula>
    </cfRule>
  </conditionalFormatting>
  <conditionalFormatting sqref="D5:O46 P5:P9 Q5:AG46 P11:P46">
    <cfRule type="containsText" dxfId="2" priority="3" operator="containsText" text="CDO">
      <formula>NOT(ISERROR(SEARCH(("CDO"),(D5))))</formula>
    </cfRule>
  </conditionalFormatting>
  <conditionalFormatting sqref="D5:AG46">
    <cfRule type="containsText" dxfId="3" priority="4" operator="containsText" text="H">
      <formula>NOT(ISERROR(SEARCH(("H"),(D5))))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3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3.88"/>
    <col customWidth="1" min="3" max="3" width="5.75"/>
    <col customWidth="1" min="4" max="4" width="12.0"/>
    <col customWidth="1" min="5" max="34" width="4.25"/>
  </cols>
  <sheetData>
    <row r="1">
      <c r="A1" s="225" t="str">
        <f t="array" ref="A1:AG44">'ORIGIN MONTH 7'!A3:AG46</f>
        <v>E .NAME</v>
      </c>
      <c r="B1" s="226" t="s">
        <v>5</v>
      </c>
      <c r="C1" s="226" t="s">
        <v>227</v>
      </c>
      <c r="D1" s="226" t="s">
        <v>8</v>
      </c>
      <c r="E1" s="227" t="s">
        <v>9</v>
      </c>
      <c r="F1" s="227" t="s">
        <v>10</v>
      </c>
      <c r="G1" s="227" t="s">
        <v>11</v>
      </c>
      <c r="H1" s="227" t="s">
        <v>12</v>
      </c>
      <c r="I1" s="227" t="s">
        <v>13</v>
      </c>
      <c r="J1" s="227" t="s">
        <v>7</v>
      </c>
      <c r="K1" s="227" t="s">
        <v>8</v>
      </c>
      <c r="L1" s="227" t="s">
        <v>9</v>
      </c>
      <c r="M1" s="227" t="s">
        <v>10</v>
      </c>
      <c r="N1" s="227" t="s">
        <v>11</v>
      </c>
      <c r="O1" s="227" t="s">
        <v>12</v>
      </c>
      <c r="P1" s="227" t="s">
        <v>13</v>
      </c>
      <c r="Q1" s="227" t="s">
        <v>7</v>
      </c>
      <c r="R1" s="227" t="s">
        <v>8</v>
      </c>
      <c r="S1" s="227" t="s">
        <v>9</v>
      </c>
      <c r="T1" s="227" t="s">
        <v>10</v>
      </c>
      <c r="U1" s="227" t="s">
        <v>11</v>
      </c>
      <c r="V1" s="227" t="s">
        <v>12</v>
      </c>
      <c r="W1" s="227" t="s">
        <v>13</v>
      </c>
      <c r="X1" s="227" t="s">
        <v>7</v>
      </c>
      <c r="Y1" s="227" t="s">
        <v>8</v>
      </c>
      <c r="Z1" s="227" t="s">
        <v>9</v>
      </c>
      <c r="AA1" s="227" t="s">
        <v>10</v>
      </c>
      <c r="AB1" s="227" t="s">
        <v>11</v>
      </c>
      <c r="AC1" s="227" t="s">
        <v>12</v>
      </c>
      <c r="AD1" s="227" t="s">
        <v>13</v>
      </c>
      <c r="AE1" s="227" t="s">
        <v>7</v>
      </c>
      <c r="AF1" s="227" t="s">
        <v>8</v>
      </c>
      <c r="AG1" s="227" t="s">
        <v>9</v>
      </c>
      <c r="AH1" s="228"/>
    </row>
    <row r="2">
      <c r="A2" s="225"/>
      <c r="B2" s="226"/>
      <c r="C2" s="226"/>
      <c r="D2" s="226" t="s">
        <v>14</v>
      </c>
      <c r="E2" s="227" t="s">
        <v>15</v>
      </c>
      <c r="F2" s="227" t="s">
        <v>16</v>
      </c>
      <c r="G2" s="227" t="s">
        <v>228</v>
      </c>
      <c r="H2" s="227" t="s">
        <v>229</v>
      </c>
      <c r="I2" s="227" t="s">
        <v>17</v>
      </c>
      <c r="J2" s="227" t="s">
        <v>18</v>
      </c>
      <c r="K2" s="227" t="s">
        <v>19</v>
      </c>
      <c r="L2" s="227" t="s">
        <v>20</v>
      </c>
      <c r="M2" s="227" t="s">
        <v>21</v>
      </c>
      <c r="N2" s="227" t="s">
        <v>22</v>
      </c>
      <c r="O2" s="227" t="s">
        <v>23</v>
      </c>
      <c r="P2" s="227" t="s">
        <v>24</v>
      </c>
      <c r="Q2" s="227" t="s">
        <v>25</v>
      </c>
      <c r="R2" s="227" t="s">
        <v>26</v>
      </c>
      <c r="S2" s="227" t="s">
        <v>27</v>
      </c>
      <c r="T2" s="227" t="s">
        <v>28</v>
      </c>
      <c r="U2" s="227" t="s">
        <v>29</v>
      </c>
      <c r="V2" s="227" t="s">
        <v>30</v>
      </c>
      <c r="W2" s="227" t="s">
        <v>31</v>
      </c>
      <c r="X2" s="227" t="s">
        <v>32</v>
      </c>
      <c r="Y2" s="227" t="s">
        <v>33</v>
      </c>
      <c r="Z2" s="227" t="s">
        <v>34</v>
      </c>
      <c r="AA2" s="227" t="s">
        <v>35</v>
      </c>
      <c r="AB2" s="227" t="s">
        <v>36</v>
      </c>
      <c r="AC2" s="227" t="s">
        <v>37</v>
      </c>
      <c r="AD2" s="227" t="s">
        <v>38</v>
      </c>
      <c r="AE2" s="227" t="s">
        <v>39</v>
      </c>
      <c r="AF2" s="227" t="s">
        <v>40</v>
      </c>
      <c r="AG2" s="227" t="s">
        <v>41</v>
      </c>
      <c r="AH2" s="228"/>
    </row>
    <row r="3">
      <c r="A3" s="227" t="s">
        <v>230</v>
      </c>
      <c r="B3" s="226" t="s">
        <v>59</v>
      </c>
      <c r="C3" s="225" t="s">
        <v>60</v>
      </c>
      <c r="D3" s="226" t="s">
        <v>47</v>
      </c>
      <c r="E3" s="226" t="s">
        <v>53</v>
      </c>
      <c r="F3" s="226" t="s">
        <v>53</v>
      </c>
      <c r="G3" s="226" t="s">
        <v>47</v>
      </c>
      <c r="H3" s="226" t="s">
        <v>47</v>
      </c>
      <c r="I3" s="226" t="s">
        <v>47</v>
      </c>
      <c r="J3" s="226" t="s">
        <v>47</v>
      </c>
      <c r="K3" s="226" t="s">
        <v>47</v>
      </c>
      <c r="L3" s="226" t="s">
        <v>53</v>
      </c>
      <c r="M3" s="226" t="s">
        <v>53</v>
      </c>
      <c r="N3" s="226" t="s">
        <v>47</v>
      </c>
      <c r="O3" s="226" t="s">
        <v>47</v>
      </c>
      <c r="P3" s="226" t="s">
        <v>47</v>
      </c>
      <c r="Q3" s="226" t="s">
        <v>47</v>
      </c>
      <c r="R3" s="226" t="s">
        <v>47</v>
      </c>
      <c r="S3" s="226" t="s">
        <v>53</v>
      </c>
      <c r="T3" s="226" t="s">
        <v>53</v>
      </c>
      <c r="U3" s="226" t="s">
        <v>47</v>
      </c>
      <c r="V3" s="226" t="s">
        <v>47</v>
      </c>
      <c r="W3" s="226" t="s">
        <v>47</v>
      </c>
      <c r="X3" s="226" t="s">
        <v>47</v>
      </c>
      <c r="Y3" s="225" t="s">
        <v>47</v>
      </c>
      <c r="Z3" s="226" t="s">
        <v>53</v>
      </c>
      <c r="AA3" s="226" t="s">
        <v>53</v>
      </c>
      <c r="AB3" s="226" t="s">
        <v>47</v>
      </c>
      <c r="AC3" s="226" t="s">
        <v>47</v>
      </c>
      <c r="AD3" s="226" t="s">
        <v>47</v>
      </c>
      <c r="AE3" s="226" t="s">
        <v>47</v>
      </c>
      <c r="AF3" s="226" t="s">
        <v>47</v>
      </c>
      <c r="AG3" s="226" t="s">
        <v>53</v>
      </c>
      <c r="AH3" s="225"/>
    </row>
    <row r="4">
      <c r="A4" s="227" t="s">
        <v>231</v>
      </c>
      <c r="B4" s="226" t="s">
        <v>62</v>
      </c>
      <c r="C4" s="225" t="s">
        <v>63</v>
      </c>
      <c r="D4" s="226" t="s">
        <v>47</v>
      </c>
      <c r="E4" s="226" t="s">
        <v>53</v>
      </c>
      <c r="F4" s="226" t="s">
        <v>53</v>
      </c>
      <c r="G4" s="226" t="s">
        <v>47</v>
      </c>
      <c r="H4" s="226" t="s">
        <v>47</v>
      </c>
      <c r="I4" s="226" t="s">
        <v>47</v>
      </c>
      <c r="J4" s="226" t="s">
        <v>47</v>
      </c>
      <c r="K4" s="225" t="s">
        <v>47</v>
      </c>
      <c r="L4" s="226" t="s">
        <v>53</v>
      </c>
      <c r="M4" s="226" t="s">
        <v>53</v>
      </c>
      <c r="N4" s="226" t="s">
        <v>47</v>
      </c>
      <c r="O4" s="226" t="s">
        <v>47</v>
      </c>
      <c r="P4" s="226" t="s">
        <v>47</v>
      </c>
      <c r="Q4" s="226" t="s">
        <v>47</v>
      </c>
      <c r="R4" s="226" t="s">
        <v>47</v>
      </c>
      <c r="S4" s="226" t="s">
        <v>53</v>
      </c>
      <c r="T4" s="226" t="s">
        <v>53</v>
      </c>
      <c r="U4" s="226" t="s">
        <v>47</v>
      </c>
      <c r="V4" s="226" t="s">
        <v>47</v>
      </c>
      <c r="W4" s="226" t="s">
        <v>47</v>
      </c>
      <c r="X4" s="226" t="s">
        <v>47</v>
      </c>
      <c r="Y4" s="226" t="s">
        <v>47</v>
      </c>
      <c r="Z4" s="226" t="s">
        <v>53</v>
      </c>
      <c r="AA4" s="226" t="s">
        <v>53</v>
      </c>
      <c r="AB4" s="226" t="s">
        <v>47</v>
      </c>
      <c r="AC4" s="226" t="s">
        <v>47</v>
      </c>
      <c r="AD4" s="226" t="s">
        <v>47</v>
      </c>
      <c r="AE4" s="226" t="s">
        <v>47</v>
      </c>
      <c r="AF4" s="226" t="s">
        <v>47</v>
      </c>
      <c r="AG4" s="226" t="s">
        <v>53</v>
      </c>
      <c r="AH4" s="225"/>
    </row>
    <row r="5">
      <c r="A5" s="227" t="s">
        <v>232</v>
      </c>
      <c r="B5" s="226" t="s">
        <v>65</v>
      </c>
      <c r="C5" s="225" t="s">
        <v>66</v>
      </c>
      <c r="D5" s="225" t="s">
        <v>47</v>
      </c>
      <c r="E5" s="225" t="s">
        <v>47</v>
      </c>
      <c r="F5" s="226" t="s">
        <v>53</v>
      </c>
      <c r="G5" s="226" t="s">
        <v>53</v>
      </c>
      <c r="H5" s="226" t="s">
        <v>47</v>
      </c>
      <c r="I5" s="226" t="s">
        <v>47</v>
      </c>
      <c r="J5" s="226" t="s">
        <v>47</v>
      </c>
      <c r="K5" s="226" t="s">
        <v>47</v>
      </c>
      <c r="L5" s="226" t="s">
        <v>47</v>
      </c>
      <c r="M5" s="226" t="s">
        <v>53</v>
      </c>
      <c r="N5" s="226" t="s">
        <v>53</v>
      </c>
      <c r="O5" s="226" t="s">
        <v>47</v>
      </c>
      <c r="P5" s="226" t="s">
        <v>47</v>
      </c>
      <c r="Q5" s="226" t="s">
        <v>47</v>
      </c>
      <c r="R5" s="226" t="s">
        <v>47</v>
      </c>
      <c r="S5" s="226" t="s">
        <v>47</v>
      </c>
      <c r="T5" s="226" t="s">
        <v>53</v>
      </c>
      <c r="U5" s="226" t="s">
        <v>53</v>
      </c>
      <c r="V5" s="226" t="s">
        <v>47</v>
      </c>
      <c r="W5" s="226" t="s">
        <v>47</v>
      </c>
      <c r="X5" s="226" t="s">
        <v>47</v>
      </c>
      <c r="Y5" s="226" t="s">
        <v>47</v>
      </c>
      <c r="Z5" s="226" t="s">
        <v>47</v>
      </c>
      <c r="AA5" s="226" t="s">
        <v>53</v>
      </c>
      <c r="AB5" s="226" t="s">
        <v>53</v>
      </c>
      <c r="AC5" s="226" t="s">
        <v>47</v>
      </c>
      <c r="AD5" s="226" t="s">
        <v>47</v>
      </c>
      <c r="AE5" s="226" t="s">
        <v>47</v>
      </c>
      <c r="AF5" s="226" t="s">
        <v>47</v>
      </c>
      <c r="AG5" s="226" t="s">
        <v>47</v>
      </c>
      <c r="AH5" s="225"/>
    </row>
    <row r="6">
      <c r="A6" s="227" t="s">
        <v>233</v>
      </c>
      <c r="B6" s="226" t="s">
        <v>68</v>
      </c>
      <c r="C6" s="225" t="s">
        <v>69</v>
      </c>
      <c r="D6" s="225" t="s">
        <v>47</v>
      </c>
      <c r="E6" s="225" t="s">
        <v>47</v>
      </c>
      <c r="F6" s="226" t="s">
        <v>53</v>
      </c>
      <c r="G6" s="226" t="s">
        <v>53</v>
      </c>
      <c r="H6" s="226" t="s">
        <v>47</v>
      </c>
      <c r="I6" s="225" t="s">
        <v>47</v>
      </c>
      <c r="J6" s="225" t="s">
        <v>47</v>
      </c>
      <c r="K6" s="226" t="s">
        <v>47</v>
      </c>
      <c r="L6" s="226" t="s">
        <v>47</v>
      </c>
      <c r="M6" s="226" t="s">
        <v>53</v>
      </c>
      <c r="N6" s="226" t="s">
        <v>53</v>
      </c>
      <c r="O6" s="226" t="s">
        <v>47</v>
      </c>
      <c r="P6" s="226" t="s">
        <v>47</v>
      </c>
      <c r="Q6" s="226" t="s">
        <v>47</v>
      </c>
      <c r="R6" s="226" t="s">
        <v>47</v>
      </c>
      <c r="S6" s="226" t="s">
        <v>47</v>
      </c>
      <c r="T6" s="226" t="s">
        <v>53</v>
      </c>
      <c r="U6" s="226" t="s">
        <v>53</v>
      </c>
      <c r="V6" s="226" t="s">
        <v>47</v>
      </c>
      <c r="W6" s="226" t="s">
        <v>47</v>
      </c>
      <c r="X6" s="226" t="s">
        <v>47</v>
      </c>
      <c r="Y6" s="226" t="s">
        <v>47</v>
      </c>
      <c r="Z6" s="226" t="s">
        <v>47</v>
      </c>
      <c r="AA6" s="226" t="s">
        <v>53</v>
      </c>
      <c r="AB6" s="226" t="s">
        <v>53</v>
      </c>
      <c r="AC6" s="226" t="s">
        <v>47</v>
      </c>
      <c r="AD6" s="226" t="s">
        <v>47</v>
      </c>
      <c r="AE6" s="226" t="s">
        <v>47</v>
      </c>
      <c r="AF6" s="226" t="s">
        <v>47</v>
      </c>
      <c r="AG6" s="226" t="s">
        <v>47</v>
      </c>
      <c r="AH6" s="225"/>
    </row>
    <row r="7">
      <c r="A7" s="227" t="s">
        <v>234</v>
      </c>
      <c r="B7" s="226" t="s">
        <v>71</v>
      </c>
      <c r="C7" s="225" t="s">
        <v>72</v>
      </c>
      <c r="D7" s="226" t="s">
        <v>47</v>
      </c>
      <c r="E7" s="226" t="s">
        <v>53</v>
      </c>
      <c r="F7" s="226" t="s">
        <v>53</v>
      </c>
      <c r="G7" s="226" t="s">
        <v>47</v>
      </c>
      <c r="H7" s="226" t="s">
        <v>47</v>
      </c>
      <c r="I7" s="226" t="s">
        <v>47</v>
      </c>
      <c r="J7" s="226" t="s">
        <v>47</v>
      </c>
      <c r="K7" s="225" t="s">
        <v>47</v>
      </c>
      <c r="L7" s="226" t="s">
        <v>53</v>
      </c>
      <c r="M7" s="226" t="s">
        <v>53</v>
      </c>
      <c r="N7" s="226" t="s">
        <v>47</v>
      </c>
      <c r="O7" s="226" t="s">
        <v>47</v>
      </c>
      <c r="P7" s="226" t="s">
        <v>47</v>
      </c>
      <c r="Q7" s="226" t="s">
        <v>47</v>
      </c>
      <c r="R7" s="226" t="s">
        <v>47</v>
      </c>
      <c r="S7" s="226" t="s">
        <v>53</v>
      </c>
      <c r="T7" s="226" t="s">
        <v>53</v>
      </c>
      <c r="U7" s="226" t="s">
        <v>47</v>
      </c>
      <c r="V7" s="226" t="s">
        <v>47</v>
      </c>
      <c r="W7" s="226" t="s">
        <v>47</v>
      </c>
      <c r="X7" s="225" t="s">
        <v>47</v>
      </c>
      <c r="Y7" s="226" t="s">
        <v>47</v>
      </c>
      <c r="Z7" s="226" t="s">
        <v>53</v>
      </c>
      <c r="AA7" s="226" t="s">
        <v>53</v>
      </c>
      <c r="AB7" s="226" t="s">
        <v>47</v>
      </c>
      <c r="AC7" s="226" t="s">
        <v>47</v>
      </c>
      <c r="AD7" s="226" t="s">
        <v>47</v>
      </c>
      <c r="AE7" s="225" t="s">
        <v>47</v>
      </c>
      <c r="AF7" s="226" t="s">
        <v>49</v>
      </c>
      <c r="AG7" s="226" t="s">
        <v>53</v>
      </c>
      <c r="AH7" s="225"/>
    </row>
    <row r="8">
      <c r="A8" s="227" t="s">
        <v>235</v>
      </c>
      <c r="B8" s="226" t="s">
        <v>74</v>
      </c>
      <c r="C8" s="225" t="s">
        <v>75</v>
      </c>
      <c r="D8" s="226" t="s">
        <v>47</v>
      </c>
      <c r="E8" s="226" t="s">
        <v>47</v>
      </c>
      <c r="F8" s="226" t="s">
        <v>53</v>
      </c>
      <c r="G8" s="226" t="s">
        <v>53</v>
      </c>
      <c r="H8" s="226" t="s">
        <v>49</v>
      </c>
      <c r="I8" s="226" t="s">
        <v>47</v>
      </c>
      <c r="J8" s="226" t="s">
        <v>47</v>
      </c>
      <c r="K8" s="226" t="s">
        <v>47</v>
      </c>
      <c r="L8" s="226" t="s">
        <v>49</v>
      </c>
      <c r="M8" s="226" t="s">
        <v>53</v>
      </c>
      <c r="N8" s="226" t="s">
        <v>53</v>
      </c>
      <c r="O8" s="226" t="s">
        <v>47</v>
      </c>
      <c r="P8" s="226" t="s">
        <v>47</v>
      </c>
      <c r="Q8" s="226" t="s">
        <v>47</v>
      </c>
      <c r="R8" s="226" t="s">
        <v>47</v>
      </c>
      <c r="S8" s="226" t="s">
        <v>47</v>
      </c>
      <c r="T8" s="226" t="s">
        <v>53</v>
      </c>
      <c r="U8" s="226" t="s">
        <v>53</v>
      </c>
      <c r="V8" s="226" t="s">
        <v>47</v>
      </c>
      <c r="W8" s="226" t="s">
        <v>47</v>
      </c>
      <c r="X8" s="226" t="s">
        <v>47</v>
      </c>
      <c r="Y8" s="226" t="s">
        <v>47</v>
      </c>
      <c r="Z8" s="226" t="s">
        <v>47</v>
      </c>
      <c r="AA8" s="226" t="s">
        <v>53</v>
      </c>
      <c r="AB8" s="226" t="s">
        <v>53</v>
      </c>
      <c r="AC8" s="226" t="s">
        <v>47</v>
      </c>
      <c r="AD8" s="226" t="s">
        <v>47</v>
      </c>
      <c r="AE8" s="226" t="s">
        <v>47</v>
      </c>
      <c r="AF8" s="226" t="s">
        <v>47</v>
      </c>
      <c r="AG8" s="226" t="s">
        <v>47</v>
      </c>
      <c r="AH8" s="225"/>
    </row>
    <row r="9">
      <c r="A9" s="227" t="s">
        <v>236</v>
      </c>
      <c r="B9" s="226" t="s">
        <v>77</v>
      </c>
      <c r="C9" s="225" t="s">
        <v>78</v>
      </c>
      <c r="D9" s="226" t="s">
        <v>49</v>
      </c>
      <c r="E9" s="226" t="s">
        <v>53</v>
      </c>
      <c r="F9" s="226" t="s">
        <v>53</v>
      </c>
      <c r="G9" s="226" t="s">
        <v>47</v>
      </c>
      <c r="H9" s="226" t="s">
        <v>47</v>
      </c>
      <c r="I9" s="226" t="s">
        <v>47</v>
      </c>
      <c r="J9" s="226" t="s">
        <v>47</v>
      </c>
      <c r="K9" s="226" t="s">
        <v>49</v>
      </c>
      <c r="L9" s="226" t="s">
        <v>53</v>
      </c>
      <c r="M9" s="226" t="s">
        <v>53</v>
      </c>
      <c r="N9" s="226" t="s">
        <v>47</v>
      </c>
      <c r="O9" s="226" t="s">
        <v>47</v>
      </c>
      <c r="P9" s="226" t="s">
        <v>47</v>
      </c>
      <c r="Q9" s="226" t="s">
        <v>47</v>
      </c>
      <c r="R9" s="226" t="s">
        <v>49</v>
      </c>
      <c r="S9" s="226" t="s">
        <v>53</v>
      </c>
      <c r="T9" s="226" t="s">
        <v>53</v>
      </c>
      <c r="U9" s="226" t="s">
        <v>47</v>
      </c>
      <c r="V9" s="226" t="s">
        <v>47</v>
      </c>
      <c r="W9" s="226" t="s">
        <v>47</v>
      </c>
      <c r="X9" s="226" t="s">
        <v>47</v>
      </c>
      <c r="Y9" s="226" t="s">
        <v>49</v>
      </c>
      <c r="Z9" s="226" t="s">
        <v>53</v>
      </c>
      <c r="AA9" s="226" t="s">
        <v>53</v>
      </c>
      <c r="AB9" s="226" t="s">
        <v>47</v>
      </c>
      <c r="AC9" s="226" t="s">
        <v>47</v>
      </c>
      <c r="AD9" s="226" t="s">
        <v>47</v>
      </c>
      <c r="AE9" s="226" t="s">
        <v>47</v>
      </c>
      <c r="AF9" s="226" t="s">
        <v>49</v>
      </c>
      <c r="AG9" s="226" t="s">
        <v>53</v>
      </c>
      <c r="AH9" s="225"/>
    </row>
    <row r="10">
      <c r="A10" s="227" t="s">
        <v>237</v>
      </c>
      <c r="B10" s="226" t="s">
        <v>80</v>
      </c>
      <c r="C10" s="225" t="s">
        <v>81</v>
      </c>
      <c r="D10" s="226" t="s">
        <v>47</v>
      </c>
      <c r="E10" s="226" t="s">
        <v>47</v>
      </c>
      <c r="F10" s="226" t="s">
        <v>53</v>
      </c>
      <c r="G10" s="226" t="s">
        <v>53</v>
      </c>
      <c r="H10" s="226" t="s">
        <v>47</v>
      </c>
      <c r="I10" s="226" t="s">
        <v>47</v>
      </c>
      <c r="J10" s="226" t="s">
        <v>47</v>
      </c>
      <c r="K10" s="225" t="s">
        <v>47</v>
      </c>
      <c r="L10" s="225" t="s">
        <v>47</v>
      </c>
      <c r="M10" s="226" t="s">
        <v>53</v>
      </c>
      <c r="N10" s="226" t="s">
        <v>53</v>
      </c>
      <c r="O10" s="226" t="s">
        <v>47</v>
      </c>
      <c r="P10" s="226" t="s">
        <v>47</v>
      </c>
      <c r="Q10" s="226" t="s">
        <v>47</v>
      </c>
      <c r="R10" s="226" t="s">
        <v>47</v>
      </c>
      <c r="S10" s="226" t="s">
        <v>47</v>
      </c>
      <c r="T10" s="226" t="s">
        <v>53</v>
      </c>
      <c r="U10" s="226" t="s">
        <v>53</v>
      </c>
      <c r="V10" s="226" t="s">
        <v>47</v>
      </c>
      <c r="W10" s="226" t="s">
        <v>47</v>
      </c>
      <c r="X10" s="226" t="s">
        <v>47</v>
      </c>
      <c r="Y10" s="226" t="s">
        <v>47</v>
      </c>
      <c r="Z10" s="226" t="s">
        <v>47</v>
      </c>
      <c r="AA10" s="226" t="s">
        <v>53</v>
      </c>
      <c r="AB10" s="226" t="s">
        <v>53</v>
      </c>
      <c r="AC10" s="226" t="s">
        <v>47</v>
      </c>
      <c r="AD10" s="226" t="s">
        <v>47</v>
      </c>
      <c r="AE10" s="226" t="s">
        <v>47</v>
      </c>
      <c r="AF10" s="226" t="s">
        <v>47</v>
      </c>
      <c r="AG10" s="226" t="s">
        <v>47</v>
      </c>
      <c r="AH10" s="225"/>
    </row>
    <row r="11">
      <c r="A11" s="227" t="s">
        <v>238</v>
      </c>
      <c r="B11" s="226" t="s">
        <v>83</v>
      </c>
      <c r="C11" s="225" t="s">
        <v>84</v>
      </c>
      <c r="D11" s="226" t="s">
        <v>47</v>
      </c>
      <c r="E11" s="226" t="s">
        <v>53</v>
      </c>
      <c r="F11" s="226" t="s">
        <v>53</v>
      </c>
      <c r="G11" s="226" t="s">
        <v>47</v>
      </c>
      <c r="H11" s="226" t="s">
        <v>47</v>
      </c>
      <c r="I11" s="226" t="s">
        <v>47</v>
      </c>
      <c r="J11" s="226" t="s">
        <v>47</v>
      </c>
      <c r="K11" s="226" t="s">
        <v>47</v>
      </c>
      <c r="L11" s="226" t="s">
        <v>53</v>
      </c>
      <c r="M11" s="226" t="s">
        <v>53</v>
      </c>
      <c r="N11" s="226" t="s">
        <v>47</v>
      </c>
      <c r="O11" s="226" t="s">
        <v>47</v>
      </c>
      <c r="P11" s="226" t="s">
        <v>47</v>
      </c>
      <c r="Q11" s="226" t="s">
        <v>47</v>
      </c>
      <c r="R11" s="226" t="s">
        <v>47</v>
      </c>
      <c r="S11" s="226" t="s">
        <v>53</v>
      </c>
      <c r="T11" s="226" t="s">
        <v>53</v>
      </c>
      <c r="U11" s="226" t="s">
        <v>48</v>
      </c>
      <c r="V11" s="226" t="s">
        <v>48</v>
      </c>
      <c r="W11" s="226" t="s">
        <v>48</v>
      </c>
      <c r="X11" s="226" t="s">
        <v>48</v>
      </c>
      <c r="Y11" s="226" t="s">
        <v>48</v>
      </c>
      <c r="Z11" s="226" t="s">
        <v>53</v>
      </c>
      <c r="AA11" s="226" t="s">
        <v>53</v>
      </c>
      <c r="AB11" s="226" t="s">
        <v>47</v>
      </c>
      <c r="AC11" s="226" t="s">
        <v>47</v>
      </c>
      <c r="AD11" s="226" t="s">
        <v>47</v>
      </c>
      <c r="AE11" s="226" t="s">
        <v>47</v>
      </c>
      <c r="AF11" s="226" t="s">
        <v>47</v>
      </c>
      <c r="AG11" s="226" t="s">
        <v>53</v>
      </c>
      <c r="AH11" s="225"/>
    </row>
    <row r="12">
      <c r="A12" s="227" t="s">
        <v>239</v>
      </c>
      <c r="B12" s="226" t="s">
        <v>86</v>
      </c>
      <c r="C12" s="225" t="s">
        <v>87</v>
      </c>
      <c r="D12" s="226" t="s">
        <v>47</v>
      </c>
      <c r="E12" s="226" t="s">
        <v>47</v>
      </c>
      <c r="F12" s="226" t="s">
        <v>53</v>
      </c>
      <c r="G12" s="226" t="s">
        <v>53</v>
      </c>
      <c r="H12" s="226" t="s">
        <v>47</v>
      </c>
      <c r="I12" s="226" t="s">
        <v>47</v>
      </c>
      <c r="J12" s="226" t="s">
        <v>47</v>
      </c>
      <c r="K12" s="226" t="s">
        <v>47</v>
      </c>
      <c r="L12" s="226" t="s">
        <v>47</v>
      </c>
      <c r="M12" s="226" t="s">
        <v>53</v>
      </c>
      <c r="N12" s="226" t="s">
        <v>53</v>
      </c>
      <c r="O12" s="226" t="s">
        <v>47</v>
      </c>
      <c r="P12" s="226" t="s">
        <v>47</v>
      </c>
      <c r="Q12" s="226" t="s">
        <v>47</v>
      </c>
      <c r="R12" s="226" t="s">
        <v>47</v>
      </c>
      <c r="S12" s="226" t="s">
        <v>49</v>
      </c>
      <c r="T12" s="226" t="s">
        <v>53</v>
      </c>
      <c r="U12" s="226" t="s">
        <v>53</v>
      </c>
      <c r="V12" s="226" t="s">
        <v>47</v>
      </c>
      <c r="W12" s="226" t="s">
        <v>47</v>
      </c>
      <c r="X12" s="226" t="s">
        <v>47</v>
      </c>
      <c r="Y12" s="226" t="s">
        <v>47</v>
      </c>
      <c r="Z12" s="226" t="s">
        <v>49</v>
      </c>
      <c r="AA12" s="226" t="s">
        <v>53</v>
      </c>
      <c r="AB12" s="226" t="s">
        <v>53</v>
      </c>
      <c r="AC12" s="226" t="s">
        <v>47</v>
      </c>
      <c r="AD12" s="226" t="s">
        <v>47</v>
      </c>
      <c r="AE12" s="226" t="s">
        <v>49</v>
      </c>
      <c r="AF12" s="226" t="s">
        <v>49</v>
      </c>
      <c r="AG12" s="226" t="s">
        <v>49</v>
      </c>
      <c r="AH12" s="225"/>
    </row>
    <row r="13">
      <c r="A13" s="227" t="s">
        <v>240</v>
      </c>
      <c r="B13" s="226" t="s">
        <v>89</v>
      </c>
      <c r="C13" s="225" t="s">
        <v>90</v>
      </c>
      <c r="D13" s="226" t="s">
        <v>47</v>
      </c>
      <c r="E13" s="226" t="s">
        <v>47</v>
      </c>
      <c r="F13" s="226" t="s">
        <v>47</v>
      </c>
      <c r="G13" s="226" t="s">
        <v>53</v>
      </c>
      <c r="H13" s="226" t="s">
        <v>53</v>
      </c>
      <c r="I13" s="226" t="s">
        <v>47</v>
      </c>
      <c r="J13" s="226" t="s">
        <v>47</v>
      </c>
      <c r="K13" s="226" t="s">
        <v>47</v>
      </c>
      <c r="L13" s="226" t="s">
        <v>47</v>
      </c>
      <c r="M13" s="226" t="s">
        <v>48</v>
      </c>
      <c r="N13" s="226" t="s">
        <v>53</v>
      </c>
      <c r="O13" s="226" t="s">
        <v>53</v>
      </c>
      <c r="P13" s="226" t="s">
        <v>47</v>
      </c>
      <c r="Q13" s="226" t="s">
        <v>47</v>
      </c>
      <c r="R13" s="226" t="s">
        <v>47</v>
      </c>
      <c r="S13" s="226" t="s">
        <v>47</v>
      </c>
      <c r="T13" s="226" t="s">
        <v>47</v>
      </c>
      <c r="U13" s="226" t="s">
        <v>53</v>
      </c>
      <c r="V13" s="226" t="s">
        <v>53</v>
      </c>
      <c r="W13" s="226" t="s">
        <v>47</v>
      </c>
      <c r="X13" s="226" t="s">
        <v>47</v>
      </c>
      <c r="Y13" s="226" t="s">
        <v>47</v>
      </c>
      <c r="Z13" s="226" t="s">
        <v>47</v>
      </c>
      <c r="AA13" s="225" t="s">
        <v>47</v>
      </c>
      <c r="AB13" s="226" t="s">
        <v>53</v>
      </c>
      <c r="AC13" s="226" t="s">
        <v>53</v>
      </c>
      <c r="AD13" s="226" t="s">
        <v>48</v>
      </c>
      <c r="AE13" s="226" t="s">
        <v>47</v>
      </c>
      <c r="AF13" s="226" t="s">
        <v>47</v>
      </c>
      <c r="AG13" s="226" t="s">
        <v>47</v>
      </c>
      <c r="AH13" s="225"/>
    </row>
    <row r="14">
      <c r="A14" s="227" t="s">
        <v>241</v>
      </c>
      <c r="B14" s="226" t="s">
        <v>92</v>
      </c>
      <c r="C14" s="225" t="s">
        <v>93</v>
      </c>
      <c r="D14" s="226" t="s">
        <v>47</v>
      </c>
      <c r="E14" s="226" t="s">
        <v>47</v>
      </c>
      <c r="F14" s="226" t="s">
        <v>47</v>
      </c>
      <c r="G14" s="226" t="s">
        <v>47</v>
      </c>
      <c r="H14" s="226" t="s">
        <v>47</v>
      </c>
      <c r="I14" s="226" t="s">
        <v>53</v>
      </c>
      <c r="J14" s="226" t="s">
        <v>53</v>
      </c>
      <c r="K14" s="226" t="s">
        <v>47</v>
      </c>
      <c r="L14" s="226" t="s">
        <v>47</v>
      </c>
      <c r="M14" s="226" t="s">
        <v>47</v>
      </c>
      <c r="N14" s="226" t="s">
        <v>47</v>
      </c>
      <c r="O14" s="226" t="s">
        <v>47</v>
      </c>
      <c r="P14" s="226" t="s">
        <v>53</v>
      </c>
      <c r="Q14" s="226" t="s">
        <v>53</v>
      </c>
      <c r="R14" s="226" t="s">
        <v>47</v>
      </c>
      <c r="S14" s="226" t="s">
        <v>47</v>
      </c>
      <c r="T14" s="226" t="s">
        <v>47</v>
      </c>
      <c r="U14" s="226" t="s">
        <v>47</v>
      </c>
      <c r="V14" s="226" t="s">
        <v>48</v>
      </c>
      <c r="W14" s="226" t="s">
        <v>53</v>
      </c>
      <c r="X14" s="226" t="s">
        <v>53</v>
      </c>
      <c r="Y14" s="226" t="s">
        <v>47</v>
      </c>
      <c r="Z14" s="226" t="s">
        <v>47</v>
      </c>
      <c r="AA14" s="226" t="s">
        <v>47</v>
      </c>
      <c r="AB14" s="226" t="s">
        <v>47</v>
      </c>
      <c r="AC14" s="226" t="s">
        <v>48</v>
      </c>
      <c r="AD14" s="226" t="s">
        <v>53</v>
      </c>
      <c r="AE14" s="226" t="s">
        <v>53</v>
      </c>
      <c r="AF14" s="226" t="s">
        <v>47</v>
      </c>
      <c r="AG14" s="226" t="s">
        <v>47</v>
      </c>
      <c r="AH14" s="225"/>
    </row>
    <row r="15">
      <c r="A15" s="227" t="s">
        <v>242</v>
      </c>
      <c r="B15" s="226" t="s">
        <v>95</v>
      </c>
      <c r="C15" s="225" t="s">
        <v>96</v>
      </c>
      <c r="D15" s="226" t="s">
        <v>53</v>
      </c>
      <c r="E15" s="226" t="s">
        <v>53</v>
      </c>
      <c r="F15" s="226" t="s">
        <v>47</v>
      </c>
      <c r="G15" s="226" t="s">
        <v>47</v>
      </c>
      <c r="H15" s="226" t="s">
        <v>47</v>
      </c>
      <c r="I15" s="226" t="s">
        <v>47</v>
      </c>
      <c r="J15" s="226" t="s">
        <v>47</v>
      </c>
      <c r="K15" s="226" t="s">
        <v>53</v>
      </c>
      <c r="L15" s="226" t="s">
        <v>53</v>
      </c>
      <c r="M15" s="226" t="s">
        <v>49</v>
      </c>
      <c r="N15" s="226" t="s">
        <v>47</v>
      </c>
      <c r="O15" s="226" t="s">
        <v>47</v>
      </c>
      <c r="P15" s="226" t="s">
        <v>47</v>
      </c>
      <c r="Q15" s="226" t="s">
        <v>47</v>
      </c>
      <c r="R15" s="226" t="s">
        <v>53</v>
      </c>
      <c r="S15" s="226" t="s">
        <v>53</v>
      </c>
      <c r="T15" s="226" t="s">
        <v>49</v>
      </c>
      <c r="U15" s="226" t="s">
        <v>47</v>
      </c>
      <c r="V15" s="226" t="s">
        <v>47</v>
      </c>
      <c r="W15" s="226" t="s">
        <v>47</v>
      </c>
      <c r="X15" s="226" t="s">
        <v>47</v>
      </c>
      <c r="Y15" s="226" t="s">
        <v>53</v>
      </c>
      <c r="Z15" s="226" t="s">
        <v>53</v>
      </c>
      <c r="AA15" s="226" t="s">
        <v>47</v>
      </c>
      <c r="AB15" s="226" t="s">
        <v>47</v>
      </c>
      <c r="AC15" s="226" t="s">
        <v>47</v>
      </c>
      <c r="AD15" s="226" t="s">
        <v>47</v>
      </c>
      <c r="AE15" s="226" t="s">
        <v>47</v>
      </c>
      <c r="AF15" s="226" t="s">
        <v>53</v>
      </c>
      <c r="AG15" s="226" t="s">
        <v>53</v>
      </c>
      <c r="AH15" s="225"/>
    </row>
    <row r="16">
      <c r="A16" s="227" t="s">
        <v>243</v>
      </c>
      <c r="B16" s="226" t="s">
        <v>98</v>
      </c>
      <c r="C16" s="225" t="s">
        <v>99</v>
      </c>
      <c r="D16" s="226" t="s">
        <v>47</v>
      </c>
      <c r="E16" s="226" t="s">
        <v>47</v>
      </c>
      <c r="F16" s="226" t="s">
        <v>53</v>
      </c>
      <c r="G16" s="226" t="s">
        <v>53</v>
      </c>
      <c r="H16" s="226" t="s">
        <v>47</v>
      </c>
      <c r="I16" s="226" t="s">
        <v>47</v>
      </c>
      <c r="J16" s="226" t="s">
        <v>47</v>
      </c>
      <c r="K16" s="226" t="s">
        <v>47</v>
      </c>
      <c r="L16" s="226" t="s">
        <v>47</v>
      </c>
      <c r="M16" s="226" t="s">
        <v>53</v>
      </c>
      <c r="N16" s="226" t="s">
        <v>53</v>
      </c>
      <c r="O16" s="226" t="s">
        <v>47</v>
      </c>
      <c r="P16" s="226" t="s">
        <v>47</v>
      </c>
      <c r="Q16" s="226" t="s">
        <v>47</v>
      </c>
      <c r="R16" s="226" t="s">
        <v>47</v>
      </c>
      <c r="S16" s="226" t="s">
        <v>47</v>
      </c>
      <c r="T16" s="226" t="s">
        <v>53</v>
      </c>
      <c r="U16" s="226" t="s">
        <v>53</v>
      </c>
      <c r="V16" s="226" t="s">
        <v>47</v>
      </c>
      <c r="W16" s="226" t="s">
        <v>47</v>
      </c>
      <c r="X16" s="226" t="s">
        <v>47</v>
      </c>
      <c r="Y16" s="226" t="s">
        <v>47</v>
      </c>
      <c r="Z16" s="226" t="s">
        <v>47</v>
      </c>
      <c r="AA16" s="226" t="s">
        <v>53</v>
      </c>
      <c r="AB16" s="226" t="s">
        <v>53</v>
      </c>
      <c r="AC16" s="226" t="s">
        <v>47</v>
      </c>
      <c r="AD16" s="226" t="s">
        <v>47</v>
      </c>
      <c r="AE16" s="226" t="s">
        <v>47</v>
      </c>
      <c r="AF16" s="226" t="s">
        <v>47</v>
      </c>
      <c r="AG16" s="226" t="s">
        <v>47</v>
      </c>
      <c r="AH16" s="225"/>
    </row>
    <row r="17">
      <c r="A17" s="227" t="s">
        <v>244</v>
      </c>
      <c r="B17" s="226" t="s">
        <v>101</v>
      </c>
      <c r="C17" s="225" t="s">
        <v>102</v>
      </c>
      <c r="D17" s="226" t="s">
        <v>53</v>
      </c>
      <c r="E17" s="226" t="s">
        <v>53</v>
      </c>
      <c r="F17" s="226" t="s">
        <v>47</v>
      </c>
      <c r="G17" s="226" t="s">
        <v>47</v>
      </c>
      <c r="H17" s="226" t="s">
        <v>47</v>
      </c>
      <c r="I17" s="226" t="s">
        <v>47</v>
      </c>
      <c r="J17" s="226" t="s">
        <v>47</v>
      </c>
      <c r="K17" s="226" t="s">
        <v>53</v>
      </c>
      <c r="L17" s="226" t="s">
        <v>53</v>
      </c>
      <c r="M17" s="226" t="s">
        <v>47</v>
      </c>
      <c r="N17" s="226" t="s">
        <v>47</v>
      </c>
      <c r="O17" s="226" t="s">
        <v>47</v>
      </c>
      <c r="P17" s="226" t="s">
        <v>47</v>
      </c>
      <c r="Q17" s="226" t="s">
        <v>47</v>
      </c>
      <c r="R17" s="226" t="s">
        <v>53</v>
      </c>
      <c r="S17" s="226" t="s">
        <v>53</v>
      </c>
      <c r="T17" s="226" t="s">
        <v>47</v>
      </c>
      <c r="U17" s="226" t="s">
        <v>47</v>
      </c>
      <c r="V17" s="226" t="s">
        <v>47</v>
      </c>
      <c r="W17" s="226" t="s">
        <v>47</v>
      </c>
      <c r="X17" s="226" t="s">
        <v>47</v>
      </c>
      <c r="Y17" s="226" t="s">
        <v>53</v>
      </c>
      <c r="Z17" s="226" t="s">
        <v>53</v>
      </c>
      <c r="AA17" s="226" t="s">
        <v>47</v>
      </c>
      <c r="AB17" s="226" t="s">
        <v>47</v>
      </c>
      <c r="AC17" s="226" t="s">
        <v>47</v>
      </c>
      <c r="AD17" s="226" t="s">
        <v>47</v>
      </c>
      <c r="AE17" s="226" t="s">
        <v>47</v>
      </c>
      <c r="AF17" s="226" t="s">
        <v>47</v>
      </c>
      <c r="AG17" s="226" t="s">
        <v>53</v>
      </c>
      <c r="AH17" s="225"/>
    </row>
    <row r="18">
      <c r="A18" s="227" t="s">
        <v>245</v>
      </c>
      <c r="B18" s="226" t="s">
        <v>104</v>
      </c>
      <c r="C18" s="225" t="s">
        <v>105</v>
      </c>
      <c r="D18" s="226" t="s">
        <v>53</v>
      </c>
      <c r="E18" s="226" t="s">
        <v>47</v>
      </c>
      <c r="F18" s="226" t="s">
        <v>47</v>
      </c>
      <c r="G18" s="226" t="s">
        <v>47</v>
      </c>
      <c r="H18" s="226" t="s">
        <v>47</v>
      </c>
      <c r="I18" s="226" t="s">
        <v>47</v>
      </c>
      <c r="J18" s="226" t="s">
        <v>53</v>
      </c>
      <c r="K18" s="226" t="s">
        <v>53</v>
      </c>
      <c r="L18" s="226" t="s">
        <v>47</v>
      </c>
      <c r="M18" s="226" t="s">
        <v>47</v>
      </c>
      <c r="N18" s="226" t="s">
        <v>49</v>
      </c>
      <c r="O18" s="226" t="s">
        <v>47</v>
      </c>
      <c r="P18" s="226" t="s">
        <v>47</v>
      </c>
      <c r="Q18" s="226" t="s">
        <v>53</v>
      </c>
      <c r="R18" s="226" t="s">
        <v>53</v>
      </c>
      <c r="S18" s="226" t="s">
        <v>47</v>
      </c>
      <c r="T18" s="226" t="s">
        <v>47</v>
      </c>
      <c r="U18" s="226" t="s">
        <v>49</v>
      </c>
      <c r="V18" s="226" t="s">
        <v>47</v>
      </c>
      <c r="W18" s="226" t="s">
        <v>47</v>
      </c>
      <c r="X18" s="226" t="s">
        <v>53</v>
      </c>
      <c r="Y18" s="226" t="s">
        <v>53</v>
      </c>
      <c r="Z18" s="226" t="s">
        <v>47</v>
      </c>
      <c r="AA18" s="226" t="s">
        <v>47</v>
      </c>
      <c r="AB18" s="226" t="s">
        <v>47</v>
      </c>
      <c r="AC18" s="226" t="s">
        <v>47</v>
      </c>
      <c r="AD18" s="226" t="s">
        <v>47</v>
      </c>
      <c r="AE18" s="226" t="s">
        <v>53</v>
      </c>
      <c r="AF18" s="226" t="s">
        <v>53</v>
      </c>
      <c r="AG18" s="225" t="s">
        <v>47</v>
      </c>
      <c r="AH18" s="225"/>
    </row>
    <row r="19">
      <c r="A19" s="227" t="s">
        <v>246</v>
      </c>
      <c r="B19" s="226" t="s">
        <v>107</v>
      </c>
      <c r="C19" s="225" t="s">
        <v>108</v>
      </c>
      <c r="D19" s="226" t="s">
        <v>47</v>
      </c>
      <c r="E19" s="226" t="s">
        <v>53</v>
      </c>
      <c r="F19" s="226" t="s">
        <v>47</v>
      </c>
      <c r="G19" s="226" t="s">
        <v>47</v>
      </c>
      <c r="H19" s="226" t="s">
        <v>53</v>
      </c>
      <c r="I19" s="226" t="s">
        <v>47</v>
      </c>
      <c r="J19" s="225" t="s">
        <v>47</v>
      </c>
      <c r="K19" s="225" t="s">
        <v>47</v>
      </c>
      <c r="L19" s="226" t="s">
        <v>53</v>
      </c>
      <c r="M19" s="225" t="s">
        <v>47</v>
      </c>
      <c r="N19" s="225" t="s">
        <v>47</v>
      </c>
      <c r="O19" s="226" t="s">
        <v>53</v>
      </c>
      <c r="P19" s="226" t="s">
        <v>47</v>
      </c>
      <c r="Q19" s="225" t="s">
        <v>47</v>
      </c>
      <c r="R19" s="225" t="s">
        <v>47</v>
      </c>
      <c r="S19" s="226" t="s">
        <v>53</v>
      </c>
      <c r="T19" s="226" t="s">
        <v>47</v>
      </c>
      <c r="U19" s="226" t="s">
        <v>47</v>
      </c>
      <c r="V19" s="226" t="s">
        <v>53</v>
      </c>
      <c r="W19" s="226" t="s">
        <v>47</v>
      </c>
      <c r="X19" s="226" t="s">
        <v>47</v>
      </c>
      <c r="Y19" s="226" t="s">
        <v>47</v>
      </c>
      <c r="Z19" s="226" t="s">
        <v>53</v>
      </c>
      <c r="AA19" s="226" t="s">
        <v>49</v>
      </c>
      <c r="AB19" s="226" t="s">
        <v>49</v>
      </c>
      <c r="AC19" s="226" t="s">
        <v>53</v>
      </c>
      <c r="AD19" s="226" t="s">
        <v>47</v>
      </c>
      <c r="AE19" s="225" t="s">
        <v>47</v>
      </c>
      <c r="AF19" s="225" t="s">
        <v>47</v>
      </c>
      <c r="AG19" s="226" t="s">
        <v>53</v>
      </c>
      <c r="AH19" s="225"/>
    </row>
    <row r="20">
      <c r="A20" s="227" t="s">
        <v>247</v>
      </c>
      <c r="B20" s="226" t="s">
        <v>110</v>
      </c>
      <c r="C20" s="225" t="s">
        <v>111</v>
      </c>
      <c r="D20" s="226" t="s">
        <v>53</v>
      </c>
      <c r="E20" s="226" t="s">
        <v>47</v>
      </c>
      <c r="F20" s="226" t="s">
        <v>47</v>
      </c>
      <c r="G20" s="226" t="s">
        <v>47</v>
      </c>
      <c r="H20" s="226" t="s">
        <v>47</v>
      </c>
      <c r="I20" s="226" t="s">
        <v>47</v>
      </c>
      <c r="J20" s="226" t="s">
        <v>53</v>
      </c>
      <c r="K20" s="226" t="s">
        <v>53</v>
      </c>
      <c r="L20" s="226" t="s">
        <v>47</v>
      </c>
      <c r="M20" s="226" t="s">
        <v>47</v>
      </c>
      <c r="N20" s="226" t="s">
        <v>47</v>
      </c>
      <c r="O20" s="226" t="s">
        <v>47</v>
      </c>
      <c r="P20" s="226" t="s">
        <v>47</v>
      </c>
      <c r="Q20" s="226" t="s">
        <v>53</v>
      </c>
      <c r="R20" s="226" t="s">
        <v>53</v>
      </c>
      <c r="S20" s="226" t="s">
        <v>47</v>
      </c>
      <c r="T20" s="226" t="s">
        <v>47</v>
      </c>
      <c r="U20" s="226" t="s">
        <v>47</v>
      </c>
      <c r="V20" s="226" t="s">
        <v>49</v>
      </c>
      <c r="W20" s="226" t="s">
        <v>49</v>
      </c>
      <c r="X20" s="226" t="s">
        <v>53</v>
      </c>
      <c r="Y20" s="226" t="s">
        <v>53</v>
      </c>
      <c r="Z20" s="226" t="s">
        <v>47</v>
      </c>
      <c r="AA20" s="226" t="s">
        <v>47</v>
      </c>
      <c r="AB20" s="226" t="s">
        <v>47</v>
      </c>
      <c r="AC20" s="226" t="s">
        <v>47</v>
      </c>
      <c r="AD20" s="226" t="s">
        <v>47</v>
      </c>
      <c r="AE20" s="226" t="s">
        <v>53</v>
      </c>
      <c r="AF20" s="226" t="s">
        <v>53</v>
      </c>
      <c r="AG20" s="225" t="s">
        <v>47</v>
      </c>
      <c r="AH20" s="225"/>
    </row>
    <row r="21">
      <c r="A21" s="227" t="s">
        <v>248</v>
      </c>
      <c r="B21" s="226" t="s">
        <v>113</v>
      </c>
      <c r="C21" s="225" t="s">
        <v>114</v>
      </c>
      <c r="D21" s="226" t="s">
        <v>53</v>
      </c>
      <c r="E21" s="226" t="s">
        <v>53</v>
      </c>
      <c r="F21" s="226" t="s">
        <v>49</v>
      </c>
      <c r="G21" s="226" t="s">
        <v>47</v>
      </c>
      <c r="H21" s="226" t="s">
        <v>47</v>
      </c>
      <c r="I21" s="226" t="s">
        <v>47</v>
      </c>
      <c r="J21" s="226" t="s">
        <v>47</v>
      </c>
      <c r="K21" s="226" t="s">
        <v>53</v>
      </c>
      <c r="L21" s="226" t="s">
        <v>53</v>
      </c>
      <c r="M21" s="225" t="s">
        <v>47</v>
      </c>
      <c r="N21" s="225" t="s">
        <v>47</v>
      </c>
      <c r="O21" s="225" t="s">
        <v>47</v>
      </c>
      <c r="P21" s="225" t="s">
        <v>47</v>
      </c>
      <c r="Q21" s="225" t="s">
        <v>47</v>
      </c>
      <c r="R21" s="226" t="s">
        <v>53</v>
      </c>
      <c r="S21" s="226" t="s">
        <v>53</v>
      </c>
      <c r="T21" s="225" t="s">
        <v>47</v>
      </c>
      <c r="U21" s="225" t="s">
        <v>47</v>
      </c>
      <c r="V21" s="225" t="s">
        <v>47</v>
      </c>
      <c r="W21" s="225" t="s">
        <v>47</v>
      </c>
      <c r="X21" s="225" t="s">
        <v>47</v>
      </c>
      <c r="Y21" s="226" t="s">
        <v>53</v>
      </c>
      <c r="Z21" s="226" t="s">
        <v>53</v>
      </c>
      <c r="AA21" s="225" t="s">
        <v>47</v>
      </c>
      <c r="AB21" s="226" t="s">
        <v>47</v>
      </c>
      <c r="AC21" s="226" t="s">
        <v>47</v>
      </c>
      <c r="AD21" s="225" t="s">
        <v>47</v>
      </c>
      <c r="AE21" s="225" t="s">
        <v>47</v>
      </c>
      <c r="AF21" s="226" t="s">
        <v>53</v>
      </c>
      <c r="AG21" s="226" t="s">
        <v>53</v>
      </c>
      <c r="AH21" s="225"/>
    </row>
    <row r="22">
      <c r="A22" s="227" t="s">
        <v>249</v>
      </c>
      <c r="B22" s="226" t="s">
        <v>116</v>
      </c>
      <c r="C22" s="225" t="s">
        <v>117</v>
      </c>
      <c r="D22" s="225" t="s">
        <v>47</v>
      </c>
      <c r="E22" s="225" t="s">
        <v>47</v>
      </c>
      <c r="F22" s="225" t="s">
        <v>47</v>
      </c>
      <c r="G22" s="225" t="s">
        <v>47</v>
      </c>
      <c r="H22" s="226" t="s">
        <v>53</v>
      </c>
      <c r="I22" s="226" t="s">
        <v>53</v>
      </c>
      <c r="J22" s="226" t="s">
        <v>47</v>
      </c>
      <c r="K22" s="225" t="s">
        <v>47</v>
      </c>
      <c r="L22" s="225" t="s">
        <v>47</v>
      </c>
      <c r="M22" s="226" t="s">
        <v>47</v>
      </c>
      <c r="N22" s="226" t="s">
        <v>47</v>
      </c>
      <c r="O22" s="226" t="s">
        <v>53</v>
      </c>
      <c r="P22" s="226" t="s">
        <v>53</v>
      </c>
      <c r="Q22" s="226" t="s">
        <v>47</v>
      </c>
      <c r="R22" s="226" t="s">
        <v>47</v>
      </c>
      <c r="S22" s="226" t="s">
        <v>47</v>
      </c>
      <c r="T22" s="226" t="s">
        <v>47</v>
      </c>
      <c r="U22" s="226" t="s">
        <v>47</v>
      </c>
      <c r="V22" s="226" t="s">
        <v>53</v>
      </c>
      <c r="W22" s="226" t="s">
        <v>53</v>
      </c>
      <c r="X22" s="226" t="s">
        <v>47</v>
      </c>
      <c r="Y22" s="226" t="s">
        <v>47</v>
      </c>
      <c r="Z22" s="226" t="s">
        <v>47</v>
      </c>
      <c r="AA22" s="226" t="s">
        <v>47</v>
      </c>
      <c r="AB22" s="226" t="s">
        <v>47</v>
      </c>
      <c r="AC22" s="226" t="s">
        <v>53</v>
      </c>
      <c r="AD22" s="226" t="s">
        <v>53</v>
      </c>
      <c r="AE22" s="226" t="s">
        <v>47</v>
      </c>
      <c r="AF22" s="226" t="s">
        <v>47</v>
      </c>
      <c r="AG22" s="226" t="s">
        <v>47</v>
      </c>
      <c r="AH22" s="225"/>
    </row>
    <row r="23">
      <c r="A23" s="227" t="s">
        <v>250</v>
      </c>
      <c r="B23" s="226" t="s">
        <v>119</v>
      </c>
      <c r="C23" s="225" t="s">
        <v>120</v>
      </c>
      <c r="D23" s="226" t="s">
        <v>53</v>
      </c>
      <c r="E23" s="226" t="s">
        <v>53</v>
      </c>
      <c r="F23" s="226" t="s">
        <v>49</v>
      </c>
      <c r="G23" s="226" t="s">
        <v>47</v>
      </c>
      <c r="H23" s="226" t="s">
        <v>47</v>
      </c>
      <c r="I23" s="226" t="s">
        <v>47</v>
      </c>
      <c r="J23" s="226" t="s">
        <v>47</v>
      </c>
      <c r="K23" s="226" t="s">
        <v>53</v>
      </c>
      <c r="L23" s="226" t="s">
        <v>53</v>
      </c>
      <c r="M23" s="226" t="s">
        <v>49</v>
      </c>
      <c r="N23" s="226" t="s">
        <v>47</v>
      </c>
      <c r="O23" s="226" t="s">
        <v>47</v>
      </c>
      <c r="P23" s="226" t="s">
        <v>47</v>
      </c>
      <c r="Q23" s="226" t="s">
        <v>47</v>
      </c>
      <c r="R23" s="226" t="s">
        <v>53</v>
      </c>
      <c r="S23" s="226" t="s">
        <v>53</v>
      </c>
      <c r="T23" s="226" t="s">
        <v>49</v>
      </c>
      <c r="U23" s="226" t="s">
        <v>47</v>
      </c>
      <c r="V23" s="226" t="s">
        <v>47</v>
      </c>
      <c r="W23" s="226" t="s">
        <v>49</v>
      </c>
      <c r="X23" s="226" t="s">
        <v>47</v>
      </c>
      <c r="Y23" s="226" t="s">
        <v>53</v>
      </c>
      <c r="Z23" s="226" t="s">
        <v>53</v>
      </c>
      <c r="AA23" s="226" t="s">
        <v>47</v>
      </c>
      <c r="AB23" s="226" t="s">
        <v>47</v>
      </c>
      <c r="AC23" s="226" t="s">
        <v>47</v>
      </c>
      <c r="AD23" s="226" t="s">
        <v>47</v>
      </c>
      <c r="AE23" s="226" t="s">
        <v>47</v>
      </c>
      <c r="AF23" s="226" t="s">
        <v>53</v>
      </c>
      <c r="AG23" s="226" t="s">
        <v>53</v>
      </c>
      <c r="AH23" s="225"/>
    </row>
    <row r="24">
      <c r="A24" s="227" t="s">
        <v>251</v>
      </c>
      <c r="B24" s="226" t="s">
        <v>122</v>
      </c>
      <c r="C24" s="225" t="s">
        <v>123</v>
      </c>
      <c r="D24" s="225" t="s">
        <v>47</v>
      </c>
      <c r="E24" s="225" t="s">
        <v>47</v>
      </c>
      <c r="F24" s="225" t="s">
        <v>47</v>
      </c>
      <c r="G24" s="226" t="s">
        <v>47</v>
      </c>
      <c r="H24" s="226" t="s">
        <v>53</v>
      </c>
      <c r="I24" s="226" t="s">
        <v>53</v>
      </c>
      <c r="J24" s="226" t="s">
        <v>47</v>
      </c>
      <c r="K24" s="225" t="s">
        <v>47</v>
      </c>
      <c r="L24" s="225" t="s">
        <v>47</v>
      </c>
      <c r="M24" s="226" t="s">
        <v>47</v>
      </c>
      <c r="N24" s="226" t="s">
        <v>47</v>
      </c>
      <c r="O24" s="226" t="s">
        <v>53</v>
      </c>
      <c r="P24" s="226" t="s">
        <v>53</v>
      </c>
      <c r="Q24" s="226" t="s">
        <v>47</v>
      </c>
      <c r="R24" s="226" t="s">
        <v>47</v>
      </c>
      <c r="S24" s="226" t="s">
        <v>47</v>
      </c>
      <c r="T24" s="226" t="s">
        <v>47</v>
      </c>
      <c r="U24" s="226" t="s">
        <v>47</v>
      </c>
      <c r="V24" s="226" t="s">
        <v>53</v>
      </c>
      <c r="W24" s="226" t="s">
        <v>53</v>
      </c>
      <c r="X24" s="226" t="s">
        <v>47</v>
      </c>
      <c r="Y24" s="226" t="s">
        <v>47</v>
      </c>
      <c r="Z24" s="226" t="s">
        <v>47</v>
      </c>
      <c r="AA24" s="226" t="s">
        <v>47</v>
      </c>
      <c r="AB24" s="226" t="s">
        <v>47</v>
      </c>
      <c r="AC24" s="226" t="s">
        <v>53</v>
      </c>
      <c r="AD24" s="226" t="s">
        <v>53</v>
      </c>
      <c r="AE24" s="226" t="s">
        <v>47</v>
      </c>
      <c r="AF24" s="226" t="s">
        <v>47</v>
      </c>
      <c r="AG24" s="226" t="s">
        <v>47</v>
      </c>
      <c r="AH24" s="225"/>
    </row>
    <row r="25">
      <c r="A25" s="227" t="s">
        <v>252</v>
      </c>
      <c r="B25" s="226" t="s">
        <v>125</v>
      </c>
      <c r="C25" s="225" t="s">
        <v>126</v>
      </c>
      <c r="D25" s="225" t="s">
        <v>47</v>
      </c>
      <c r="E25" s="225" t="s">
        <v>47</v>
      </c>
      <c r="F25" s="225" t="s">
        <v>47</v>
      </c>
      <c r="G25" s="225" t="s">
        <v>47</v>
      </c>
      <c r="H25" s="226" t="s">
        <v>53</v>
      </c>
      <c r="I25" s="226" t="s">
        <v>53</v>
      </c>
      <c r="J25" s="226" t="s">
        <v>47</v>
      </c>
      <c r="K25" s="225" t="s">
        <v>47</v>
      </c>
      <c r="L25" s="225" t="s">
        <v>47</v>
      </c>
      <c r="M25" s="225" t="s">
        <v>47</v>
      </c>
      <c r="N25" s="225" t="s">
        <v>47</v>
      </c>
      <c r="O25" s="226" t="s">
        <v>53</v>
      </c>
      <c r="P25" s="226" t="s">
        <v>53</v>
      </c>
      <c r="Q25" s="226" t="s">
        <v>47</v>
      </c>
      <c r="R25" s="225" t="s">
        <v>47</v>
      </c>
      <c r="S25" s="225" t="s">
        <v>47</v>
      </c>
      <c r="T25" s="226" t="s">
        <v>47</v>
      </c>
      <c r="U25" s="226" t="s">
        <v>47</v>
      </c>
      <c r="V25" s="226" t="s">
        <v>53</v>
      </c>
      <c r="W25" s="226" t="s">
        <v>53</v>
      </c>
      <c r="X25" s="226" t="s">
        <v>47</v>
      </c>
      <c r="Y25" s="226" t="s">
        <v>49</v>
      </c>
      <c r="Z25" s="226" t="s">
        <v>49</v>
      </c>
      <c r="AA25" s="226" t="s">
        <v>49</v>
      </c>
      <c r="AB25" s="226" t="s">
        <v>49</v>
      </c>
      <c r="AC25" s="226" t="s">
        <v>53</v>
      </c>
      <c r="AD25" s="226" t="s">
        <v>53</v>
      </c>
      <c r="AE25" s="226" t="s">
        <v>47</v>
      </c>
      <c r="AF25" s="226" t="s">
        <v>47</v>
      </c>
      <c r="AG25" s="226" t="s">
        <v>47</v>
      </c>
      <c r="AH25" s="225"/>
    </row>
    <row r="26">
      <c r="A26" s="227" t="s">
        <v>253</v>
      </c>
      <c r="B26" s="226" t="s">
        <v>128</v>
      </c>
      <c r="C26" s="225" t="s">
        <v>129</v>
      </c>
      <c r="D26" s="226" t="s">
        <v>53</v>
      </c>
      <c r="E26" s="226" t="s">
        <v>53</v>
      </c>
      <c r="F26" s="226" t="s">
        <v>47</v>
      </c>
      <c r="G26" s="226" t="s">
        <v>47</v>
      </c>
      <c r="H26" s="226" t="s">
        <v>47</v>
      </c>
      <c r="I26" s="226" t="s">
        <v>47</v>
      </c>
      <c r="J26" s="226" t="s">
        <v>49</v>
      </c>
      <c r="K26" s="226" t="s">
        <v>53</v>
      </c>
      <c r="L26" s="226" t="s">
        <v>53</v>
      </c>
      <c r="M26" s="226" t="s">
        <v>47</v>
      </c>
      <c r="N26" s="226" t="s">
        <v>47</v>
      </c>
      <c r="O26" s="226" t="s">
        <v>47</v>
      </c>
      <c r="P26" s="226" t="s">
        <v>47</v>
      </c>
      <c r="Q26" s="226" t="s">
        <v>49</v>
      </c>
      <c r="R26" s="226" t="s">
        <v>53</v>
      </c>
      <c r="S26" s="226" t="s">
        <v>53</v>
      </c>
      <c r="T26" s="226" t="s">
        <v>47</v>
      </c>
      <c r="U26" s="226" t="s">
        <v>47</v>
      </c>
      <c r="V26" s="226" t="s">
        <v>47</v>
      </c>
      <c r="W26" s="226" t="s">
        <v>47</v>
      </c>
      <c r="X26" s="226" t="s">
        <v>49</v>
      </c>
      <c r="Y26" s="226" t="s">
        <v>53</v>
      </c>
      <c r="Z26" s="226" t="s">
        <v>53</v>
      </c>
      <c r="AA26" s="226" t="s">
        <v>47</v>
      </c>
      <c r="AB26" s="225" t="s">
        <v>47</v>
      </c>
      <c r="AC26" s="225" t="s">
        <v>47</v>
      </c>
      <c r="AD26" s="226" t="s">
        <v>47</v>
      </c>
      <c r="AE26" s="226" t="s">
        <v>49</v>
      </c>
      <c r="AF26" s="226" t="s">
        <v>53</v>
      </c>
      <c r="AG26" s="226" t="s">
        <v>53</v>
      </c>
      <c r="AH26" s="225"/>
    </row>
    <row r="27">
      <c r="A27" s="227" t="s">
        <v>254</v>
      </c>
      <c r="B27" s="226" t="s">
        <v>131</v>
      </c>
      <c r="C27" s="225" t="s">
        <v>132</v>
      </c>
      <c r="D27" s="226" t="s">
        <v>47</v>
      </c>
      <c r="E27" s="226" t="s">
        <v>47</v>
      </c>
      <c r="F27" s="226" t="s">
        <v>47</v>
      </c>
      <c r="G27" s="226" t="s">
        <v>53</v>
      </c>
      <c r="H27" s="226" t="s">
        <v>53</v>
      </c>
      <c r="I27" s="226" t="s">
        <v>47</v>
      </c>
      <c r="J27" s="226" t="s">
        <v>47</v>
      </c>
      <c r="K27" s="226" t="s">
        <v>47</v>
      </c>
      <c r="L27" s="226" t="s">
        <v>47</v>
      </c>
      <c r="M27" s="226" t="s">
        <v>47</v>
      </c>
      <c r="N27" s="226" t="s">
        <v>53</v>
      </c>
      <c r="O27" s="226" t="s">
        <v>53</v>
      </c>
      <c r="P27" s="226" t="s">
        <v>47</v>
      </c>
      <c r="Q27" s="226" t="s">
        <v>47</v>
      </c>
      <c r="R27" s="226" t="s">
        <v>47</v>
      </c>
      <c r="S27" s="226" t="s">
        <v>47</v>
      </c>
      <c r="T27" s="225" t="s">
        <v>47</v>
      </c>
      <c r="U27" s="226" t="s">
        <v>53</v>
      </c>
      <c r="V27" s="226" t="s">
        <v>53</v>
      </c>
      <c r="W27" s="226" t="s">
        <v>47</v>
      </c>
      <c r="X27" s="226" t="s">
        <v>47</v>
      </c>
      <c r="Y27" s="226" t="s">
        <v>47</v>
      </c>
      <c r="Z27" s="226" t="s">
        <v>47</v>
      </c>
      <c r="AA27" s="225" t="s">
        <v>47</v>
      </c>
      <c r="AB27" s="226" t="s">
        <v>53</v>
      </c>
      <c r="AC27" s="226" t="s">
        <v>53</v>
      </c>
      <c r="AD27" s="226" t="s">
        <v>47</v>
      </c>
      <c r="AE27" s="226" t="s">
        <v>47</v>
      </c>
      <c r="AF27" s="226" t="s">
        <v>47</v>
      </c>
      <c r="AG27" s="226" t="s">
        <v>47</v>
      </c>
      <c r="AH27" s="225"/>
    </row>
    <row r="28">
      <c r="A28" s="227" t="s">
        <v>255</v>
      </c>
      <c r="B28" s="226" t="s">
        <v>134</v>
      </c>
      <c r="C28" s="225" t="s">
        <v>135</v>
      </c>
      <c r="D28" s="226" t="s">
        <v>49</v>
      </c>
      <c r="E28" s="226" t="s">
        <v>53</v>
      </c>
      <c r="F28" s="226" t="s">
        <v>53</v>
      </c>
      <c r="G28" s="226" t="s">
        <v>49</v>
      </c>
      <c r="H28" s="226" t="s">
        <v>49</v>
      </c>
      <c r="I28" s="226" t="s">
        <v>48</v>
      </c>
      <c r="J28" s="226" t="s">
        <v>48</v>
      </c>
      <c r="K28" s="226" t="s">
        <v>48</v>
      </c>
      <c r="L28" s="226" t="s">
        <v>53</v>
      </c>
      <c r="M28" s="226" t="s">
        <v>53</v>
      </c>
      <c r="N28" s="226" t="s">
        <v>48</v>
      </c>
      <c r="O28" s="226" t="s">
        <v>48</v>
      </c>
      <c r="P28" s="226" t="s">
        <v>48</v>
      </c>
      <c r="Q28" s="226" t="s">
        <v>48</v>
      </c>
      <c r="R28" s="226" t="s">
        <v>48</v>
      </c>
      <c r="S28" s="226" t="s">
        <v>53</v>
      </c>
      <c r="T28" s="226" t="s">
        <v>53</v>
      </c>
      <c r="U28" s="226" t="s">
        <v>47</v>
      </c>
      <c r="V28" s="226" t="s">
        <v>47</v>
      </c>
      <c r="W28" s="226" t="s">
        <v>47</v>
      </c>
      <c r="X28" s="226" t="s">
        <v>47</v>
      </c>
      <c r="Y28" s="226" t="s">
        <v>47</v>
      </c>
      <c r="Z28" s="226" t="s">
        <v>53</v>
      </c>
      <c r="AA28" s="226" t="s">
        <v>53</v>
      </c>
      <c r="AB28" s="226" t="s">
        <v>47</v>
      </c>
      <c r="AC28" s="226" t="s">
        <v>47</v>
      </c>
      <c r="AD28" s="226" t="s">
        <v>47</v>
      </c>
      <c r="AE28" s="226" t="s">
        <v>49</v>
      </c>
      <c r="AF28" s="226" t="s">
        <v>49</v>
      </c>
      <c r="AG28" s="226" t="s">
        <v>53</v>
      </c>
      <c r="AH28" s="225"/>
    </row>
    <row r="29">
      <c r="A29" s="227" t="s">
        <v>256</v>
      </c>
      <c r="B29" s="226" t="s">
        <v>137</v>
      </c>
      <c r="C29" s="225" t="s">
        <v>138</v>
      </c>
      <c r="D29" s="226" t="s">
        <v>47</v>
      </c>
      <c r="E29" s="226" t="s">
        <v>47</v>
      </c>
      <c r="F29" s="226" t="s">
        <v>47</v>
      </c>
      <c r="G29" s="226" t="s">
        <v>53</v>
      </c>
      <c r="H29" s="226" t="s">
        <v>53</v>
      </c>
      <c r="I29" s="226" t="s">
        <v>47</v>
      </c>
      <c r="J29" s="226" t="s">
        <v>47</v>
      </c>
      <c r="K29" s="226" t="s">
        <v>47</v>
      </c>
      <c r="L29" s="226" t="s">
        <v>47</v>
      </c>
      <c r="M29" s="226" t="s">
        <v>47</v>
      </c>
      <c r="N29" s="226" t="s">
        <v>53</v>
      </c>
      <c r="O29" s="226" t="s">
        <v>53</v>
      </c>
      <c r="P29" s="226" t="s">
        <v>47</v>
      </c>
      <c r="Q29" s="226" t="s">
        <v>47</v>
      </c>
      <c r="R29" s="226" t="s">
        <v>47</v>
      </c>
      <c r="S29" s="226" t="s">
        <v>47</v>
      </c>
      <c r="T29" s="225" t="s">
        <v>47</v>
      </c>
      <c r="U29" s="226" t="s">
        <v>53</v>
      </c>
      <c r="V29" s="226" t="s">
        <v>53</v>
      </c>
      <c r="W29" s="226" t="s">
        <v>47</v>
      </c>
      <c r="X29" s="226" t="s">
        <v>47</v>
      </c>
      <c r="Y29" s="226" t="s">
        <v>47</v>
      </c>
      <c r="Z29" s="226" t="s">
        <v>47</v>
      </c>
      <c r="AA29" s="225" t="s">
        <v>47</v>
      </c>
      <c r="AB29" s="226" t="s">
        <v>53</v>
      </c>
      <c r="AC29" s="226" t="s">
        <v>53</v>
      </c>
      <c r="AD29" s="226" t="s">
        <v>47</v>
      </c>
      <c r="AE29" s="226" t="s">
        <v>47</v>
      </c>
      <c r="AF29" s="226" t="s">
        <v>47</v>
      </c>
      <c r="AG29" s="226" t="s">
        <v>47</v>
      </c>
      <c r="AH29" s="225"/>
    </row>
    <row r="30">
      <c r="A30" s="227" t="s">
        <v>257</v>
      </c>
      <c r="B30" s="226" t="s">
        <v>140</v>
      </c>
      <c r="C30" s="225" t="s">
        <v>141</v>
      </c>
      <c r="D30" s="226" t="s">
        <v>47</v>
      </c>
      <c r="E30" s="226" t="s">
        <v>47</v>
      </c>
      <c r="F30" s="226" t="s">
        <v>47</v>
      </c>
      <c r="G30" s="226" t="s">
        <v>53</v>
      </c>
      <c r="H30" s="226" t="s">
        <v>53</v>
      </c>
      <c r="I30" s="226" t="s">
        <v>47</v>
      </c>
      <c r="J30" s="226" t="s">
        <v>47</v>
      </c>
      <c r="K30" s="226" t="s">
        <v>47</v>
      </c>
      <c r="L30" s="226" t="s">
        <v>47</v>
      </c>
      <c r="M30" s="226" t="s">
        <v>47</v>
      </c>
      <c r="N30" s="226" t="s">
        <v>53</v>
      </c>
      <c r="O30" s="226" t="s">
        <v>53</v>
      </c>
      <c r="P30" s="226" t="s">
        <v>47</v>
      </c>
      <c r="Q30" s="226" t="s">
        <v>47</v>
      </c>
      <c r="R30" s="226" t="s">
        <v>47</v>
      </c>
      <c r="S30" s="226" t="s">
        <v>47</v>
      </c>
      <c r="T30" s="226" t="s">
        <v>47</v>
      </c>
      <c r="U30" s="226" t="s">
        <v>53</v>
      </c>
      <c r="V30" s="226" t="s">
        <v>53</v>
      </c>
      <c r="W30" s="226" t="s">
        <v>47</v>
      </c>
      <c r="X30" s="226" t="s">
        <v>47</v>
      </c>
      <c r="Y30" s="226" t="s">
        <v>47</v>
      </c>
      <c r="Z30" s="226" t="s">
        <v>47</v>
      </c>
      <c r="AA30" s="226" t="s">
        <v>47</v>
      </c>
      <c r="AB30" s="226" t="s">
        <v>53</v>
      </c>
      <c r="AC30" s="226" t="s">
        <v>53</v>
      </c>
      <c r="AD30" s="226" t="s">
        <v>47</v>
      </c>
      <c r="AE30" s="226" t="s">
        <v>47</v>
      </c>
      <c r="AF30" s="226" t="s">
        <v>47</v>
      </c>
      <c r="AG30" s="226" t="s">
        <v>47</v>
      </c>
      <c r="AH30" s="225"/>
    </row>
    <row r="31">
      <c r="A31" s="227" t="s">
        <v>258</v>
      </c>
      <c r="B31" s="226" t="s">
        <v>143</v>
      </c>
      <c r="C31" s="225" t="s">
        <v>144</v>
      </c>
      <c r="D31" s="226" t="s">
        <v>49</v>
      </c>
      <c r="E31" s="226" t="s">
        <v>49</v>
      </c>
      <c r="F31" s="226" t="s">
        <v>49</v>
      </c>
      <c r="G31" s="226" t="s">
        <v>48</v>
      </c>
      <c r="H31" s="226" t="s">
        <v>53</v>
      </c>
      <c r="I31" s="226" t="s">
        <v>53</v>
      </c>
      <c r="J31" s="226" t="s">
        <v>48</v>
      </c>
      <c r="K31" s="226" t="s">
        <v>48</v>
      </c>
      <c r="L31" s="226" t="s">
        <v>48</v>
      </c>
      <c r="M31" s="226" t="s">
        <v>48</v>
      </c>
      <c r="N31" s="226" t="s">
        <v>48</v>
      </c>
      <c r="O31" s="226" t="s">
        <v>53</v>
      </c>
      <c r="P31" s="226" t="s">
        <v>53</v>
      </c>
      <c r="Q31" s="226" t="s">
        <v>47</v>
      </c>
      <c r="R31" s="226" t="s">
        <v>47</v>
      </c>
      <c r="S31" s="226" t="s">
        <v>47</v>
      </c>
      <c r="T31" s="226" t="s">
        <v>47</v>
      </c>
      <c r="U31" s="226" t="s">
        <v>47</v>
      </c>
      <c r="V31" s="226" t="s">
        <v>53</v>
      </c>
      <c r="W31" s="226" t="s">
        <v>53</v>
      </c>
      <c r="X31" s="226" t="s">
        <v>47</v>
      </c>
      <c r="Y31" s="226" t="s">
        <v>47</v>
      </c>
      <c r="Z31" s="226" t="s">
        <v>47</v>
      </c>
      <c r="AA31" s="226" t="s">
        <v>47</v>
      </c>
      <c r="AB31" s="226" t="s">
        <v>47</v>
      </c>
      <c r="AC31" s="226" t="s">
        <v>53</v>
      </c>
      <c r="AD31" s="226" t="s">
        <v>53</v>
      </c>
      <c r="AE31" s="226" t="s">
        <v>47</v>
      </c>
      <c r="AF31" s="226" t="s">
        <v>47</v>
      </c>
      <c r="AG31" s="226" t="s">
        <v>47</v>
      </c>
      <c r="AH31" s="225"/>
    </row>
    <row r="32">
      <c r="A32" s="227" t="s">
        <v>259</v>
      </c>
      <c r="B32" s="226" t="s">
        <v>146</v>
      </c>
      <c r="C32" s="225" t="s">
        <v>147</v>
      </c>
      <c r="D32" s="226" t="s">
        <v>53</v>
      </c>
      <c r="E32" s="226" t="s">
        <v>47</v>
      </c>
      <c r="F32" s="226" t="s">
        <v>47</v>
      </c>
      <c r="G32" s="226" t="s">
        <v>47</v>
      </c>
      <c r="H32" s="226" t="s">
        <v>47</v>
      </c>
      <c r="I32" s="226" t="s">
        <v>47</v>
      </c>
      <c r="J32" s="226" t="s">
        <v>53</v>
      </c>
      <c r="K32" s="226" t="s">
        <v>53</v>
      </c>
      <c r="L32" s="226" t="s">
        <v>47</v>
      </c>
      <c r="M32" s="226" t="s">
        <v>47</v>
      </c>
      <c r="N32" s="226" t="s">
        <v>47</v>
      </c>
      <c r="O32" s="226" t="s">
        <v>47</v>
      </c>
      <c r="P32" s="226" t="s">
        <v>47</v>
      </c>
      <c r="Q32" s="226" t="s">
        <v>53</v>
      </c>
      <c r="R32" s="226" t="s">
        <v>53</v>
      </c>
      <c r="S32" s="226" t="s">
        <v>47</v>
      </c>
      <c r="T32" s="226" t="s">
        <v>47</v>
      </c>
      <c r="U32" s="226" t="s">
        <v>47</v>
      </c>
      <c r="V32" s="226" t="s">
        <v>47</v>
      </c>
      <c r="W32" s="226" t="s">
        <v>47</v>
      </c>
      <c r="X32" s="226" t="s">
        <v>53</v>
      </c>
      <c r="Y32" s="226" t="s">
        <v>53</v>
      </c>
      <c r="Z32" s="226" t="s">
        <v>47</v>
      </c>
      <c r="AA32" s="226" t="s">
        <v>47</v>
      </c>
      <c r="AB32" s="226" t="s">
        <v>47</v>
      </c>
      <c r="AC32" s="226" t="s">
        <v>47</v>
      </c>
      <c r="AD32" s="226" t="s">
        <v>47</v>
      </c>
      <c r="AE32" s="226" t="s">
        <v>53</v>
      </c>
      <c r="AF32" s="226" t="s">
        <v>53</v>
      </c>
      <c r="AG32" s="226" t="s">
        <v>49</v>
      </c>
      <c r="AH32" s="225"/>
    </row>
    <row r="33">
      <c r="A33" s="227" t="s">
        <v>260</v>
      </c>
      <c r="B33" s="226" t="s">
        <v>150</v>
      </c>
      <c r="C33" s="225" t="s">
        <v>151</v>
      </c>
      <c r="D33" s="226" t="s">
        <v>47</v>
      </c>
      <c r="E33" s="226" t="s">
        <v>47</v>
      </c>
      <c r="F33" s="225" t="s">
        <v>47</v>
      </c>
      <c r="G33" s="225" t="s">
        <v>47</v>
      </c>
      <c r="H33" s="226" t="s">
        <v>53</v>
      </c>
      <c r="I33" s="226" t="s">
        <v>53</v>
      </c>
      <c r="J33" s="226" t="s">
        <v>47</v>
      </c>
      <c r="K33" s="226" t="s">
        <v>47</v>
      </c>
      <c r="L33" s="226" t="s">
        <v>47</v>
      </c>
      <c r="M33" s="226" t="s">
        <v>47</v>
      </c>
      <c r="N33" s="226" t="s">
        <v>47</v>
      </c>
      <c r="O33" s="226" t="s">
        <v>53</v>
      </c>
      <c r="P33" s="226" t="s">
        <v>53</v>
      </c>
      <c r="Q33" s="226" t="s">
        <v>47</v>
      </c>
      <c r="R33" s="226" t="s">
        <v>47</v>
      </c>
      <c r="S33" s="226" t="s">
        <v>47</v>
      </c>
      <c r="T33" s="226" t="s">
        <v>47</v>
      </c>
      <c r="U33" s="226" t="s">
        <v>47</v>
      </c>
      <c r="V33" s="226" t="s">
        <v>53</v>
      </c>
      <c r="W33" s="226" t="s">
        <v>53</v>
      </c>
      <c r="X33" s="226" t="s">
        <v>47</v>
      </c>
      <c r="Y33" s="226" t="s">
        <v>47</v>
      </c>
      <c r="Z33" s="226" t="s">
        <v>47</v>
      </c>
      <c r="AA33" s="226" t="s">
        <v>47</v>
      </c>
      <c r="AB33" s="226" t="s">
        <v>47</v>
      </c>
      <c r="AC33" s="226" t="s">
        <v>53</v>
      </c>
      <c r="AD33" s="226" t="s">
        <v>53</v>
      </c>
      <c r="AE33" s="226" t="s">
        <v>47</v>
      </c>
      <c r="AF33" s="226" t="s">
        <v>47</v>
      </c>
      <c r="AG33" s="226" t="s">
        <v>47</v>
      </c>
      <c r="AH33" s="225"/>
    </row>
    <row r="34">
      <c r="A34" s="227" t="s">
        <v>261</v>
      </c>
      <c r="B34" s="226" t="s">
        <v>153</v>
      </c>
      <c r="C34" s="225" t="s">
        <v>154</v>
      </c>
      <c r="D34" s="226" t="s">
        <v>47</v>
      </c>
      <c r="E34" s="226" t="s">
        <v>47</v>
      </c>
      <c r="F34" s="226" t="s">
        <v>47</v>
      </c>
      <c r="G34" s="226" t="s">
        <v>47</v>
      </c>
      <c r="H34" s="226" t="s">
        <v>53</v>
      </c>
      <c r="I34" s="226" t="s">
        <v>53</v>
      </c>
      <c r="J34" s="226" t="s">
        <v>47</v>
      </c>
      <c r="K34" s="226" t="s">
        <v>47</v>
      </c>
      <c r="L34" s="226" t="s">
        <v>47</v>
      </c>
      <c r="M34" s="226" t="s">
        <v>47</v>
      </c>
      <c r="N34" s="226" t="s">
        <v>47</v>
      </c>
      <c r="O34" s="226" t="s">
        <v>53</v>
      </c>
      <c r="P34" s="226" t="s">
        <v>53</v>
      </c>
      <c r="Q34" s="226" t="s">
        <v>47</v>
      </c>
      <c r="R34" s="226" t="s">
        <v>47</v>
      </c>
      <c r="S34" s="226" t="s">
        <v>47</v>
      </c>
      <c r="T34" s="226" t="s">
        <v>47</v>
      </c>
      <c r="U34" s="226" t="s">
        <v>47</v>
      </c>
      <c r="V34" s="226" t="s">
        <v>53</v>
      </c>
      <c r="W34" s="226" t="s">
        <v>53</v>
      </c>
      <c r="X34" s="226" t="s">
        <v>47</v>
      </c>
      <c r="Y34" s="226" t="s">
        <v>47</v>
      </c>
      <c r="Z34" s="226" t="s">
        <v>47</v>
      </c>
      <c r="AA34" s="226" t="s">
        <v>47</v>
      </c>
      <c r="AB34" s="226" t="s">
        <v>47</v>
      </c>
      <c r="AC34" s="226" t="s">
        <v>53</v>
      </c>
      <c r="AD34" s="226" t="s">
        <v>53</v>
      </c>
      <c r="AE34" s="226" t="s">
        <v>47</v>
      </c>
      <c r="AF34" s="226" t="s">
        <v>47</v>
      </c>
      <c r="AG34" s="226" t="s">
        <v>47</v>
      </c>
      <c r="AH34" s="225"/>
    </row>
    <row r="35">
      <c r="A35" s="227" t="s">
        <v>262</v>
      </c>
      <c r="B35" s="226" t="s">
        <v>156</v>
      </c>
      <c r="C35" s="225" t="s">
        <v>157</v>
      </c>
      <c r="D35" s="226" t="s">
        <v>47</v>
      </c>
      <c r="E35" s="226" t="s">
        <v>47</v>
      </c>
      <c r="F35" s="226" t="s">
        <v>47</v>
      </c>
      <c r="G35" s="226" t="s">
        <v>53</v>
      </c>
      <c r="H35" s="226" t="s">
        <v>53</v>
      </c>
      <c r="I35" s="226" t="s">
        <v>47</v>
      </c>
      <c r="J35" s="225" t="s">
        <v>47</v>
      </c>
      <c r="K35" s="225" t="s">
        <v>47</v>
      </c>
      <c r="L35" s="225" t="s">
        <v>47</v>
      </c>
      <c r="M35" s="225" t="s">
        <v>47</v>
      </c>
      <c r="N35" s="226" t="s">
        <v>53</v>
      </c>
      <c r="O35" s="226" t="s">
        <v>53</v>
      </c>
      <c r="P35" s="226" t="s">
        <v>47</v>
      </c>
      <c r="Q35" s="226" t="s">
        <v>47</v>
      </c>
      <c r="R35" s="226" t="s">
        <v>47</v>
      </c>
      <c r="S35" s="226" t="s">
        <v>47</v>
      </c>
      <c r="T35" s="225" t="s">
        <v>47</v>
      </c>
      <c r="U35" s="226" t="s">
        <v>53</v>
      </c>
      <c r="V35" s="226" t="s">
        <v>53</v>
      </c>
      <c r="W35" s="226" t="s">
        <v>47</v>
      </c>
      <c r="X35" s="226" t="s">
        <v>47</v>
      </c>
      <c r="Y35" s="226" t="s">
        <v>47</v>
      </c>
      <c r="Z35" s="226" t="s">
        <v>47</v>
      </c>
      <c r="AA35" s="226" t="s">
        <v>47</v>
      </c>
      <c r="AB35" s="226" t="s">
        <v>53</v>
      </c>
      <c r="AC35" s="226" t="s">
        <v>53</v>
      </c>
      <c r="AD35" s="226" t="s">
        <v>47</v>
      </c>
      <c r="AE35" s="226" t="s">
        <v>47</v>
      </c>
      <c r="AF35" s="226" t="s">
        <v>47</v>
      </c>
      <c r="AG35" s="226" t="s">
        <v>47</v>
      </c>
      <c r="AH35" s="225"/>
    </row>
    <row r="36">
      <c r="A36" s="227" t="s">
        <v>263</v>
      </c>
      <c r="B36" s="226" t="s">
        <v>159</v>
      </c>
      <c r="C36" s="225" t="s">
        <v>160</v>
      </c>
      <c r="D36" s="226" t="s">
        <v>47</v>
      </c>
      <c r="E36" s="226" t="s">
        <v>47</v>
      </c>
      <c r="F36" s="226" t="s">
        <v>47</v>
      </c>
      <c r="G36" s="226" t="s">
        <v>47</v>
      </c>
      <c r="H36" s="226" t="s">
        <v>49</v>
      </c>
      <c r="I36" s="226" t="s">
        <v>53</v>
      </c>
      <c r="J36" s="226" t="s">
        <v>53</v>
      </c>
      <c r="K36" s="226" t="s">
        <v>47</v>
      </c>
      <c r="L36" s="226" t="s">
        <v>47</v>
      </c>
      <c r="M36" s="226" t="s">
        <v>47</v>
      </c>
      <c r="N36" s="226" t="s">
        <v>47</v>
      </c>
      <c r="O36" s="226" t="s">
        <v>49</v>
      </c>
      <c r="P36" s="226" t="s">
        <v>53</v>
      </c>
      <c r="Q36" s="226" t="s">
        <v>53</v>
      </c>
      <c r="R36" s="226" t="s">
        <v>47</v>
      </c>
      <c r="S36" s="226" t="s">
        <v>47</v>
      </c>
      <c r="T36" s="226" t="s">
        <v>47</v>
      </c>
      <c r="U36" s="226" t="s">
        <v>47</v>
      </c>
      <c r="V36" s="226" t="s">
        <v>47</v>
      </c>
      <c r="W36" s="226" t="s">
        <v>53</v>
      </c>
      <c r="X36" s="226" t="s">
        <v>53</v>
      </c>
      <c r="Y36" s="226" t="s">
        <v>47</v>
      </c>
      <c r="Z36" s="226" t="s">
        <v>47</v>
      </c>
      <c r="AA36" s="226" t="s">
        <v>48</v>
      </c>
      <c r="AB36" s="226" t="s">
        <v>48</v>
      </c>
      <c r="AC36" s="226" t="s">
        <v>48</v>
      </c>
      <c r="AD36" s="226" t="s">
        <v>53</v>
      </c>
      <c r="AE36" s="226" t="s">
        <v>53</v>
      </c>
      <c r="AF36" s="226" t="s">
        <v>47</v>
      </c>
      <c r="AG36" s="226" t="s">
        <v>47</v>
      </c>
      <c r="AH36" s="225"/>
    </row>
    <row r="37">
      <c r="A37" s="227" t="s">
        <v>264</v>
      </c>
      <c r="B37" s="226" t="s">
        <v>162</v>
      </c>
      <c r="C37" s="225" t="s">
        <v>163</v>
      </c>
      <c r="D37" s="226" t="s">
        <v>47</v>
      </c>
      <c r="E37" s="225" t="s">
        <v>47</v>
      </c>
      <c r="F37" s="226" t="s">
        <v>47</v>
      </c>
      <c r="G37" s="226" t="s">
        <v>53</v>
      </c>
      <c r="H37" s="226" t="s">
        <v>53</v>
      </c>
      <c r="I37" s="226" t="s">
        <v>47</v>
      </c>
      <c r="J37" s="226" t="s">
        <v>47</v>
      </c>
      <c r="K37" s="226" t="s">
        <v>47</v>
      </c>
      <c r="L37" s="226" t="s">
        <v>47</v>
      </c>
      <c r="M37" s="225" t="s">
        <v>47</v>
      </c>
      <c r="N37" s="226" t="s">
        <v>53</v>
      </c>
      <c r="O37" s="226" t="s">
        <v>53</v>
      </c>
      <c r="P37" s="226" t="s">
        <v>47</v>
      </c>
      <c r="Q37" s="226" t="s">
        <v>47</v>
      </c>
      <c r="R37" s="226" t="s">
        <v>47</v>
      </c>
      <c r="S37" s="226" t="s">
        <v>47</v>
      </c>
      <c r="T37" s="226" t="s">
        <v>49</v>
      </c>
      <c r="U37" s="226" t="s">
        <v>53</v>
      </c>
      <c r="V37" s="226" t="s">
        <v>53</v>
      </c>
      <c r="W37" s="226" t="s">
        <v>49</v>
      </c>
      <c r="X37" s="226" t="s">
        <v>47</v>
      </c>
      <c r="Y37" s="226" t="s">
        <v>47</v>
      </c>
      <c r="Z37" s="226" t="s">
        <v>47</v>
      </c>
      <c r="AA37" s="225" t="s">
        <v>47</v>
      </c>
      <c r="AB37" s="226" t="s">
        <v>53</v>
      </c>
      <c r="AC37" s="226" t="s">
        <v>53</v>
      </c>
      <c r="AD37" s="226" t="s">
        <v>47</v>
      </c>
      <c r="AE37" s="226" t="s">
        <v>47</v>
      </c>
      <c r="AF37" s="226" t="s">
        <v>47</v>
      </c>
      <c r="AG37" s="226" t="s">
        <v>47</v>
      </c>
      <c r="AH37" s="225"/>
    </row>
    <row r="38">
      <c r="A38" s="227" t="s">
        <v>265</v>
      </c>
      <c r="B38" s="226" t="s">
        <v>165</v>
      </c>
      <c r="C38" s="225" t="s">
        <v>166</v>
      </c>
      <c r="D38" s="226" t="s">
        <v>47</v>
      </c>
      <c r="E38" s="226" t="s">
        <v>47</v>
      </c>
      <c r="F38" s="226" t="s">
        <v>49</v>
      </c>
      <c r="G38" s="226" t="s">
        <v>47</v>
      </c>
      <c r="H38" s="226" t="s">
        <v>47</v>
      </c>
      <c r="I38" s="226" t="s">
        <v>53</v>
      </c>
      <c r="J38" s="226" t="s">
        <v>53</v>
      </c>
      <c r="K38" s="226" t="s">
        <v>47</v>
      </c>
      <c r="L38" s="226" t="s">
        <v>47</v>
      </c>
      <c r="M38" s="226" t="s">
        <v>47</v>
      </c>
      <c r="N38" s="226" t="s">
        <v>47</v>
      </c>
      <c r="O38" s="226" t="s">
        <v>47</v>
      </c>
      <c r="P38" s="226" t="s">
        <v>53</v>
      </c>
      <c r="Q38" s="226" t="s">
        <v>53</v>
      </c>
      <c r="R38" s="226" t="s">
        <v>47</v>
      </c>
      <c r="S38" s="226" t="s">
        <v>47</v>
      </c>
      <c r="T38" s="226" t="s">
        <v>47</v>
      </c>
      <c r="U38" s="226" t="s">
        <v>47</v>
      </c>
      <c r="V38" s="226" t="s">
        <v>47</v>
      </c>
      <c r="W38" s="226" t="s">
        <v>53</v>
      </c>
      <c r="X38" s="226" t="s">
        <v>53</v>
      </c>
      <c r="Y38" s="226" t="s">
        <v>47</v>
      </c>
      <c r="Z38" s="226" t="s">
        <v>47</v>
      </c>
      <c r="AA38" s="226" t="s">
        <v>47</v>
      </c>
      <c r="AB38" s="226" t="s">
        <v>47</v>
      </c>
      <c r="AC38" s="226" t="s">
        <v>47</v>
      </c>
      <c r="AD38" s="226" t="s">
        <v>53</v>
      </c>
      <c r="AE38" s="226" t="s">
        <v>53</v>
      </c>
      <c r="AF38" s="226" t="s">
        <v>47</v>
      </c>
      <c r="AG38" s="226" t="s">
        <v>47</v>
      </c>
      <c r="AH38" s="225"/>
    </row>
    <row r="39">
      <c r="A39" s="227" t="s">
        <v>266</v>
      </c>
      <c r="B39" s="226" t="s">
        <v>168</v>
      </c>
      <c r="C39" s="225" t="s">
        <v>169</v>
      </c>
      <c r="D39" s="226" t="s">
        <v>53</v>
      </c>
      <c r="E39" s="226" t="s">
        <v>53</v>
      </c>
      <c r="F39" s="226" t="s">
        <v>47</v>
      </c>
      <c r="G39" s="226" t="s">
        <v>47</v>
      </c>
      <c r="H39" s="226" t="s">
        <v>47</v>
      </c>
      <c r="I39" s="226" t="s">
        <v>47</v>
      </c>
      <c r="J39" s="226" t="s">
        <v>47</v>
      </c>
      <c r="K39" s="226" t="s">
        <v>53</v>
      </c>
      <c r="L39" s="226" t="s">
        <v>53</v>
      </c>
      <c r="M39" s="226" t="s">
        <v>47</v>
      </c>
      <c r="N39" s="226" t="s">
        <v>47</v>
      </c>
      <c r="O39" s="226" t="s">
        <v>47</v>
      </c>
      <c r="P39" s="226" t="s">
        <v>47</v>
      </c>
      <c r="Q39" s="226" t="s">
        <v>47</v>
      </c>
      <c r="R39" s="226" t="s">
        <v>53</v>
      </c>
      <c r="S39" s="226" t="s">
        <v>53</v>
      </c>
      <c r="T39" s="226" t="s">
        <v>47</v>
      </c>
      <c r="U39" s="226" t="s">
        <v>47</v>
      </c>
      <c r="V39" s="226" t="s">
        <v>47</v>
      </c>
      <c r="W39" s="226" t="s">
        <v>47</v>
      </c>
      <c r="X39" s="226" t="s">
        <v>47</v>
      </c>
      <c r="Y39" s="226" t="s">
        <v>53</v>
      </c>
      <c r="Z39" s="226" t="s">
        <v>53</v>
      </c>
      <c r="AA39" s="226" t="s">
        <v>47</v>
      </c>
      <c r="AB39" s="226" t="s">
        <v>47</v>
      </c>
      <c r="AC39" s="226" t="s">
        <v>47</v>
      </c>
      <c r="AD39" s="226" t="s">
        <v>47</v>
      </c>
      <c r="AE39" s="226" t="s">
        <v>47</v>
      </c>
      <c r="AF39" s="226" t="s">
        <v>53</v>
      </c>
      <c r="AG39" s="226" t="s">
        <v>53</v>
      </c>
      <c r="AH39" s="225"/>
    </row>
    <row r="40">
      <c r="A40" s="227" t="s">
        <v>267</v>
      </c>
      <c r="B40" s="226" t="s">
        <v>171</v>
      </c>
      <c r="C40" s="225" t="s">
        <v>172</v>
      </c>
      <c r="D40" s="226" t="s">
        <v>53</v>
      </c>
      <c r="E40" s="226" t="s">
        <v>47</v>
      </c>
      <c r="F40" s="225" t="s">
        <v>47</v>
      </c>
      <c r="G40" s="225" t="s">
        <v>47</v>
      </c>
      <c r="H40" s="225" t="s">
        <v>47</v>
      </c>
      <c r="I40" s="225" t="s">
        <v>47</v>
      </c>
      <c r="J40" s="226" t="s">
        <v>53</v>
      </c>
      <c r="K40" s="226" t="s">
        <v>53</v>
      </c>
      <c r="L40" s="226" t="s">
        <v>47</v>
      </c>
      <c r="M40" s="225" t="s">
        <v>47</v>
      </c>
      <c r="N40" s="225" t="s">
        <v>47</v>
      </c>
      <c r="O40" s="225" t="s">
        <v>47</v>
      </c>
      <c r="P40" s="225" t="s">
        <v>47</v>
      </c>
      <c r="Q40" s="226" t="s">
        <v>53</v>
      </c>
      <c r="R40" s="226" t="s">
        <v>53</v>
      </c>
      <c r="S40" s="226" t="s">
        <v>47</v>
      </c>
      <c r="T40" s="225" t="s">
        <v>47</v>
      </c>
      <c r="U40" s="225" t="s">
        <v>47</v>
      </c>
      <c r="V40" s="225" t="s">
        <v>47</v>
      </c>
      <c r="W40" s="225" t="s">
        <v>47</v>
      </c>
      <c r="X40" s="226" t="s">
        <v>53</v>
      </c>
      <c r="Y40" s="226" t="s">
        <v>53</v>
      </c>
      <c r="Z40" s="226" t="s">
        <v>47</v>
      </c>
      <c r="AA40" s="225" t="s">
        <v>47</v>
      </c>
      <c r="AB40" s="225" t="s">
        <v>47</v>
      </c>
      <c r="AC40" s="226" t="s">
        <v>47</v>
      </c>
      <c r="AD40" s="226" t="s">
        <v>47</v>
      </c>
      <c r="AE40" s="226" t="s">
        <v>53</v>
      </c>
      <c r="AF40" s="226" t="s">
        <v>53</v>
      </c>
      <c r="AG40" s="226" t="s">
        <v>47</v>
      </c>
      <c r="AH40" s="225"/>
    </row>
    <row r="41">
      <c r="A41" s="227" t="s">
        <v>268</v>
      </c>
      <c r="B41" s="226" t="s">
        <v>174</v>
      </c>
      <c r="C41" s="225" t="s">
        <v>175</v>
      </c>
      <c r="D41" s="226" t="s">
        <v>53</v>
      </c>
      <c r="E41" s="226" t="s">
        <v>47</v>
      </c>
      <c r="F41" s="226" t="s">
        <v>47</v>
      </c>
      <c r="G41" s="226" t="s">
        <v>47</v>
      </c>
      <c r="H41" s="226" t="s">
        <v>47</v>
      </c>
      <c r="I41" s="226" t="s">
        <v>47</v>
      </c>
      <c r="J41" s="226" t="s">
        <v>53</v>
      </c>
      <c r="K41" s="226" t="s">
        <v>53</v>
      </c>
      <c r="L41" s="226" t="s">
        <v>47</v>
      </c>
      <c r="M41" s="226" t="s">
        <v>47</v>
      </c>
      <c r="N41" s="226" t="s">
        <v>47</v>
      </c>
      <c r="O41" s="226" t="s">
        <v>47</v>
      </c>
      <c r="P41" s="226" t="s">
        <v>47</v>
      </c>
      <c r="Q41" s="226" t="s">
        <v>53</v>
      </c>
      <c r="R41" s="226" t="s">
        <v>53</v>
      </c>
      <c r="S41" s="226" t="s">
        <v>47</v>
      </c>
      <c r="T41" s="226" t="s">
        <v>47</v>
      </c>
      <c r="U41" s="226" t="s">
        <v>47</v>
      </c>
      <c r="V41" s="226" t="s">
        <v>47</v>
      </c>
      <c r="W41" s="226" t="s">
        <v>47</v>
      </c>
      <c r="X41" s="226" t="s">
        <v>53</v>
      </c>
      <c r="Y41" s="226" t="s">
        <v>53</v>
      </c>
      <c r="Z41" s="225" t="s">
        <v>47</v>
      </c>
      <c r="AA41" s="226" t="s">
        <v>47</v>
      </c>
      <c r="AB41" s="226" t="s">
        <v>47</v>
      </c>
      <c r="AC41" s="226" t="s">
        <v>47</v>
      </c>
      <c r="AD41" s="226" t="s">
        <v>47</v>
      </c>
      <c r="AE41" s="226" t="s">
        <v>53</v>
      </c>
      <c r="AF41" s="226" t="s">
        <v>53</v>
      </c>
      <c r="AG41" s="226" t="s">
        <v>47</v>
      </c>
      <c r="AH41" s="225"/>
    </row>
    <row r="42">
      <c r="A42" s="227" t="s">
        <v>269</v>
      </c>
      <c r="B42" s="226" t="s">
        <v>177</v>
      </c>
      <c r="C42" s="225" t="s">
        <v>178</v>
      </c>
      <c r="D42" s="226" t="s">
        <v>47</v>
      </c>
      <c r="E42" s="226" t="s">
        <v>47</v>
      </c>
      <c r="F42" s="226" t="s">
        <v>47</v>
      </c>
      <c r="G42" s="226" t="s">
        <v>47</v>
      </c>
      <c r="H42" s="226" t="s">
        <v>47</v>
      </c>
      <c r="I42" s="226" t="s">
        <v>53</v>
      </c>
      <c r="J42" s="226" t="s">
        <v>53</v>
      </c>
      <c r="K42" s="226" t="s">
        <v>47</v>
      </c>
      <c r="L42" s="226" t="s">
        <v>47</v>
      </c>
      <c r="M42" s="226" t="s">
        <v>47</v>
      </c>
      <c r="N42" s="226" t="s">
        <v>49</v>
      </c>
      <c r="O42" s="226" t="s">
        <v>49</v>
      </c>
      <c r="P42" s="226" t="s">
        <v>53</v>
      </c>
      <c r="Q42" s="226" t="s">
        <v>53</v>
      </c>
      <c r="R42" s="226" t="s">
        <v>49</v>
      </c>
      <c r="S42" s="226" t="s">
        <v>48</v>
      </c>
      <c r="T42" s="226" t="s">
        <v>48</v>
      </c>
      <c r="U42" s="226" t="s">
        <v>48</v>
      </c>
      <c r="V42" s="226" t="s">
        <v>47</v>
      </c>
      <c r="W42" s="226" t="s">
        <v>53</v>
      </c>
      <c r="X42" s="226" t="s">
        <v>53</v>
      </c>
      <c r="Y42" s="225" t="s">
        <v>47</v>
      </c>
      <c r="Z42" s="225" t="s">
        <v>47</v>
      </c>
      <c r="AA42" s="226" t="s">
        <v>48</v>
      </c>
      <c r="AB42" s="226" t="s">
        <v>48</v>
      </c>
      <c r="AC42" s="226" t="s">
        <v>48</v>
      </c>
      <c r="AD42" s="226" t="s">
        <v>53</v>
      </c>
      <c r="AE42" s="226" t="s">
        <v>53</v>
      </c>
      <c r="AF42" s="226" t="s">
        <v>47</v>
      </c>
      <c r="AG42" s="226" t="s">
        <v>47</v>
      </c>
      <c r="AH42" s="225"/>
    </row>
    <row r="43">
      <c r="A43" s="228" t="s">
        <v>270</v>
      </c>
      <c r="B43" s="226" t="s">
        <v>180</v>
      </c>
      <c r="C43" s="225" t="s">
        <v>181</v>
      </c>
      <c r="D43" s="226" t="s">
        <v>53</v>
      </c>
      <c r="E43" s="226" t="s">
        <v>49</v>
      </c>
      <c r="F43" s="226" t="s">
        <v>49</v>
      </c>
      <c r="G43" s="226" t="s">
        <v>49</v>
      </c>
      <c r="H43" s="225" t="s">
        <v>47</v>
      </c>
      <c r="I43" s="225" t="s">
        <v>47</v>
      </c>
      <c r="J43" s="226" t="s">
        <v>53</v>
      </c>
      <c r="K43" s="226" t="s">
        <v>53</v>
      </c>
      <c r="L43" s="226" t="s">
        <v>47</v>
      </c>
      <c r="M43" s="225" t="s">
        <v>47</v>
      </c>
      <c r="N43" s="226" t="s">
        <v>47</v>
      </c>
      <c r="O43" s="225" t="s">
        <v>47</v>
      </c>
      <c r="P43" s="225" t="s">
        <v>47</v>
      </c>
      <c r="Q43" s="226" t="s">
        <v>53</v>
      </c>
      <c r="R43" s="226" t="s">
        <v>53</v>
      </c>
      <c r="S43" s="226" t="s">
        <v>47</v>
      </c>
      <c r="T43" s="225" t="s">
        <v>47</v>
      </c>
      <c r="U43" s="225" t="s">
        <v>47</v>
      </c>
      <c r="V43" s="226" t="s">
        <v>47</v>
      </c>
      <c r="W43" s="226" t="s">
        <v>47</v>
      </c>
      <c r="X43" s="226" t="s">
        <v>53</v>
      </c>
      <c r="Y43" s="226" t="s">
        <v>53</v>
      </c>
      <c r="Z43" s="225" t="s">
        <v>47</v>
      </c>
      <c r="AA43" s="226" t="s">
        <v>47</v>
      </c>
      <c r="AB43" s="226" t="s">
        <v>47</v>
      </c>
      <c r="AC43" s="225" t="s">
        <v>47</v>
      </c>
      <c r="AD43" s="226" t="s">
        <v>47</v>
      </c>
      <c r="AE43" s="226" t="s">
        <v>53</v>
      </c>
      <c r="AF43" s="226" t="s">
        <v>53</v>
      </c>
      <c r="AG43" s="226" t="s">
        <v>47</v>
      </c>
      <c r="AH43" s="225"/>
    </row>
    <row r="44">
      <c r="A44" s="228" t="s">
        <v>271</v>
      </c>
      <c r="B44" s="226" t="s">
        <v>272</v>
      </c>
      <c r="C44" s="225" t="s">
        <v>273</v>
      </c>
      <c r="D44" s="226" t="s">
        <v>47</v>
      </c>
      <c r="E44" s="226" t="s">
        <v>47</v>
      </c>
      <c r="F44" s="225" t="s">
        <v>47</v>
      </c>
      <c r="G44" s="225" t="s">
        <v>47</v>
      </c>
      <c r="H44" s="225" t="s">
        <v>47</v>
      </c>
      <c r="I44" s="226" t="s">
        <v>53</v>
      </c>
      <c r="J44" s="226" t="s">
        <v>53</v>
      </c>
      <c r="K44" s="226" t="s">
        <v>47</v>
      </c>
      <c r="L44" s="226" t="s">
        <v>47</v>
      </c>
      <c r="M44" s="225" t="s">
        <v>47</v>
      </c>
      <c r="N44" s="225" t="s">
        <v>47</v>
      </c>
      <c r="O44" s="225" t="s">
        <v>47</v>
      </c>
      <c r="P44" s="226" t="s">
        <v>53</v>
      </c>
      <c r="Q44" s="226" t="s">
        <v>53</v>
      </c>
      <c r="R44" s="226" t="s">
        <v>47</v>
      </c>
      <c r="S44" s="226" t="s">
        <v>47</v>
      </c>
      <c r="T44" s="225" t="s">
        <v>47</v>
      </c>
      <c r="U44" s="225" t="s">
        <v>47</v>
      </c>
      <c r="V44" s="226" t="s">
        <v>47</v>
      </c>
      <c r="W44" s="226" t="s">
        <v>53</v>
      </c>
      <c r="X44" s="226" t="s">
        <v>53</v>
      </c>
      <c r="Y44" s="225" t="s">
        <v>47</v>
      </c>
      <c r="Z44" s="225" t="s">
        <v>47</v>
      </c>
      <c r="AA44" s="226" t="s">
        <v>47</v>
      </c>
      <c r="AB44" s="226" t="s">
        <v>47</v>
      </c>
      <c r="AC44" s="225" t="s">
        <v>47</v>
      </c>
      <c r="AD44" s="226" t="s">
        <v>53</v>
      </c>
      <c r="AE44" s="226" t="s">
        <v>53</v>
      </c>
      <c r="AF44" s="226" t="s">
        <v>47</v>
      </c>
      <c r="AG44" s="226" t="s">
        <v>47</v>
      </c>
      <c r="AH44" s="225"/>
    </row>
    <row r="45">
      <c r="B45" s="229"/>
      <c r="C45" s="229"/>
      <c r="D45" s="229"/>
    </row>
    <row r="46">
      <c r="B46" s="229"/>
      <c r="C46" s="229"/>
      <c r="D46" s="229"/>
    </row>
    <row r="47">
      <c r="B47" s="229"/>
      <c r="C47" s="229"/>
      <c r="D47" s="229"/>
    </row>
    <row r="48">
      <c r="B48" s="229"/>
      <c r="C48" s="229"/>
      <c r="D48" s="229"/>
    </row>
    <row r="49">
      <c r="B49" s="229"/>
      <c r="C49" s="229"/>
      <c r="D49" s="229"/>
    </row>
    <row r="50">
      <c r="B50" s="229"/>
      <c r="C50" s="229"/>
      <c r="D50" s="229"/>
    </row>
    <row r="51">
      <c r="B51" s="229"/>
      <c r="C51" s="229"/>
      <c r="D51" s="229"/>
    </row>
    <row r="52">
      <c r="B52" s="229"/>
      <c r="C52" s="229"/>
      <c r="D52" s="229"/>
    </row>
    <row r="53">
      <c r="B53" s="229"/>
      <c r="C53" s="229"/>
      <c r="D53" s="229"/>
    </row>
    <row r="54">
      <c r="B54" s="229"/>
      <c r="C54" s="229"/>
      <c r="D54" s="229"/>
    </row>
    <row r="55">
      <c r="B55" s="229"/>
      <c r="C55" s="229"/>
      <c r="D55" s="229"/>
    </row>
    <row r="56">
      <c r="B56" s="229"/>
      <c r="C56" s="229"/>
      <c r="D56" s="229"/>
    </row>
    <row r="57">
      <c r="B57" s="229"/>
      <c r="C57" s="229"/>
      <c r="D57" s="229"/>
    </row>
    <row r="58">
      <c r="B58" s="229"/>
      <c r="C58" s="229"/>
      <c r="D58" s="229"/>
    </row>
    <row r="59">
      <c r="B59" s="229"/>
      <c r="C59" s="229"/>
      <c r="D59" s="229"/>
    </row>
    <row r="60">
      <c r="B60" s="229"/>
      <c r="C60" s="229"/>
      <c r="D60" s="229"/>
    </row>
    <row r="61">
      <c r="B61" s="229"/>
      <c r="C61" s="229"/>
      <c r="D61" s="229"/>
    </row>
    <row r="62">
      <c r="B62" s="229"/>
      <c r="C62" s="229"/>
      <c r="D62" s="229"/>
    </row>
    <row r="63">
      <c r="B63" s="229"/>
      <c r="C63" s="229"/>
      <c r="D63" s="229"/>
    </row>
    <row r="64">
      <c r="B64" s="229"/>
      <c r="C64" s="229"/>
      <c r="D64" s="229"/>
    </row>
    <row r="65">
      <c r="B65" s="229"/>
      <c r="C65" s="229"/>
      <c r="D65" s="229"/>
    </row>
    <row r="66">
      <c r="B66" s="229"/>
      <c r="C66" s="229"/>
      <c r="D66" s="229"/>
    </row>
    <row r="67">
      <c r="B67" s="229"/>
      <c r="C67" s="229"/>
      <c r="D67" s="229"/>
    </row>
    <row r="68">
      <c r="B68" s="229"/>
      <c r="C68" s="229"/>
      <c r="D68" s="229"/>
    </row>
    <row r="69">
      <c r="B69" s="229"/>
      <c r="C69" s="229"/>
      <c r="D69" s="229"/>
    </row>
    <row r="70">
      <c r="B70" s="229"/>
      <c r="C70" s="229"/>
      <c r="D70" s="229"/>
    </row>
    <row r="71">
      <c r="B71" s="229"/>
      <c r="C71" s="229"/>
      <c r="D71" s="229"/>
    </row>
    <row r="72">
      <c r="B72" s="229"/>
      <c r="C72" s="229"/>
      <c r="D72" s="229"/>
    </row>
    <row r="73">
      <c r="B73" s="229"/>
      <c r="C73" s="229"/>
      <c r="D73" s="229"/>
    </row>
    <row r="74">
      <c r="B74" s="229"/>
      <c r="C74" s="229"/>
      <c r="D74" s="229"/>
    </row>
    <row r="75">
      <c r="B75" s="229"/>
      <c r="C75" s="229"/>
      <c r="D75" s="229"/>
    </row>
    <row r="76">
      <c r="B76" s="229"/>
      <c r="C76" s="229"/>
      <c r="D76" s="229"/>
    </row>
    <row r="77">
      <c r="B77" s="229"/>
      <c r="C77" s="229"/>
      <c r="D77" s="229"/>
    </row>
    <row r="78">
      <c r="B78" s="229"/>
      <c r="C78" s="229"/>
      <c r="D78" s="229"/>
    </row>
    <row r="79">
      <c r="B79" s="229"/>
      <c r="C79" s="229"/>
      <c r="D79" s="229"/>
    </row>
    <row r="80">
      <c r="B80" s="229"/>
      <c r="C80" s="229"/>
      <c r="D80" s="229"/>
    </row>
    <row r="81">
      <c r="B81" s="229"/>
      <c r="C81" s="229"/>
      <c r="D81" s="229"/>
    </row>
    <row r="82">
      <c r="B82" s="229"/>
      <c r="C82" s="229"/>
      <c r="D82" s="229"/>
    </row>
    <row r="83">
      <c r="B83" s="229"/>
      <c r="C83" s="229"/>
      <c r="D83" s="229"/>
    </row>
    <row r="84">
      <c r="B84" s="229"/>
      <c r="C84" s="229"/>
      <c r="D84" s="229"/>
    </row>
    <row r="85">
      <c r="B85" s="229"/>
      <c r="C85" s="229"/>
      <c r="D85" s="229"/>
    </row>
    <row r="86">
      <c r="B86" s="229"/>
      <c r="C86" s="229"/>
      <c r="D86" s="229"/>
    </row>
    <row r="87">
      <c r="B87" s="229"/>
      <c r="C87" s="229"/>
      <c r="D87" s="229"/>
    </row>
    <row r="88">
      <c r="B88" s="229"/>
      <c r="C88" s="229"/>
      <c r="D88" s="229"/>
    </row>
    <row r="89">
      <c r="B89" s="229"/>
      <c r="C89" s="229"/>
      <c r="D89" s="229"/>
    </row>
    <row r="90">
      <c r="B90" s="229"/>
      <c r="C90" s="229"/>
      <c r="D90" s="229"/>
    </row>
    <row r="91">
      <c r="B91" s="229"/>
      <c r="C91" s="229"/>
      <c r="D91" s="229"/>
    </row>
    <row r="92">
      <c r="B92" s="229"/>
      <c r="C92" s="229"/>
      <c r="D92" s="229"/>
    </row>
    <row r="93">
      <c r="B93" s="229"/>
      <c r="C93" s="229"/>
      <c r="D93" s="229"/>
    </row>
    <row r="94">
      <c r="B94" s="229"/>
      <c r="C94" s="229"/>
      <c r="D94" s="229"/>
    </row>
    <row r="95">
      <c r="B95" s="229"/>
      <c r="C95" s="229"/>
      <c r="D95" s="229"/>
    </row>
    <row r="96">
      <c r="B96" s="229"/>
      <c r="C96" s="229"/>
      <c r="D96" s="229"/>
    </row>
    <row r="97">
      <c r="B97" s="229"/>
      <c r="C97" s="229"/>
      <c r="D97" s="229"/>
    </row>
    <row r="98">
      <c r="B98" s="229"/>
      <c r="C98" s="229"/>
      <c r="D98" s="229"/>
    </row>
    <row r="99">
      <c r="B99" s="229"/>
      <c r="C99" s="229"/>
      <c r="D99" s="229"/>
    </row>
    <row r="100">
      <c r="B100" s="229"/>
      <c r="C100" s="229"/>
      <c r="D100" s="229"/>
    </row>
    <row r="101">
      <c r="B101" s="229"/>
      <c r="C101" s="229"/>
      <c r="D101" s="229"/>
    </row>
    <row r="102">
      <c r="B102" s="229"/>
      <c r="C102" s="229"/>
      <c r="D102" s="229"/>
    </row>
    <row r="103">
      <c r="B103" s="229"/>
      <c r="C103" s="229"/>
      <c r="D103" s="229"/>
    </row>
    <row r="104">
      <c r="B104" s="229"/>
      <c r="C104" s="229"/>
      <c r="D104" s="229"/>
    </row>
    <row r="105">
      <c r="B105" s="229"/>
      <c r="C105" s="229"/>
      <c r="D105" s="229"/>
    </row>
    <row r="106">
      <c r="B106" s="229"/>
      <c r="C106" s="229"/>
      <c r="D106" s="229"/>
    </row>
    <row r="107">
      <c r="B107" s="229"/>
      <c r="C107" s="229"/>
      <c r="D107" s="229"/>
    </row>
    <row r="108">
      <c r="B108" s="229"/>
      <c r="C108" s="229"/>
      <c r="D108" s="229"/>
    </row>
    <row r="109">
      <c r="B109" s="229"/>
      <c r="C109" s="229"/>
      <c r="D109" s="229"/>
    </row>
    <row r="110">
      <c r="B110" s="229"/>
      <c r="C110" s="229"/>
      <c r="D110" s="229"/>
    </row>
    <row r="111">
      <c r="B111" s="229"/>
      <c r="C111" s="229"/>
      <c r="D111" s="229"/>
    </row>
    <row r="112">
      <c r="B112" s="229"/>
      <c r="C112" s="229"/>
      <c r="D112" s="229"/>
    </row>
    <row r="113">
      <c r="B113" s="229"/>
      <c r="C113" s="229"/>
      <c r="D113" s="229"/>
    </row>
    <row r="114">
      <c r="B114" s="229"/>
      <c r="C114" s="229"/>
      <c r="D114" s="229"/>
    </row>
    <row r="115">
      <c r="B115" s="229"/>
      <c r="C115" s="229"/>
      <c r="D115" s="229"/>
    </row>
    <row r="116">
      <c r="B116" s="229"/>
      <c r="C116" s="229"/>
      <c r="D116" s="229"/>
    </row>
    <row r="117">
      <c r="B117" s="229"/>
      <c r="C117" s="229"/>
      <c r="D117" s="229"/>
    </row>
    <row r="118">
      <c r="B118" s="229"/>
      <c r="C118" s="229"/>
      <c r="D118" s="229"/>
    </row>
    <row r="119">
      <c r="B119" s="229"/>
      <c r="C119" s="229"/>
      <c r="D119" s="229"/>
    </row>
    <row r="120">
      <c r="B120" s="229"/>
      <c r="C120" s="229"/>
      <c r="D120" s="229"/>
    </row>
    <row r="121">
      <c r="B121" s="229"/>
      <c r="C121" s="229"/>
      <c r="D121" s="229"/>
    </row>
    <row r="122">
      <c r="B122" s="229"/>
      <c r="C122" s="229"/>
      <c r="D122" s="229"/>
    </row>
    <row r="123">
      <c r="B123" s="229"/>
      <c r="C123" s="229"/>
      <c r="D123" s="229"/>
    </row>
    <row r="124">
      <c r="B124" s="229"/>
      <c r="C124" s="229"/>
      <c r="D124" s="229"/>
    </row>
    <row r="125">
      <c r="B125" s="229"/>
      <c r="C125" s="229"/>
      <c r="D125" s="229"/>
    </row>
    <row r="126">
      <c r="B126" s="229"/>
      <c r="C126" s="229"/>
      <c r="D126" s="229"/>
    </row>
    <row r="127">
      <c r="B127" s="229"/>
      <c r="C127" s="229"/>
      <c r="D127" s="229"/>
    </row>
    <row r="128">
      <c r="B128" s="229"/>
      <c r="C128" s="229"/>
      <c r="D128" s="229"/>
    </row>
    <row r="129">
      <c r="B129" s="229"/>
      <c r="C129" s="229"/>
      <c r="D129" s="229"/>
    </row>
    <row r="130">
      <c r="B130" s="229"/>
      <c r="C130" s="229"/>
      <c r="D130" s="229"/>
    </row>
    <row r="131">
      <c r="B131" s="229"/>
      <c r="C131" s="229"/>
      <c r="D131" s="229"/>
    </row>
    <row r="132">
      <c r="B132" s="229"/>
      <c r="C132" s="229"/>
      <c r="D132" s="229"/>
    </row>
    <row r="133">
      <c r="B133" s="229"/>
      <c r="C133" s="229"/>
      <c r="D133" s="229"/>
    </row>
    <row r="134">
      <c r="B134" s="229"/>
      <c r="C134" s="229"/>
      <c r="D134" s="229"/>
    </row>
    <row r="135">
      <c r="B135" s="229"/>
      <c r="C135" s="229"/>
      <c r="D135" s="229"/>
    </row>
    <row r="136">
      <c r="B136" s="229"/>
      <c r="C136" s="229"/>
      <c r="D136" s="229"/>
    </row>
    <row r="137">
      <c r="B137" s="229"/>
      <c r="C137" s="229"/>
      <c r="D137" s="229"/>
    </row>
    <row r="138">
      <c r="B138" s="229"/>
      <c r="C138" s="229"/>
      <c r="D138" s="229"/>
    </row>
    <row r="139">
      <c r="B139" s="229"/>
      <c r="C139" s="229"/>
      <c r="D139" s="229"/>
    </row>
    <row r="140">
      <c r="B140" s="229"/>
      <c r="C140" s="229"/>
      <c r="D140" s="229"/>
    </row>
    <row r="141">
      <c r="B141" s="229"/>
      <c r="C141" s="229"/>
      <c r="D141" s="229"/>
    </row>
    <row r="142">
      <c r="B142" s="229"/>
      <c r="C142" s="229"/>
      <c r="D142" s="229"/>
    </row>
    <row r="143">
      <c r="B143" s="229"/>
      <c r="C143" s="229"/>
      <c r="D143" s="229"/>
    </row>
    <row r="144">
      <c r="B144" s="229"/>
      <c r="C144" s="229"/>
      <c r="D144" s="229"/>
    </row>
    <row r="145">
      <c r="B145" s="229"/>
      <c r="C145" s="229"/>
      <c r="D145" s="229"/>
    </row>
    <row r="146">
      <c r="B146" s="229"/>
      <c r="C146" s="229"/>
      <c r="D146" s="229"/>
    </row>
    <row r="147">
      <c r="B147" s="229"/>
      <c r="C147" s="229"/>
      <c r="D147" s="229"/>
    </row>
    <row r="148">
      <c r="B148" s="229"/>
      <c r="C148" s="229"/>
      <c r="D148" s="229"/>
    </row>
    <row r="149">
      <c r="B149" s="229"/>
      <c r="C149" s="229"/>
      <c r="D149" s="229"/>
    </row>
    <row r="150">
      <c r="B150" s="229"/>
      <c r="C150" s="229"/>
      <c r="D150" s="229"/>
    </row>
    <row r="151">
      <c r="B151" s="229"/>
      <c r="C151" s="229"/>
      <c r="D151" s="229"/>
    </row>
    <row r="152">
      <c r="B152" s="229"/>
      <c r="C152" s="229"/>
      <c r="D152" s="229"/>
    </row>
    <row r="153">
      <c r="B153" s="229"/>
      <c r="C153" s="229"/>
      <c r="D153" s="229"/>
    </row>
    <row r="154">
      <c r="B154" s="229"/>
      <c r="C154" s="229"/>
      <c r="D154" s="229"/>
    </row>
    <row r="155">
      <c r="B155" s="229"/>
      <c r="C155" s="229"/>
      <c r="D155" s="229"/>
    </row>
    <row r="156">
      <c r="B156" s="229"/>
      <c r="C156" s="229"/>
      <c r="D156" s="229"/>
    </row>
    <row r="157">
      <c r="B157" s="229"/>
      <c r="C157" s="229"/>
      <c r="D157" s="229"/>
    </row>
    <row r="158">
      <c r="B158" s="229"/>
      <c r="C158" s="229"/>
      <c r="D158" s="229"/>
    </row>
    <row r="159">
      <c r="B159" s="229"/>
      <c r="C159" s="229"/>
      <c r="D159" s="229"/>
    </row>
    <row r="160">
      <c r="B160" s="229"/>
      <c r="C160" s="229"/>
      <c r="D160" s="229"/>
    </row>
    <row r="161">
      <c r="B161" s="229"/>
      <c r="C161" s="229"/>
      <c r="D161" s="229"/>
    </row>
    <row r="162">
      <c r="B162" s="229"/>
      <c r="C162" s="229"/>
      <c r="D162" s="229"/>
    </row>
    <row r="163">
      <c r="B163" s="229"/>
      <c r="C163" s="229"/>
      <c r="D163" s="229"/>
    </row>
    <row r="164">
      <c r="B164" s="229"/>
      <c r="C164" s="229"/>
      <c r="D164" s="229"/>
    </row>
    <row r="165">
      <c r="B165" s="229"/>
      <c r="C165" s="229"/>
      <c r="D165" s="229"/>
    </row>
    <row r="166">
      <c r="B166" s="229"/>
      <c r="C166" s="229"/>
      <c r="D166" s="229"/>
    </row>
    <row r="167">
      <c r="B167" s="229"/>
      <c r="C167" s="229"/>
      <c r="D167" s="229"/>
    </row>
    <row r="168">
      <c r="B168" s="229"/>
      <c r="C168" s="229"/>
      <c r="D168" s="229"/>
    </row>
    <row r="169">
      <c r="B169" s="229"/>
      <c r="C169" s="229"/>
      <c r="D169" s="229"/>
    </row>
    <row r="170">
      <c r="B170" s="229"/>
      <c r="C170" s="229"/>
      <c r="D170" s="229"/>
    </row>
    <row r="171">
      <c r="B171" s="229"/>
      <c r="C171" s="229"/>
      <c r="D171" s="229"/>
    </row>
    <row r="172">
      <c r="B172" s="229"/>
      <c r="C172" s="229"/>
      <c r="D172" s="229"/>
    </row>
    <row r="173">
      <c r="B173" s="229"/>
      <c r="C173" s="229"/>
      <c r="D173" s="229"/>
    </row>
    <row r="174">
      <c r="B174" s="229"/>
      <c r="C174" s="229"/>
      <c r="D174" s="229"/>
    </row>
    <row r="175">
      <c r="B175" s="229"/>
      <c r="C175" s="229"/>
      <c r="D175" s="229"/>
    </row>
    <row r="176">
      <c r="B176" s="229"/>
      <c r="C176" s="229"/>
      <c r="D176" s="229"/>
    </row>
    <row r="177">
      <c r="B177" s="229"/>
      <c r="C177" s="229"/>
      <c r="D177" s="229"/>
    </row>
    <row r="178">
      <c r="B178" s="229"/>
      <c r="C178" s="229"/>
      <c r="D178" s="229"/>
    </row>
    <row r="179">
      <c r="B179" s="229"/>
      <c r="C179" s="229"/>
      <c r="D179" s="229"/>
    </row>
    <row r="180">
      <c r="B180" s="229"/>
      <c r="C180" s="229"/>
      <c r="D180" s="229"/>
    </row>
    <row r="181">
      <c r="B181" s="229"/>
      <c r="C181" s="229"/>
      <c r="D181" s="229"/>
    </row>
    <row r="182">
      <c r="B182" s="229"/>
      <c r="C182" s="229"/>
      <c r="D182" s="229"/>
    </row>
    <row r="183">
      <c r="B183" s="229"/>
      <c r="C183" s="229"/>
      <c r="D183" s="229"/>
    </row>
    <row r="184">
      <c r="B184" s="229"/>
      <c r="C184" s="229"/>
      <c r="D184" s="229"/>
    </row>
    <row r="185">
      <c r="B185" s="229"/>
      <c r="C185" s="229"/>
      <c r="D185" s="229"/>
    </row>
    <row r="186">
      <c r="B186" s="229"/>
      <c r="C186" s="229"/>
      <c r="D186" s="229"/>
    </row>
    <row r="187">
      <c r="B187" s="229"/>
      <c r="C187" s="229"/>
      <c r="D187" s="229"/>
    </row>
    <row r="188">
      <c r="B188" s="229"/>
      <c r="C188" s="229"/>
      <c r="D188" s="229"/>
    </row>
    <row r="189">
      <c r="B189" s="229"/>
      <c r="C189" s="229"/>
      <c r="D189" s="229"/>
    </row>
    <row r="190">
      <c r="B190" s="229"/>
      <c r="C190" s="229"/>
      <c r="D190" s="229"/>
    </row>
    <row r="191">
      <c r="B191" s="229"/>
      <c r="C191" s="229"/>
      <c r="D191" s="229"/>
    </row>
    <row r="192">
      <c r="B192" s="229"/>
      <c r="C192" s="229"/>
      <c r="D192" s="229"/>
    </row>
    <row r="193">
      <c r="B193" s="229"/>
      <c r="C193" s="229"/>
      <c r="D193" s="229"/>
    </row>
    <row r="194">
      <c r="B194" s="229"/>
      <c r="C194" s="229"/>
      <c r="D194" s="229"/>
    </row>
    <row r="195">
      <c r="B195" s="229"/>
      <c r="C195" s="229"/>
      <c r="D195" s="229"/>
    </row>
    <row r="196">
      <c r="B196" s="229"/>
      <c r="C196" s="229"/>
      <c r="D196" s="229"/>
    </row>
    <row r="197">
      <c r="B197" s="229"/>
      <c r="C197" s="229"/>
      <c r="D197" s="229"/>
    </row>
    <row r="198">
      <c r="B198" s="229"/>
      <c r="C198" s="229"/>
      <c r="D198" s="229"/>
    </row>
    <row r="199">
      <c r="B199" s="229"/>
      <c r="C199" s="229"/>
      <c r="D199" s="229"/>
    </row>
    <row r="200">
      <c r="B200" s="229"/>
      <c r="C200" s="229"/>
      <c r="D200" s="229"/>
    </row>
    <row r="201">
      <c r="B201" s="229"/>
      <c r="C201" s="229"/>
      <c r="D201" s="229"/>
    </row>
    <row r="202">
      <c r="B202" s="229"/>
      <c r="C202" s="229"/>
      <c r="D202" s="229"/>
    </row>
    <row r="203">
      <c r="B203" s="229"/>
      <c r="C203" s="229"/>
      <c r="D203" s="229"/>
    </row>
    <row r="204">
      <c r="B204" s="229"/>
      <c r="C204" s="229"/>
      <c r="D204" s="229"/>
    </row>
    <row r="205">
      <c r="B205" s="229"/>
      <c r="C205" s="229"/>
      <c r="D205" s="229"/>
    </row>
    <row r="206">
      <c r="B206" s="229"/>
      <c r="C206" s="229"/>
      <c r="D206" s="229"/>
    </row>
    <row r="207">
      <c r="B207" s="229"/>
      <c r="C207" s="229"/>
      <c r="D207" s="229"/>
    </row>
    <row r="208">
      <c r="B208" s="229"/>
      <c r="C208" s="229"/>
      <c r="D208" s="229"/>
    </row>
    <row r="209">
      <c r="B209" s="229"/>
      <c r="C209" s="229"/>
      <c r="D209" s="229"/>
    </row>
    <row r="210">
      <c r="B210" s="229"/>
      <c r="C210" s="229"/>
      <c r="D210" s="229"/>
    </row>
    <row r="211">
      <c r="B211" s="229"/>
      <c r="C211" s="229"/>
      <c r="D211" s="229"/>
    </row>
    <row r="212">
      <c r="B212" s="229"/>
      <c r="C212" s="229"/>
      <c r="D212" s="229"/>
    </row>
    <row r="213">
      <c r="B213" s="229"/>
      <c r="C213" s="229"/>
      <c r="D213" s="229"/>
    </row>
    <row r="214">
      <c r="B214" s="229"/>
      <c r="C214" s="229"/>
      <c r="D214" s="229"/>
    </row>
    <row r="215">
      <c r="B215" s="229"/>
      <c r="C215" s="229"/>
      <c r="D215" s="229"/>
    </row>
    <row r="216">
      <c r="B216" s="229"/>
      <c r="C216" s="229"/>
      <c r="D216" s="229"/>
    </row>
    <row r="217">
      <c r="B217" s="229"/>
      <c r="C217" s="229"/>
      <c r="D217" s="229"/>
    </row>
    <row r="218">
      <c r="B218" s="229"/>
      <c r="C218" s="229"/>
      <c r="D218" s="229"/>
    </row>
    <row r="219">
      <c r="B219" s="229"/>
      <c r="C219" s="229"/>
      <c r="D219" s="229"/>
    </row>
    <row r="220">
      <c r="B220" s="229"/>
      <c r="C220" s="229"/>
      <c r="D220" s="229"/>
    </row>
    <row r="221">
      <c r="B221" s="229"/>
      <c r="C221" s="229"/>
      <c r="D221" s="229"/>
    </row>
    <row r="222">
      <c r="B222" s="229"/>
      <c r="C222" s="229"/>
      <c r="D222" s="229"/>
    </row>
    <row r="223">
      <c r="B223" s="229"/>
      <c r="C223" s="229"/>
      <c r="D223" s="229"/>
    </row>
    <row r="224">
      <c r="B224" s="229"/>
      <c r="C224" s="229"/>
      <c r="D224" s="229"/>
    </row>
    <row r="225">
      <c r="B225" s="229"/>
      <c r="C225" s="229"/>
      <c r="D225" s="229"/>
    </row>
    <row r="226">
      <c r="B226" s="229"/>
      <c r="C226" s="229"/>
      <c r="D226" s="229"/>
    </row>
    <row r="227">
      <c r="B227" s="229"/>
      <c r="C227" s="229"/>
      <c r="D227" s="229"/>
    </row>
    <row r="228">
      <c r="B228" s="229"/>
      <c r="C228" s="229"/>
      <c r="D228" s="229"/>
    </row>
    <row r="229">
      <c r="B229" s="229"/>
      <c r="C229" s="229"/>
      <c r="D229" s="229"/>
    </row>
    <row r="230">
      <c r="B230" s="229"/>
      <c r="C230" s="229"/>
      <c r="D230" s="229"/>
    </row>
    <row r="231">
      <c r="B231" s="229"/>
      <c r="C231" s="229"/>
      <c r="D231" s="229"/>
    </row>
    <row r="232">
      <c r="B232" s="229"/>
      <c r="C232" s="229"/>
      <c r="D232" s="229"/>
    </row>
    <row r="233">
      <c r="B233" s="229"/>
      <c r="C233" s="229"/>
      <c r="D233" s="229"/>
    </row>
    <row r="234">
      <c r="B234" s="229"/>
      <c r="C234" s="229"/>
      <c r="D234" s="229"/>
    </row>
    <row r="235">
      <c r="B235" s="229"/>
      <c r="C235" s="229"/>
      <c r="D235" s="229"/>
    </row>
    <row r="236">
      <c r="B236" s="229"/>
      <c r="C236" s="229"/>
      <c r="D236" s="229"/>
    </row>
    <row r="237">
      <c r="B237" s="229"/>
      <c r="C237" s="229"/>
      <c r="D237" s="229"/>
    </row>
    <row r="238">
      <c r="B238" s="229"/>
      <c r="C238" s="229"/>
      <c r="D238" s="229"/>
    </row>
    <row r="239">
      <c r="B239" s="229"/>
      <c r="C239" s="229"/>
      <c r="D239" s="229"/>
    </row>
    <row r="240">
      <c r="B240" s="229"/>
      <c r="C240" s="229"/>
      <c r="D240" s="229"/>
    </row>
    <row r="241">
      <c r="B241" s="229"/>
      <c r="C241" s="229"/>
      <c r="D241" s="229"/>
    </row>
    <row r="242">
      <c r="B242" s="229"/>
      <c r="C242" s="229"/>
      <c r="D242" s="229"/>
    </row>
    <row r="243">
      <c r="B243" s="229"/>
      <c r="C243" s="229"/>
      <c r="D243" s="229"/>
    </row>
    <row r="244">
      <c r="B244" s="229"/>
      <c r="C244" s="229"/>
      <c r="D244" s="229"/>
    </row>
    <row r="245">
      <c r="B245" s="229"/>
      <c r="C245" s="229"/>
      <c r="D245" s="229"/>
    </row>
    <row r="246">
      <c r="B246" s="229"/>
      <c r="C246" s="229"/>
      <c r="D246" s="229"/>
    </row>
    <row r="247">
      <c r="B247" s="229"/>
      <c r="C247" s="229"/>
      <c r="D247" s="229"/>
    </row>
    <row r="248">
      <c r="B248" s="229"/>
      <c r="C248" s="229"/>
      <c r="D248" s="229"/>
    </row>
    <row r="249">
      <c r="B249" s="229"/>
      <c r="C249" s="229"/>
      <c r="D249" s="229"/>
    </row>
    <row r="250">
      <c r="B250" s="229"/>
      <c r="C250" s="229"/>
      <c r="D250" s="229"/>
    </row>
    <row r="251">
      <c r="B251" s="229"/>
      <c r="C251" s="229"/>
      <c r="D251" s="229"/>
    </row>
    <row r="252">
      <c r="B252" s="229"/>
      <c r="C252" s="229"/>
      <c r="D252" s="229"/>
    </row>
    <row r="253">
      <c r="B253" s="229"/>
      <c r="C253" s="229"/>
      <c r="D253" s="229"/>
    </row>
    <row r="254">
      <c r="B254" s="229"/>
      <c r="C254" s="229"/>
      <c r="D254" s="229"/>
    </row>
    <row r="255">
      <c r="B255" s="229"/>
      <c r="C255" s="229"/>
      <c r="D255" s="229"/>
    </row>
    <row r="256">
      <c r="B256" s="229"/>
      <c r="C256" s="229"/>
      <c r="D256" s="229"/>
    </row>
    <row r="257">
      <c r="B257" s="229"/>
      <c r="C257" s="229"/>
      <c r="D257" s="229"/>
    </row>
    <row r="258">
      <c r="B258" s="229"/>
      <c r="C258" s="229"/>
      <c r="D258" s="229"/>
    </row>
    <row r="259">
      <c r="B259" s="229"/>
      <c r="C259" s="229"/>
      <c r="D259" s="229"/>
    </row>
    <row r="260">
      <c r="B260" s="229"/>
      <c r="C260" s="229"/>
      <c r="D260" s="229"/>
    </row>
    <row r="261">
      <c r="B261" s="229"/>
      <c r="C261" s="229"/>
      <c r="D261" s="229"/>
    </row>
    <row r="262">
      <c r="B262" s="229"/>
      <c r="C262" s="229"/>
      <c r="D262" s="229"/>
    </row>
    <row r="263">
      <c r="B263" s="229"/>
      <c r="C263" s="229"/>
      <c r="D263" s="229"/>
    </row>
    <row r="264">
      <c r="B264" s="229"/>
      <c r="C264" s="229"/>
      <c r="D264" s="229"/>
    </row>
    <row r="265">
      <c r="B265" s="229"/>
      <c r="C265" s="229"/>
      <c r="D265" s="229"/>
    </row>
    <row r="266">
      <c r="B266" s="229"/>
      <c r="C266" s="229"/>
      <c r="D266" s="229"/>
    </row>
    <row r="267">
      <c r="B267" s="229"/>
      <c r="C267" s="229"/>
      <c r="D267" s="229"/>
    </row>
    <row r="268">
      <c r="B268" s="229"/>
      <c r="C268" s="229"/>
      <c r="D268" s="229"/>
    </row>
    <row r="269">
      <c r="B269" s="229"/>
      <c r="C269" s="229"/>
      <c r="D269" s="229"/>
    </row>
    <row r="270">
      <c r="B270" s="229"/>
      <c r="C270" s="229"/>
      <c r="D270" s="229"/>
    </row>
    <row r="271">
      <c r="B271" s="229"/>
      <c r="C271" s="229"/>
      <c r="D271" s="229"/>
    </row>
    <row r="272">
      <c r="B272" s="229"/>
      <c r="C272" s="229"/>
      <c r="D272" s="229"/>
    </row>
    <row r="273">
      <c r="B273" s="229"/>
      <c r="C273" s="229"/>
      <c r="D273" s="229"/>
    </row>
    <row r="274">
      <c r="B274" s="229"/>
      <c r="C274" s="229"/>
      <c r="D274" s="229"/>
    </row>
    <row r="275">
      <c r="B275" s="229"/>
      <c r="C275" s="229"/>
      <c r="D275" s="229"/>
    </row>
    <row r="276">
      <c r="B276" s="229"/>
      <c r="C276" s="229"/>
      <c r="D276" s="229"/>
    </row>
    <row r="277">
      <c r="B277" s="229"/>
      <c r="C277" s="229"/>
      <c r="D277" s="229"/>
    </row>
    <row r="278">
      <c r="B278" s="229"/>
      <c r="C278" s="229"/>
      <c r="D278" s="229"/>
    </row>
    <row r="279">
      <c r="B279" s="229"/>
      <c r="C279" s="229"/>
      <c r="D279" s="229"/>
    </row>
    <row r="280">
      <c r="B280" s="229"/>
      <c r="C280" s="229"/>
      <c r="D280" s="229"/>
    </row>
    <row r="281">
      <c r="B281" s="229"/>
      <c r="C281" s="229"/>
      <c r="D281" s="229"/>
    </row>
    <row r="282">
      <c r="B282" s="229"/>
      <c r="C282" s="229"/>
      <c r="D282" s="229"/>
    </row>
    <row r="283">
      <c r="B283" s="229"/>
      <c r="C283" s="229"/>
      <c r="D283" s="229"/>
    </row>
    <row r="284">
      <c r="B284" s="229"/>
      <c r="C284" s="229"/>
      <c r="D284" s="229"/>
    </row>
    <row r="285">
      <c r="B285" s="229"/>
      <c r="C285" s="229"/>
      <c r="D285" s="229"/>
    </row>
    <row r="286">
      <c r="B286" s="229"/>
      <c r="C286" s="229"/>
      <c r="D286" s="229"/>
    </row>
    <row r="287">
      <c r="B287" s="229"/>
      <c r="C287" s="229"/>
      <c r="D287" s="229"/>
    </row>
    <row r="288">
      <c r="B288" s="229"/>
      <c r="C288" s="229"/>
      <c r="D288" s="229"/>
    </row>
    <row r="289">
      <c r="B289" s="229"/>
      <c r="C289" s="229"/>
      <c r="D289" s="229"/>
    </row>
    <row r="290">
      <c r="B290" s="229"/>
      <c r="C290" s="229"/>
      <c r="D290" s="229"/>
    </row>
    <row r="291">
      <c r="B291" s="229"/>
      <c r="C291" s="229"/>
      <c r="D291" s="229"/>
    </row>
    <row r="292">
      <c r="B292" s="229"/>
      <c r="C292" s="229"/>
      <c r="D292" s="229"/>
    </row>
    <row r="293">
      <c r="B293" s="229"/>
      <c r="C293" s="229"/>
      <c r="D293" s="229"/>
    </row>
    <row r="294">
      <c r="B294" s="229"/>
      <c r="C294" s="229"/>
      <c r="D294" s="229"/>
    </row>
    <row r="295">
      <c r="B295" s="229"/>
      <c r="C295" s="229"/>
      <c r="D295" s="229"/>
    </row>
    <row r="296">
      <c r="B296" s="229"/>
      <c r="C296" s="229"/>
      <c r="D296" s="229"/>
    </row>
    <row r="297">
      <c r="B297" s="229"/>
      <c r="C297" s="229"/>
      <c r="D297" s="229"/>
    </row>
    <row r="298">
      <c r="B298" s="229"/>
      <c r="C298" s="229"/>
      <c r="D298" s="229"/>
    </row>
    <row r="299">
      <c r="B299" s="229"/>
      <c r="C299" s="229"/>
      <c r="D299" s="229"/>
    </row>
    <row r="300">
      <c r="B300" s="229"/>
      <c r="C300" s="229"/>
      <c r="D300" s="229"/>
    </row>
    <row r="301">
      <c r="B301" s="229"/>
      <c r="C301" s="229"/>
      <c r="D301" s="229"/>
    </row>
    <row r="302">
      <c r="B302" s="229"/>
      <c r="C302" s="229"/>
      <c r="D302" s="229"/>
    </row>
    <row r="303">
      <c r="B303" s="229"/>
      <c r="C303" s="229"/>
      <c r="D303" s="229"/>
    </row>
    <row r="304">
      <c r="B304" s="229"/>
      <c r="C304" s="229"/>
      <c r="D304" s="229"/>
    </row>
    <row r="305">
      <c r="B305" s="229"/>
      <c r="C305" s="229"/>
      <c r="D305" s="229"/>
    </row>
    <row r="306">
      <c r="B306" s="229"/>
      <c r="C306" s="229"/>
      <c r="D306" s="229"/>
    </row>
    <row r="307">
      <c r="B307" s="229"/>
      <c r="C307" s="229"/>
      <c r="D307" s="229"/>
    </row>
    <row r="308">
      <c r="B308" s="229"/>
      <c r="C308" s="229"/>
      <c r="D308" s="229"/>
    </row>
    <row r="309">
      <c r="B309" s="229"/>
      <c r="C309" s="229"/>
      <c r="D309" s="229"/>
    </row>
    <row r="310">
      <c r="B310" s="229"/>
      <c r="C310" s="229"/>
      <c r="D310" s="229"/>
    </row>
    <row r="311">
      <c r="B311" s="229"/>
      <c r="C311" s="229"/>
      <c r="D311" s="229"/>
    </row>
    <row r="312">
      <c r="B312" s="229"/>
      <c r="C312" s="229"/>
      <c r="D312" s="229"/>
    </row>
    <row r="313">
      <c r="B313" s="229"/>
      <c r="C313" s="229"/>
      <c r="D313" s="229"/>
    </row>
    <row r="314">
      <c r="B314" s="229"/>
      <c r="C314" s="229"/>
      <c r="D314" s="229"/>
    </row>
    <row r="315">
      <c r="B315" s="229"/>
      <c r="C315" s="229"/>
      <c r="D315" s="229"/>
    </row>
    <row r="316">
      <c r="B316" s="229"/>
      <c r="C316" s="229"/>
      <c r="D316" s="229"/>
    </row>
    <row r="317">
      <c r="B317" s="229"/>
      <c r="C317" s="229"/>
      <c r="D317" s="229"/>
    </row>
    <row r="318">
      <c r="B318" s="229"/>
      <c r="C318" s="229"/>
      <c r="D318" s="229"/>
    </row>
    <row r="319">
      <c r="B319" s="229"/>
      <c r="C319" s="229"/>
      <c r="D319" s="229"/>
    </row>
    <row r="320">
      <c r="B320" s="229"/>
      <c r="C320" s="229"/>
      <c r="D320" s="229"/>
    </row>
    <row r="321">
      <c r="B321" s="229"/>
      <c r="C321" s="229"/>
      <c r="D321" s="229"/>
    </row>
    <row r="322">
      <c r="B322" s="229"/>
      <c r="C322" s="229"/>
      <c r="D322" s="229"/>
    </row>
    <row r="323">
      <c r="B323" s="229"/>
      <c r="C323" s="229"/>
      <c r="D323" s="229"/>
    </row>
    <row r="324">
      <c r="B324" s="229"/>
      <c r="C324" s="229"/>
      <c r="D324" s="229"/>
    </row>
    <row r="325">
      <c r="B325" s="229"/>
      <c r="C325" s="229"/>
      <c r="D325" s="229"/>
    </row>
    <row r="326">
      <c r="B326" s="229"/>
      <c r="C326" s="229"/>
      <c r="D326" s="229"/>
    </row>
    <row r="327">
      <c r="B327" s="229"/>
      <c r="C327" s="229"/>
      <c r="D327" s="229"/>
    </row>
    <row r="328">
      <c r="B328" s="229"/>
      <c r="C328" s="229"/>
      <c r="D328" s="229"/>
    </row>
    <row r="329">
      <c r="B329" s="229"/>
      <c r="C329" s="229"/>
      <c r="D329" s="229"/>
    </row>
    <row r="330">
      <c r="B330" s="229"/>
      <c r="C330" s="229"/>
      <c r="D330" s="229"/>
    </row>
    <row r="331">
      <c r="B331" s="229"/>
      <c r="C331" s="229"/>
      <c r="D331" s="229"/>
    </row>
    <row r="332">
      <c r="B332" s="229"/>
      <c r="C332" s="229"/>
      <c r="D332" s="229"/>
    </row>
    <row r="333">
      <c r="B333" s="229"/>
      <c r="C333" s="229"/>
      <c r="D333" s="229"/>
    </row>
    <row r="334">
      <c r="B334" s="229"/>
      <c r="C334" s="229"/>
      <c r="D334" s="229"/>
    </row>
    <row r="335">
      <c r="B335" s="229"/>
      <c r="C335" s="229"/>
      <c r="D335" s="229"/>
    </row>
    <row r="336">
      <c r="B336" s="229"/>
      <c r="C336" s="229"/>
      <c r="D336" s="229"/>
    </row>
    <row r="337">
      <c r="B337" s="229"/>
      <c r="C337" s="229"/>
      <c r="D337" s="229"/>
    </row>
    <row r="338">
      <c r="B338" s="229"/>
      <c r="C338" s="229"/>
      <c r="D338" s="229"/>
    </row>
    <row r="339">
      <c r="B339" s="229"/>
      <c r="C339" s="229"/>
      <c r="D339" s="229"/>
    </row>
    <row r="340">
      <c r="B340" s="229"/>
      <c r="C340" s="229"/>
      <c r="D340" s="229"/>
    </row>
    <row r="341">
      <c r="B341" s="229"/>
      <c r="C341" s="229"/>
      <c r="D341" s="229"/>
    </row>
    <row r="342">
      <c r="B342" s="229"/>
      <c r="C342" s="229"/>
      <c r="D342" s="229"/>
    </row>
    <row r="343">
      <c r="B343" s="229"/>
      <c r="C343" s="229"/>
      <c r="D343" s="229"/>
    </row>
    <row r="344">
      <c r="B344" s="229"/>
      <c r="C344" s="229"/>
      <c r="D344" s="229"/>
    </row>
    <row r="345">
      <c r="B345" s="229"/>
      <c r="C345" s="229"/>
      <c r="D345" s="229"/>
    </row>
    <row r="346">
      <c r="B346" s="229"/>
      <c r="C346" s="229"/>
      <c r="D346" s="229"/>
    </row>
    <row r="347">
      <c r="B347" s="229"/>
      <c r="C347" s="229"/>
      <c r="D347" s="229"/>
    </row>
    <row r="348">
      <c r="B348" s="229"/>
      <c r="C348" s="229"/>
      <c r="D348" s="229"/>
    </row>
    <row r="349">
      <c r="B349" s="229"/>
      <c r="C349" s="229"/>
      <c r="D349" s="229"/>
    </row>
    <row r="350">
      <c r="B350" s="229"/>
      <c r="C350" s="229"/>
      <c r="D350" s="229"/>
    </row>
    <row r="351">
      <c r="B351" s="229"/>
      <c r="C351" s="229"/>
      <c r="D351" s="229"/>
    </row>
    <row r="352">
      <c r="B352" s="229"/>
      <c r="C352" s="229"/>
      <c r="D352" s="229"/>
    </row>
    <row r="353">
      <c r="B353" s="229"/>
      <c r="C353" s="229"/>
      <c r="D353" s="229"/>
    </row>
    <row r="354">
      <c r="B354" s="229"/>
      <c r="C354" s="229"/>
      <c r="D354" s="229"/>
    </row>
    <row r="355">
      <c r="B355" s="229"/>
      <c r="C355" s="229"/>
      <c r="D355" s="229"/>
    </row>
    <row r="356">
      <c r="B356" s="229"/>
      <c r="C356" s="229"/>
      <c r="D356" s="229"/>
    </row>
    <row r="357">
      <c r="B357" s="229"/>
      <c r="C357" s="229"/>
      <c r="D357" s="229"/>
    </row>
    <row r="358">
      <c r="B358" s="229"/>
      <c r="C358" s="229"/>
      <c r="D358" s="229"/>
    </row>
    <row r="359">
      <c r="B359" s="229"/>
      <c r="C359" s="229"/>
      <c r="D359" s="229"/>
    </row>
    <row r="360">
      <c r="B360" s="229"/>
      <c r="C360" s="229"/>
      <c r="D360" s="229"/>
    </row>
    <row r="361">
      <c r="B361" s="229"/>
      <c r="C361" s="229"/>
      <c r="D361" s="229"/>
    </row>
    <row r="362">
      <c r="B362" s="229"/>
      <c r="C362" s="229"/>
      <c r="D362" s="229"/>
    </row>
    <row r="363">
      <c r="B363" s="229"/>
      <c r="C363" s="229"/>
      <c r="D363" s="229"/>
    </row>
    <row r="364">
      <c r="B364" s="229"/>
      <c r="C364" s="229"/>
      <c r="D364" s="229"/>
    </row>
    <row r="365">
      <c r="B365" s="229"/>
      <c r="C365" s="229"/>
      <c r="D365" s="229"/>
    </row>
    <row r="366">
      <c r="B366" s="229"/>
      <c r="C366" s="229"/>
      <c r="D366" s="229"/>
    </row>
    <row r="367">
      <c r="B367" s="229"/>
      <c r="C367" s="229"/>
      <c r="D367" s="229"/>
    </row>
    <row r="368">
      <c r="B368" s="229"/>
      <c r="C368" s="229"/>
      <c r="D368" s="229"/>
    </row>
    <row r="369">
      <c r="B369" s="229"/>
      <c r="C369" s="229"/>
      <c r="D369" s="229"/>
    </row>
    <row r="370">
      <c r="B370" s="229"/>
      <c r="C370" s="229"/>
      <c r="D370" s="229"/>
    </row>
    <row r="371">
      <c r="B371" s="229"/>
      <c r="C371" s="229"/>
      <c r="D371" s="229"/>
    </row>
    <row r="372">
      <c r="B372" s="229"/>
      <c r="C372" s="229"/>
      <c r="D372" s="229"/>
    </row>
    <row r="373">
      <c r="B373" s="229"/>
      <c r="C373" s="229"/>
      <c r="D373" s="229"/>
    </row>
    <row r="374">
      <c r="B374" s="229"/>
      <c r="C374" s="229"/>
      <c r="D374" s="229"/>
    </row>
    <row r="375">
      <c r="B375" s="229"/>
      <c r="C375" s="229"/>
      <c r="D375" s="229"/>
    </row>
    <row r="376">
      <c r="B376" s="229"/>
      <c r="C376" s="229"/>
      <c r="D376" s="229"/>
    </row>
    <row r="377">
      <c r="B377" s="229"/>
      <c r="C377" s="229"/>
      <c r="D377" s="229"/>
    </row>
    <row r="378">
      <c r="B378" s="229"/>
      <c r="C378" s="229"/>
      <c r="D378" s="229"/>
    </row>
    <row r="379">
      <c r="B379" s="229"/>
      <c r="C379" s="229"/>
      <c r="D379" s="229"/>
    </row>
    <row r="380">
      <c r="B380" s="229"/>
      <c r="C380" s="229"/>
      <c r="D380" s="229"/>
    </row>
    <row r="381">
      <c r="B381" s="229"/>
      <c r="C381" s="229"/>
      <c r="D381" s="229"/>
    </row>
    <row r="382">
      <c r="B382" s="229"/>
      <c r="C382" s="229"/>
      <c r="D382" s="229"/>
    </row>
    <row r="383">
      <c r="B383" s="229"/>
      <c r="C383" s="229"/>
      <c r="D383" s="229"/>
    </row>
    <row r="384">
      <c r="B384" s="229"/>
      <c r="C384" s="229"/>
      <c r="D384" s="229"/>
    </row>
    <row r="385">
      <c r="B385" s="229"/>
      <c r="C385" s="229"/>
      <c r="D385" s="229"/>
    </row>
    <row r="386">
      <c r="B386" s="229"/>
      <c r="C386" s="229"/>
      <c r="D386" s="229"/>
    </row>
    <row r="387">
      <c r="B387" s="229"/>
      <c r="C387" s="229"/>
      <c r="D387" s="229"/>
    </row>
    <row r="388">
      <c r="B388" s="229"/>
      <c r="C388" s="229"/>
      <c r="D388" s="229"/>
    </row>
    <row r="389">
      <c r="B389" s="229"/>
      <c r="C389" s="229"/>
      <c r="D389" s="229"/>
    </row>
    <row r="390">
      <c r="B390" s="229"/>
      <c r="C390" s="229"/>
      <c r="D390" s="229"/>
    </row>
    <row r="391">
      <c r="B391" s="229"/>
      <c r="C391" s="229"/>
      <c r="D391" s="229"/>
    </row>
    <row r="392">
      <c r="B392" s="229"/>
      <c r="C392" s="229"/>
      <c r="D392" s="229"/>
    </row>
    <row r="393">
      <c r="B393" s="229"/>
      <c r="C393" s="229"/>
      <c r="D393" s="229"/>
    </row>
    <row r="394">
      <c r="B394" s="229"/>
      <c r="C394" s="229"/>
      <c r="D394" s="229"/>
    </row>
    <row r="395">
      <c r="B395" s="229"/>
      <c r="C395" s="229"/>
      <c r="D395" s="229"/>
    </row>
    <row r="396">
      <c r="B396" s="229"/>
      <c r="C396" s="229"/>
      <c r="D396" s="229"/>
    </row>
    <row r="397">
      <c r="B397" s="229"/>
      <c r="C397" s="229"/>
      <c r="D397" s="229"/>
    </row>
    <row r="398">
      <c r="B398" s="229"/>
      <c r="C398" s="229"/>
      <c r="D398" s="229"/>
    </row>
    <row r="399">
      <c r="B399" s="229"/>
      <c r="C399" s="229"/>
      <c r="D399" s="229"/>
    </row>
    <row r="400">
      <c r="B400" s="229"/>
      <c r="C400" s="229"/>
      <c r="D400" s="229"/>
    </row>
    <row r="401">
      <c r="B401" s="229"/>
      <c r="C401" s="229"/>
      <c r="D401" s="229"/>
    </row>
    <row r="402">
      <c r="B402" s="229"/>
      <c r="C402" s="229"/>
      <c r="D402" s="229"/>
    </row>
    <row r="403">
      <c r="B403" s="229"/>
      <c r="C403" s="229"/>
      <c r="D403" s="229"/>
    </row>
    <row r="404">
      <c r="B404" s="229"/>
      <c r="C404" s="229"/>
      <c r="D404" s="229"/>
    </row>
    <row r="405">
      <c r="B405" s="229"/>
      <c r="C405" s="229"/>
      <c r="D405" s="229"/>
    </row>
    <row r="406">
      <c r="B406" s="229"/>
      <c r="C406" s="229"/>
      <c r="D406" s="229"/>
    </row>
    <row r="407">
      <c r="B407" s="229"/>
      <c r="C407" s="229"/>
      <c r="D407" s="229"/>
    </row>
    <row r="408">
      <c r="B408" s="229"/>
      <c r="C408" s="229"/>
      <c r="D408" s="229"/>
    </row>
    <row r="409">
      <c r="B409" s="229"/>
      <c r="C409" s="229"/>
      <c r="D409" s="229"/>
    </row>
    <row r="410">
      <c r="B410" s="229"/>
      <c r="C410" s="229"/>
      <c r="D410" s="229"/>
    </row>
    <row r="411">
      <c r="B411" s="229"/>
      <c r="C411" s="229"/>
      <c r="D411" s="229"/>
    </row>
    <row r="412">
      <c r="B412" s="229"/>
      <c r="C412" s="229"/>
      <c r="D412" s="229"/>
    </row>
    <row r="413">
      <c r="B413" s="229"/>
      <c r="C413" s="229"/>
      <c r="D413" s="229"/>
    </row>
    <row r="414">
      <c r="B414" s="229"/>
      <c r="C414" s="229"/>
      <c r="D414" s="229"/>
    </row>
    <row r="415">
      <c r="B415" s="229"/>
      <c r="C415" s="229"/>
      <c r="D415" s="229"/>
    </row>
    <row r="416">
      <c r="B416" s="229"/>
      <c r="C416" s="229"/>
      <c r="D416" s="229"/>
    </row>
    <row r="417">
      <c r="B417" s="229"/>
      <c r="C417" s="229"/>
      <c r="D417" s="229"/>
    </row>
    <row r="418">
      <c r="B418" s="229"/>
      <c r="C418" s="229"/>
      <c r="D418" s="229"/>
    </row>
    <row r="419">
      <c r="B419" s="229"/>
      <c r="C419" s="229"/>
      <c r="D419" s="229"/>
    </row>
    <row r="420">
      <c r="B420" s="229"/>
      <c r="C420" s="229"/>
      <c r="D420" s="229"/>
    </row>
    <row r="421">
      <c r="B421" s="229"/>
      <c r="C421" s="229"/>
      <c r="D421" s="229"/>
    </row>
    <row r="422">
      <c r="B422" s="229"/>
      <c r="C422" s="229"/>
      <c r="D422" s="229"/>
    </row>
    <row r="423">
      <c r="B423" s="229"/>
      <c r="C423" s="229"/>
      <c r="D423" s="229"/>
    </row>
    <row r="424">
      <c r="B424" s="229"/>
      <c r="C424" s="229"/>
      <c r="D424" s="229"/>
    </row>
    <row r="425">
      <c r="B425" s="229"/>
      <c r="C425" s="229"/>
      <c r="D425" s="229"/>
    </row>
    <row r="426">
      <c r="B426" s="229"/>
      <c r="C426" s="229"/>
      <c r="D426" s="229"/>
    </row>
    <row r="427">
      <c r="B427" s="229"/>
      <c r="C427" s="229"/>
      <c r="D427" s="229"/>
    </row>
    <row r="428">
      <c r="B428" s="229"/>
      <c r="C428" s="229"/>
      <c r="D428" s="229"/>
    </row>
    <row r="429">
      <c r="B429" s="229"/>
      <c r="C429" s="229"/>
      <c r="D429" s="229"/>
    </row>
    <row r="430">
      <c r="B430" s="229"/>
      <c r="C430" s="229"/>
      <c r="D430" s="229"/>
    </row>
    <row r="431">
      <c r="B431" s="229"/>
      <c r="C431" s="229"/>
      <c r="D431" s="229"/>
    </row>
    <row r="432">
      <c r="B432" s="229"/>
      <c r="C432" s="229"/>
      <c r="D432" s="229"/>
    </row>
    <row r="433">
      <c r="B433" s="229"/>
      <c r="C433" s="229"/>
      <c r="D433" s="229"/>
    </row>
    <row r="434">
      <c r="B434" s="229"/>
      <c r="C434" s="229"/>
      <c r="D434" s="229"/>
    </row>
    <row r="435">
      <c r="B435" s="229"/>
      <c r="C435" s="229"/>
      <c r="D435" s="229"/>
    </row>
    <row r="436">
      <c r="B436" s="229"/>
      <c r="C436" s="229"/>
      <c r="D436" s="229"/>
    </row>
    <row r="437">
      <c r="B437" s="229"/>
      <c r="C437" s="229"/>
      <c r="D437" s="229"/>
    </row>
    <row r="438">
      <c r="B438" s="229"/>
      <c r="C438" s="229"/>
      <c r="D438" s="229"/>
    </row>
    <row r="439">
      <c r="B439" s="229"/>
      <c r="C439" s="229"/>
      <c r="D439" s="229"/>
    </row>
    <row r="440">
      <c r="B440" s="229"/>
      <c r="C440" s="229"/>
      <c r="D440" s="229"/>
    </row>
    <row r="441">
      <c r="B441" s="229"/>
      <c r="C441" s="229"/>
      <c r="D441" s="229"/>
    </row>
    <row r="442">
      <c r="B442" s="229"/>
      <c r="C442" s="229"/>
      <c r="D442" s="229"/>
    </row>
    <row r="443">
      <c r="B443" s="229"/>
      <c r="C443" s="229"/>
      <c r="D443" s="229"/>
    </row>
    <row r="444">
      <c r="B444" s="229"/>
      <c r="C444" s="229"/>
      <c r="D444" s="229"/>
    </row>
    <row r="445">
      <c r="B445" s="229"/>
      <c r="C445" s="229"/>
      <c r="D445" s="229"/>
    </row>
    <row r="446">
      <c r="B446" s="229"/>
      <c r="C446" s="229"/>
      <c r="D446" s="229"/>
    </row>
    <row r="447">
      <c r="B447" s="229"/>
      <c r="C447" s="229"/>
      <c r="D447" s="229"/>
    </row>
    <row r="448">
      <c r="B448" s="229"/>
      <c r="C448" s="229"/>
      <c r="D448" s="229"/>
    </row>
    <row r="449">
      <c r="B449" s="229"/>
      <c r="C449" s="229"/>
      <c r="D449" s="229"/>
    </row>
    <row r="450">
      <c r="B450" s="229"/>
      <c r="C450" s="229"/>
      <c r="D450" s="229"/>
    </row>
    <row r="451">
      <c r="B451" s="229"/>
      <c r="C451" s="229"/>
      <c r="D451" s="229"/>
    </row>
    <row r="452">
      <c r="B452" s="229"/>
      <c r="C452" s="229"/>
      <c r="D452" s="229"/>
    </row>
    <row r="453">
      <c r="B453" s="229"/>
      <c r="C453" s="229"/>
      <c r="D453" s="229"/>
    </row>
    <row r="454">
      <c r="B454" s="229"/>
      <c r="C454" s="229"/>
      <c r="D454" s="229"/>
    </row>
    <row r="455">
      <c r="B455" s="229"/>
      <c r="C455" s="229"/>
      <c r="D455" s="229"/>
    </row>
    <row r="456">
      <c r="B456" s="229"/>
      <c r="C456" s="229"/>
      <c r="D456" s="229"/>
    </row>
    <row r="457">
      <c r="B457" s="229"/>
      <c r="C457" s="229"/>
      <c r="D457" s="229"/>
    </row>
    <row r="458">
      <c r="B458" s="229"/>
      <c r="C458" s="229"/>
      <c r="D458" s="229"/>
    </row>
    <row r="459">
      <c r="B459" s="229"/>
      <c r="C459" s="229"/>
      <c r="D459" s="229"/>
    </row>
    <row r="460">
      <c r="B460" s="229"/>
      <c r="C460" s="229"/>
      <c r="D460" s="229"/>
    </row>
    <row r="461">
      <c r="B461" s="229"/>
      <c r="C461" s="229"/>
      <c r="D461" s="229"/>
    </row>
    <row r="462">
      <c r="B462" s="229"/>
      <c r="C462" s="229"/>
      <c r="D462" s="229"/>
    </row>
    <row r="463">
      <c r="B463" s="229"/>
      <c r="C463" s="229"/>
      <c r="D463" s="229"/>
    </row>
    <row r="464">
      <c r="B464" s="229"/>
      <c r="C464" s="229"/>
      <c r="D464" s="229"/>
    </row>
    <row r="465">
      <c r="B465" s="229"/>
      <c r="C465" s="229"/>
      <c r="D465" s="229"/>
    </row>
    <row r="466">
      <c r="B466" s="229"/>
      <c r="C466" s="229"/>
      <c r="D466" s="229"/>
    </row>
    <row r="467">
      <c r="B467" s="229"/>
      <c r="C467" s="229"/>
      <c r="D467" s="229"/>
    </row>
    <row r="468">
      <c r="B468" s="229"/>
      <c r="C468" s="229"/>
      <c r="D468" s="229"/>
    </row>
    <row r="469">
      <c r="B469" s="229"/>
      <c r="C469" s="229"/>
      <c r="D469" s="229"/>
    </row>
    <row r="470">
      <c r="B470" s="229"/>
      <c r="C470" s="229"/>
      <c r="D470" s="229"/>
    </row>
    <row r="471">
      <c r="B471" s="229"/>
      <c r="C471" s="229"/>
      <c r="D471" s="229"/>
    </row>
    <row r="472">
      <c r="B472" s="229"/>
      <c r="C472" s="229"/>
      <c r="D472" s="229"/>
    </row>
    <row r="473">
      <c r="B473" s="229"/>
      <c r="C473" s="229"/>
      <c r="D473" s="229"/>
    </row>
    <row r="474">
      <c r="B474" s="229"/>
      <c r="C474" s="229"/>
      <c r="D474" s="229"/>
    </row>
    <row r="475">
      <c r="B475" s="229"/>
      <c r="C475" s="229"/>
      <c r="D475" s="229"/>
    </row>
    <row r="476">
      <c r="B476" s="229"/>
      <c r="C476" s="229"/>
      <c r="D476" s="229"/>
    </row>
    <row r="477">
      <c r="B477" s="229"/>
      <c r="C477" s="229"/>
      <c r="D477" s="229"/>
    </row>
    <row r="478">
      <c r="B478" s="229"/>
      <c r="C478" s="229"/>
      <c r="D478" s="229"/>
    </row>
    <row r="479">
      <c r="B479" s="229"/>
      <c r="C479" s="229"/>
      <c r="D479" s="229"/>
    </row>
    <row r="480">
      <c r="B480" s="229"/>
      <c r="C480" s="229"/>
      <c r="D480" s="229"/>
    </row>
    <row r="481">
      <c r="B481" s="229"/>
      <c r="C481" s="229"/>
      <c r="D481" s="229"/>
    </row>
    <row r="482">
      <c r="B482" s="229"/>
      <c r="C482" s="229"/>
      <c r="D482" s="229"/>
    </row>
    <row r="483">
      <c r="B483" s="229"/>
      <c r="C483" s="229"/>
      <c r="D483" s="229"/>
    </row>
    <row r="484">
      <c r="B484" s="229"/>
      <c r="C484" s="229"/>
      <c r="D484" s="229"/>
    </row>
    <row r="485">
      <c r="B485" s="229"/>
      <c r="C485" s="229"/>
      <c r="D485" s="229"/>
    </row>
    <row r="486">
      <c r="B486" s="229"/>
      <c r="C486" s="229"/>
      <c r="D486" s="229"/>
    </row>
    <row r="487">
      <c r="B487" s="229"/>
      <c r="C487" s="229"/>
      <c r="D487" s="229"/>
    </row>
    <row r="488">
      <c r="B488" s="229"/>
      <c r="C488" s="229"/>
      <c r="D488" s="229"/>
    </row>
    <row r="489">
      <c r="B489" s="229"/>
      <c r="C489" s="229"/>
      <c r="D489" s="229"/>
    </row>
    <row r="490">
      <c r="B490" s="229"/>
      <c r="C490" s="229"/>
      <c r="D490" s="229"/>
    </row>
    <row r="491">
      <c r="B491" s="229"/>
      <c r="C491" s="229"/>
      <c r="D491" s="229"/>
    </row>
    <row r="492">
      <c r="B492" s="229"/>
      <c r="C492" s="229"/>
      <c r="D492" s="229"/>
    </row>
    <row r="493">
      <c r="B493" s="229"/>
      <c r="C493" s="229"/>
      <c r="D493" s="229"/>
    </row>
    <row r="494">
      <c r="B494" s="229"/>
      <c r="C494" s="229"/>
      <c r="D494" s="229"/>
    </row>
    <row r="495">
      <c r="B495" s="229"/>
      <c r="C495" s="229"/>
      <c r="D495" s="229"/>
    </row>
    <row r="496">
      <c r="B496" s="229"/>
      <c r="C496" s="229"/>
      <c r="D496" s="229"/>
    </row>
    <row r="497">
      <c r="B497" s="229"/>
      <c r="C497" s="229"/>
      <c r="D497" s="229"/>
    </row>
    <row r="498">
      <c r="B498" s="229"/>
      <c r="C498" s="229"/>
      <c r="D498" s="229"/>
    </row>
    <row r="499">
      <c r="B499" s="229"/>
      <c r="C499" s="229"/>
      <c r="D499" s="229"/>
    </row>
    <row r="500">
      <c r="B500" s="229"/>
      <c r="C500" s="229"/>
      <c r="D500" s="229"/>
    </row>
    <row r="501">
      <c r="B501" s="229"/>
      <c r="C501" s="229"/>
      <c r="D501" s="229"/>
    </row>
    <row r="502">
      <c r="B502" s="229"/>
      <c r="C502" s="229"/>
      <c r="D502" s="229"/>
    </row>
    <row r="503">
      <c r="B503" s="229"/>
      <c r="C503" s="229"/>
      <c r="D503" s="229"/>
    </row>
    <row r="504">
      <c r="B504" s="229"/>
      <c r="C504" s="229"/>
      <c r="D504" s="229"/>
    </row>
    <row r="505">
      <c r="B505" s="229"/>
      <c r="C505" s="229"/>
      <c r="D505" s="229"/>
    </row>
    <row r="506">
      <c r="B506" s="229"/>
      <c r="C506" s="229"/>
      <c r="D506" s="229"/>
    </row>
    <row r="507">
      <c r="B507" s="229"/>
      <c r="C507" s="229"/>
      <c r="D507" s="229"/>
    </row>
    <row r="508">
      <c r="B508" s="229"/>
      <c r="C508" s="229"/>
      <c r="D508" s="229"/>
    </row>
    <row r="509">
      <c r="B509" s="229"/>
      <c r="C509" s="229"/>
      <c r="D509" s="229"/>
    </row>
    <row r="510">
      <c r="B510" s="229"/>
      <c r="C510" s="229"/>
      <c r="D510" s="229"/>
    </row>
    <row r="511">
      <c r="B511" s="229"/>
      <c r="C511" s="229"/>
      <c r="D511" s="229"/>
    </row>
    <row r="512">
      <c r="B512" s="229"/>
      <c r="C512" s="229"/>
      <c r="D512" s="229"/>
    </row>
    <row r="513">
      <c r="B513" s="229"/>
      <c r="C513" s="229"/>
      <c r="D513" s="229"/>
    </row>
    <row r="514">
      <c r="B514" s="229"/>
      <c r="C514" s="229"/>
      <c r="D514" s="229"/>
    </row>
    <row r="515">
      <c r="B515" s="229"/>
      <c r="C515" s="229"/>
      <c r="D515" s="229"/>
    </row>
    <row r="516">
      <c r="B516" s="229"/>
      <c r="C516" s="229"/>
      <c r="D516" s="229"/>
    </row>
    <row r="517">
      <c r="B517" s="229"/>
      <c r="C517" s="229"/>
      <c r="D517" s="229"/>
    </row>
    <row r="518">
      <c r="B518" s="229"/>
      <c r="C518" s="229"/>
      <c r="D518" s="229"/>
    </row>
    <row r="519">
      <c r="B519" s="229"/>
      <c r="C519" s="229"/>
      <c r="D519" s="229"/>
    </row>
    <row r="520">
      <c r="B520" s="229"/>
      <c r="C520" s="229"/>
      <c r="D520" s="229"/>
    </row>
    <row r="521">
      <c r="B521" s="229"/>
      <c r="C521" s="229"/>
      <c r="D521" s="229"/>
    </row>
    <row r="522">
      <c r="B522" s="229"/>
      <c r="C522" s="229"/>
      <c r="D522" s="229"/>
    </row>
    <row r="523">
      <c r="B523" s="229"/>
      <c r="C523" s="229"/>
      <c r="D523" s="229"/>
    </row>
    <row r="524">
      <c r="B524" s="229"/>
      <c r="C524" s="229"/>
      <c r="D524" s="229"/>
    </row>
    <row r="525">
      <c r="B525" s="229"/>
      <c r="C525" s="229"/>
      <c r="D525" s="229"/>
    </row>
    <row r="526">
      <c r="B526" s="229"/>
      <c r="C526" s="229"/>
      <c r="D526" s="229"/>
    </row>
    <row r="527">
      <c r="B527" s="229"/>
      <c r="C527" s="229"/>
      <c r="D527" s="229"/>
    </row>
    <row r="528">
      <c r="B528" s="229"/>
      <c r="C528" s="229"/>
      <c r="D528" s="229"/>
    </row>
    <row r="529">
      <c r="B529" s="229"/>
      <c r="C529" s="229"/>
      <c r="D529" s="229"/>
    </row>
    <row r="530">
      <c r="B530" s="229"/>
      <c r="C530" s="229"/>
      <c r="D530" s="229"/>
    </row>
    <row r="531">
      <c r="B531" s="229"/>
      <c r="C531" s="229"/>
      <c r="D531" s="229"/>
    </row>
    <row r="532">
      <c r="B532" s="229"/>
      <c r="C532" s="229"/>
      <c r="D532" s="229"/>
    </row>
    <row r="533">
      <c r="B533" s="229"/>
      <c r="C533" s="229"/>
      <c r="D533" s="229"/>
    </row>
    <row r="534">
      <c r="B534" s="229"/>
      <c r="C534" s="229"/>
      <c r="D534" s="229"/>
    </row>
    <row r="535">
      <c r="B535" s="229"/>
      <c r="C535" s="229"/>
      <c r="D535" s="229"/>
    </row>
    <row r="536">
      <c r="B536" s="229"/>
      <c r="C536" s="229"/>
      <c r="D536" s="229"/>
    </row>
    <row r="537">
      <c r="B537" s="229"/>
      <c r="C537" s="229"/>
      <c r="D537" s="229"/>
    </row>
    <row r="538">
      <c r="B538" s="229"/>
      <c r="C538" s="229"/>
      <c r="D538" s="229"/>
    </row>
    <row r="539">
      <c r="B539" s="229"/>
      <c r="C539" s="229"/>
      <c r="D539" s="229"/>
    </row>
    <row r="540">
      <c r="B540" s="229"/>
      <c r="C540" s="229"/>
      <c r="D540" s="229"/>
    </row>
    <row r="541">
      <c r="B541" s="229"/>
      <c r="C541" s="229"/>
      <c r="D541" s="229"/>
    </row>
    <row r="542">
      <c r="B542" s="229"/>
      <c r="C542" s="229"/>
      <c r="D542" s="229"/>
    </row>
    <row r="543">
      <c r="B543" s="229"/>
      <c r="C543" s="229"/>
      <c r="D543" s="229"/>
    </row>
    <row r="544">
      <c r="B544" s="229"/>
      <c r="C544" s="229"/>
      <c r="D544" s="229"/>
    </row>
    <row r="545">
      <c r="B545" s="229"/>
      <c r="C545" s="229"/>
      <c r="D545" s="229"/>
    </row>
    <row r="546">
      <c r="B546" s="229"/>
      <c r="C546" s="229"/>
      <c r="D546" s="229"/>
    </row>
    <row r="547">
      <c r="B547" s="229"/>
      <c r="C547" s="229"/>
      <c r="D547" s="229"/>
    </row>
    <row r="548">
      <c r="B548" s="229"/>
      <c r="C548" s="229"/>
      <c r="D548" s="229"/>
    </row>
    <row r="549">
      <c r="B549" s="229"/>
      <c r="C549" s="229"/>
      <c r="D549" s="229"/>
    </row>
    <row r="550">
      <c r="B550" s="229"/>
      <c r="C550" s="229"/>
      <c r="D550" s="229"/>
    </row>
    <row r="551">
      <c r="B551" s="229"/>
      <c r="C551" s="229"/>
      <c r="D551" s="229"/>
    </row>
    <row r="552">
      <c r="B552" s="229"/>
      <c r="C552" s="229"/>
      <c r="D552" s="229"/>
    </row>
    <row r="553">
      <c r="B553" s="229"/>
      <c r="C553" s="229"/>
      <c r="D553" s="229"/>
    </row>
    <row r="554">
      <c r="B554" s="229"/>
      <c r="C554" s="229"/>
      <c r="D554" s="229"/>
    </row>
    <row r="555">
      <c r="B555" s="229"/>
      <c r="C555" s="229"/>
      <c r="D555" s="229"/>
    </row>
    <row r="556">
      <c r="B556" s="229"/>
      <c r="C556" s="229"/>
      <c r="D556" s="229"/>
    </row>
    <row r="557">
      <c r="B557" s="229"/>
      <c r="C557" s="229"/>
      <c r="D557" s="229"/>
    </row>
    <row r="558">
      <c r="B558" s="229"/>
      <c r="C558" s="229"/>
      <c r="D558" s="229"/>
    </row>
    <row r="559">
      <c r="B559" s="229"/>
      <c r="C559" s="229"/>
      <c r="D559" s="229"/>
    </row>
    <row r="560">
      <c r="B560" s="229"/>
      <c r="C560" s="229"/>
      <c r="D560" s="229"/>
    </row>
    <row r="561">
      <c r="B561" s="229"/>
      <c r="C561" s="229"/>
      <c r="D561" s="229"/>
    </row>
    <row r="562">
      <c r="B562" s="229"/>
      <c r="C562" s="229"/>
      <c r="D562" s="229"/>
    </row>
    <row r="563">
      <c r="B563" s="229"/>
      <c r="C563" s="229"/>
      <c r="D563" s="229"/>
    </row>
    <row r="564">
      <c r="B564" s="229"/>
      <c r="C564" s="229"/>
      <c r="D564" s="229"/>
    </row>
    <row r="565">
      <c r="B565" s="229"/>
      <c r="C565" s="229"/>
      <c r="D565" s="229"/>
    </row>
    <row r="566">
      <c r="B566" s="229"/>
      <c r="C566" s="229"/>
      <c r="D566" s="229"/>
    </row>
    <row r="567">
      <c r="B567" s="229"/>
      <c r="C567" s="229"/>
      <c r="D567" s="229"/>
    </row>
    <row r="568">
      <c r="B568" s="229"/>
      <c r="C568" s="229"/>
      <c r="D568" s="229"/>
    </row>
    <row r="569">
      <c r="B569" s="229"/>
      <c r="C569" s="229"/>
      <c r="D569" s="229"/>
    </row>
    <row r="570">
      <c r="B570" s="229"/>
      <c r="C570" s="229"/>
      <c r="D570" s="229"/>
    </row>
    <row r="571">
      <c r="B571" s="229"/>
      <c r="C571" s="229"/>
      <c r="D571" s="229"/>
    </row>
    <row r="572">
      <c r="B572" s="229"/>
      <c r="C572" s="229"/>
      <c r="D572" s="229"/>
    </row>
    <row r="573">
      <c r="B573" s="229"/>
      <c r="C573" s="229"/>
      <c r="D573" s="229"/>
    </row>
    <row r="574">
      <c r="B574" s="229"/>
      <c r="C574" s="229"/>
      <c r="D574" s="229"/>
    </row>
    <row r="575">
      <c r="B575" s="229"/>
      <c r="C575" s="229"/>
      <c r="D575" s="229"/>
    </row>
    <row r="576">
      <c r="B576" s="229"/>
      <c r="C576" s="229"/>
      <c r="D576" s="229"/>
    </row>
    <row r="577">
      <c r="B577" s="229"/>
      <c r="C577" s="229"/>
      <c r="D577" s="229"/>
    </row>
    <row r="578">
      <c r="B578" s="229"/>
      <c r="C578" s="229"/>
      <c r="D578" s="229"/>
    </row>
    <row r="579">
      <c r="B579" s="229"/>
      <c r="C579" s="229"/>
      <c r="D579" s="229"/>
    </row>
    <row r="580">
      <c r="B580" s="229"/>
      <c r="C580" s="229"/>
      <c r="D580" s="229"/>
    </row>
    <row r="581">
      <c r="B581" s="229"/>
      <c r="C581" s="229"/>
      <c r="D581" s="229"/>
    </row>
    <row r="582">
      <c r="B582" s="229"/>
      <c r="C582" s="229"/>
      <c r="D582" s="229"/>
    </row>
    <row r="583">
      <c r="B583" s="229"/>
      <c r="C583" s="229"/>
      <c r="D583" s="229"/>
    </row>
    <row r="584">
      <c r="B584" s="229"/>
      <c r="C584" s="229"/>
      <c r="D584" s="229"/>
    </row>
    <row r="585">
      <c r="B585" s="229"/>
      <c r="C585" s="229"/>
      <c r="D585" s="229"/>
    </row>
    <row r="586">
      <c r="B586" s="229"/>
      <c r="C586" s="229"/>
      <c r="D586" s="229"/>
    </row>
    <row r="587">
      <c r="B587" s="229"/>
      <c r="C587" s="229"/>
      <c r="D587" s="229"/>
    </row>
    <row r="588">
      <c r="B588" s="229"/>
      <c r="C588" s="229"/>
      <c r="D588" s="229"/>
    </row>
    <row r="589">
      <c r="B589" s="229"/>
      <c r="C589" s="229"/>
      <c r="D589" s="229"/>
    </row>
    <row r="590">
      <c r="B590" s="229"/>
      <c r="C590" s="229"/>
      <c r="D590" s="229"/>
    </row>
    <row r="591">
      <c r="B591" s="229"/>
      <c r="C591" s="229"/>
      <c r="D591" s="229"/>
    </row>
    <row r="592">
      <c r="B592" s="229"/>
      <c r="C592" s="229"/>
      <c r="D592" s="229"/>
    </row>
    <row r="593">
      <c r="B593" s="229"/>
      <c r="C593" s="229"/>
      <c r="D593" s="229"/>
    </row>
    <row r="594">
      <c r="B594" s="229"/>
      <c r="C594" s="229"/>
      <c r="D594" s="229"/>
    </row>
    <row r="595">
      <c r="B595" s="229"/>
      <c r="C595" s="229"/>
      <c r="D595" s="229"/>
    </row>
    <row r="596">
      <c r="B596" s="229"/>
      <c r="C596" s="229"/>
      <c r="D596" s="229"/>
    </row>
    <row r="597">
      <c r="B597" s="229"/>
      <c r="C597" s="229"/>
      <c r="D597" s="229"/>
    </row>
    <row r="598">
      <c r="B598" s="229"/>
      <c r="C598" s="229"/>
      <c r="D598" s="229"/>
    </row>
    <row r="599">
      <c r="B599" s="229"/>
      <c r="C599" s="229"/>
      <c r="D599" s="229"/>
    </row>
    <row r="600">
      <c r="B600" s="229"/>
      <c r="C600" s="229"/>
      <c r="D600" s="229"/>
    </row>
    <row r="601">
      <c r="B601" s="229"/>
      <c r="C601" s="229"/>
      <c r="D601" s="229"/>
    </row>
    <row r="602">
      <c r="B602" s="229"/>
      <c r="C602" s="229"/>
      <c r="D602" s="229"/>
    </row>
    <row r="603">
      <c r="B603" s="229"/>
      <c r="C603" s="229"/>
      <c r="D603" s="229"/>
    </row>
    <row r="604">
      <c r="B604" s="229"/>
      <c r="C604" s="229"/>
      <c r="D604" s="229"/>
    </row>
    <row r="605">
      <c r="B605" s="229"/>
      <c r="C605" s="229"/>
      <c r="D605" s="229"/>
    </row>
    <row r="606">
      <c r="B606" s="229"/>
      <c r="C606" s="229"/>
      <c r="D606" s="229"/>
    </row>
    <row r="607">
      <c r="B607" s="229"/>
      <c r="C607" s="229"/>
      <c r="D607" s="229"/>
    </row>
    <row r="608">
      <c r="B608" s="229"/>
      <c r="C608" s="229"/>
      <c r="D608" s="229"/>
    </row>
    <row r="609">
      <c r="B609" s="229"/>
      <c r="C609" s="229"/>
      <c r="D609" s="229"/>
    </row>
    <row r="610">
      <c r="B610" s="229"/>
      <c r="C610" s="229"/>
      <c r="D610" s="229"/>
    </row>
    <row r="611">
      <c r="B611" s="229"/>
      <c r="C611" s="229"/>
      <c r="D611" s="229"/>
    </row>
    <row r="612">
      <c r="B612" s="229"/>
      <c r="C612" s="229"/>
      <c r="D612" s="229"/>
    </row>
    <row r="613">
      <c r="B613" s="229"/>
      <c r="C613" s="229"/>
      <c r="D613" s="229"/>
    </row>
    <row r="614">
      <c r="B614" s="229"/>
      <c r="C614" s="229"/>
      <c r="D614" s="229"/>
    </row>
    <row r="615">
      <c r="B615" s="229"/>
      <c r="C615" s="229"/>
      <c r="D615" s="229"/>
    </row>
    <row r="616">
      <c r="B616" s="229"/>
      <c r="C616" s="229"/>
      <c r="D616" s="229"/>
    </row>
    <row r="617">
      <c r="B617" s="229"/>
      <c r="C617" s="229"/>
      <c r="D617" s="229"/>
    </row>
    <row r="618">
      <c r="B618" s="229"/>
      <c r="C618" s="229"/>
      <c r="D618" s="229"/>
    </row>
    <row r="619">
      <c r="B619" s="229"/>
      <c r="C619" s="229"/>
      <c r="D619" s="229"/>
    </row>
    <row r="620">
      <c r="B620" s="229"/>
      <c r="C620" s="229"/>
      <c r="D620" s="229"/>
    </row>
    <row r="621">
      <c r="B621" s="229"/>
      <c r="C621" s="229"/>
      <c r="D621" s="229"/>
    </row>
    <row r="622">
      <c r="B622" s="229"/>
      <c r="C622" s="229"/>
      <c r="D622" s="229"/>
    </row>
    <row r="623">
      <c r="B623" s="229"/>
      <c r="C623" s="229"/>
      <c r="D623" s="229"/>
    </row>
    <row r="624">
      <c r="B624" s="229"/>
      <c r="C624" s="229"/>
      <c r="D624" s="229"/>
    </row>
    <row r="625">
      <c r="B625" s="229"/>
      <c r="C625" s="229"/>
      <c r="D625" s="229"/>
    </row>
    <row r="626">
      <c r="B626" s="229"/>
      <c r="C626" s="229"/>
      <c r="D626" s="229"/>
    </row>
    <row r="627">
      <c r="B627" s="229"/>
      <c r="C627" s="229"/>
      <c r="D627" s="229"/>
    </row>
    <row r="628">
      <c r="B628" s="229"/>
      <c r="C628" s="229"/>
      <c r="D628" s="229"/>
    </row>
    <row r="629">
      <c r="B629" s="229"/>
      <c r="C629" s="229"/>
      <c r="D629" s="229"/>
    </row>
    <row r="630">
      <c r="B630" s="229"/>
      <c r="C630" s="229"/>
      <c r="D630" s="229"/>
    </row>
    <row r="631">
      <c r="B631" s="229"/>
      <c r="C631" s="229"/>
      <c r="D631" s="229"/>
    </row>
    <row r="632">
      <c r="B632" s="229"/>
      <c r="C632" s="229"/>
      <c r="D632" s="229"/>
    </row>
    <row r="633">
      <c r="B633" s="229"/>
      <c r="C633" s="229"/>
      <c r="D633" s="229"/>
    </row>
    <row r="634">
      <c r="B634" s="229"/>
      <c r="C634" s="229"/>
      <c r="D634" s="229"/>
    </row>
    <row r="635">
      <c r="B635" s="229"/>
      <c r="C635" s="229"/>
      <c r="D635" s="229"/>
    </row>
    <row r="636">
      <c r="B636" s="229"/>
      <c r="C636" s="229"/>
      <c r="D636" s="229"/>
    </row>
    <row r="637">
      <c r="B637" s="229"/>
      <c r="C637" s="229"/>
      <c r="D637" s="229"/>
    </row>
    <row r="638">
      <c r="B638" s="229"/>
      <c r="C638" s="229"/>
      <c r="D638" s="229"/>
    </row>
    <row r="639">
      <c r="B639" s="229"/>
      <c r="C639" s="229"/>
      <c r="D639" s="229"/>
    </row>
    <row r="640">
      <c r="B640" s="229"/>
      <c r="C640" s="229"/>
      <c r="D640" s="229"/>
    </row>
    <row r="641">
      <c r="B641" s="229"/>
      <c r="C641" s="229"/>
      <c r="D641" s="229"/>
    </row>
    <row r="642">
      <c r="B642" s="229"/>
      <c r="C642" s="229"/>
      <c r="D642" s="229"/>
    </row>
    <row r="643">
      <c r="B643" s="229"/>
      <c r="C643" s="229"/>
      <c r="D643" s="229"/>
    </row>
    <row r="644">
      <c r="B644" s="229"/>
      <c r="C644" s="229"/>
      <c r="D644" s="229"/>
    </row>
    <row r="645">
      <c r="B645" s="229"/>
      <c r="C645" s="229"/>
      <c r="D645" s="229"/>
    </row>
    <row r="646">
      <c r="B646" s="229"/>
      <c r="C646" s="229"/>
      <c r="D646" s="229"/>
    </row>
    <row r="647">
      <c r="B647" s="229"/>
      <c r="C647" s="229"/>
      <c r="D647" s="229"/>
    </row>
    <row r="648">
      <c r="B648" s="229"/>
      <c r="C648" s="229"/>
      <c r="D648" s="229"/>
    </row>
    <row r="649">
      <c r="B649" s="229"/>
      <c r="C649" s="229"/>
      <c r="D649" s="229"/>
    </row>
    <row r="650">
      <c r="B650" s="229"/>
      <c r="C650" s="229"/>
      <c r="D650" s="229"/>
    </row>
    <row r="651">
      <c r="B651" s="229"/>
      <c r="C651" s="229"/>
      <c r="D651" s="229"/>
    </row>
    <row r="652">
      <c r="B652" s="229"/>
      <c r="C652" s="229"/>
      <c r="D652" s="229"/>
    </row>
    <row r="653">
      <c r="B653" s="229"/>
      <c r="C653" s="229"/>
      <c r="D653" s="229"/>
    </row>
    <row r="654">
      <c r="B654" s="229"/>
      <c r="C654" s="229"/>
      <c r="D654" s="229"/>
    </row>
    <row r="655">
      <c r="B655" s="229"/>
      <c r="C655" s="229"/>
      <c r="D655" s="229"/>
    </row>
    <row r="656">
      <c r="B656" s="229"/>
      <c r="C656" s="229"/>
      <c r="D656" s="229"/>
    </row>
    <row r="657">
      <c r="B657" s="229"/>
      <c r="C657" s="229"/>
      <c r="D657" s="229"/>
    </row>
    <row r="658">
      <c r="B658" s="229"/>
      <c r="C658" s="229"/>
      <c r="D658" s="229"/>
    </row>
    <row r="659">
      <c r="B659" s="229"/>
      <c r="C659" s="229"/>
      <c r="D659" s="229"/>
    </row>
    <row r="660">
      <c r="B660" s="229"/>
      <c r="C660" s="229"/>
      <c r="D660" s="229"/>
    </row>
    <row r="661">
      <c r="B661" s="229"/>
      <c r="C661" s="229"/>
      <c r="D661" s="229"/>
    </row>
    <row r="662">
      <c r="B662" s="229"/>
      <c r="C662" s="229"/>
      <c r="D662" s="229"/>
    </row>
    <row r="663">
      <c r="B663" s="229"/>
      <c r="C663" s="229"/>
      <c r="D663" s="229"/>
    </row>
    <row r="664">
      <c r="B664" s="229"/>
      <c r="C664" s="229"/>
      <c r="D664" s="229"/>
    </row>
    <row r="665">
      <c r="B665" s="229"/>
      <c r="C665" s="229"/>
      <c r="D665" s="229"/>
    </row>
    <row r="666">
      <c r="B666" s="229"/>
      <c r="C666" s="229"/>
      <c r="D666" s="229"/>
    </row>
    <row r="667">
      <c r="B667" s="229"/>
      <c r="C667" s="229"/>
      <c r="D667" s="229"/>
    </row>
    <row r="668">
      <c r="B668" s="229"/>
      <c r="C668" s="229"/>
      <c r="D668" s="229"/>
    </row>
    <row r="669">
      <c r="B669" s="229"/>
      <c r="C669" s="229"/>
      <c r="D669" s="229"/>
    </row>
    <row r="670">
      <c r="B670" s="229"/>
      <c r="C670" s="229"/>
      <c r="D670" s="229"/>
    </row>
    <row r="671">
      <c r="B671" s="229"/>
      <c r="C671" s="229"/>
      <c r="D671" s="229"/>
    </row>
    <row r="672">
      <c r="B672" s="229"/>
      <c r="C672" s="229"/>
      <c r="D672" s="229"/>
    </row>
    <row r="673">
      <c r="B673" s="229"/>
      <c r="C673" s="229"/>
      <c r="D673" s="229"/>
    </row>
    <row r="674">
      <c r="B674" s="229"/>
      <c r="C674" s="229"/>
      <c r="D674" s="229"/>
    </row>
    <row r="675">
      <c r="B675" s="229"/>
      <c r="C675" s="229"/>
      <c r="D675" s="229"/>
    </row>
    <row r="676">
      <c r="B676" s="229"/>
      <c r="C676" s="229"/>
      <c r="D676" s="229"/>
    </row>
    <row r="677">
      <c r="B677" s="229"/>
      <c r="C677" s="229"/>
      <c r="D677" s="229"/>
    </row>
    <row r="678">
      <c r="B678" s="229"/>
      <c r="C678" s="229"/>
      <c r="D678" s="229"/>
    </row>
    <row r="679">
      <c r="B679" s="229"/>
      <c r="C679" s="229"/>
      <c r="D679" s="229"/>
    </row>
    <row r="680">
      <c r="B680" s="229"/>
      <c r="C680" s="229"/>
      <c r="D680" s="229"/>
    </row>
    <row r="681">
      <c r="B681" s="229"/>
      <c r="C681" s="229"/>
      <c r="D681" s="229"/>
    </row>
    <row r="682">
      <c r="B682" s="229"/>
      <c r="C682" s="229"/>
      <c r="D682" s="229"/>
    </row>
    <row r="683">
      <c r="B683" s="229"/>
      <c r="C683" s="229"/>
      <c r="D683" s="229"/>
    </row>
    <row r="684">
      <c r="B684" s="229"/>
      <c r="C684" s="229"/>
      <c r="D684" s="229"/>
    </row>
    <row r="685">
      <c r="B685" s="229"/>
      <c r="C685" s="229"/>
      <c r="D685" s="229"/>
    </row>
    <row r="686">
      <c r="B686" s="229"/>
      <c r="C686" s="229"/>
      <c r="D686" s="229"/>
    </row>
    <row r="687">
      <c r="B687" s="229"/>
      <c r="C687" s="229"/>
      <c r="D687" s="229"/>
    </row>
    <row r="688">
      <c r="B688" s="229"/>
      <c r="C688" s="229"/>
      <c r="D688" s="229"/>
    </row>
    <row r="689">
      <c r="B689" s="229"/>
      <c r="C689" s="229"/>
      <c r="D689" s="229"/>
    </row>
    <row r="690">
      <c r="B690" s="229"/>
      <c r="C690" s="229"/>
      <c r="D690" s="229"/>
    </row>
    <row r="691">
      <c r="B691" s="229"/>
      <c r="C691" s="229"/>
      <c r="D691" s="229"/>
    </row>
    <row r="692">
      <c r="B692" s="229"/>
      <c r="C692" s="229"/>
      <c r="D692" s="229"/>
    </row>
    <row r="693">
      <c r="B693" s="229"/>
      <c r="C693" s="229"/>
      <c r="D693" s="229"/>
    </row>
    <row r="694">
      <c r="B694" s="229"/>
      <c r="C694" s="229"/>
      <c r="D694" s="229"/>
    </row>
    <row r="695">
      <c r="B695" s="229"/>
      <c r="C695" s="229"/>
      <c r="D695" s="229"/>
    </row>
    <row r="696">
      <c r="B696" s="229"/>
      <c r="C696" s="229"/>
      <c r="D696" s="229"/>
    </row>
    <row r="697">
      <c r="B697" s="229"/>
      <c r="C697" s="229"/>
      <c r="D697" s="229"/>
    </row>
    <row r="698">
      <c r="B698" s="229"/>
      <c r="C698" s="229"/>
      <c r="D698" s="229"/>
    </row>
    <row r="699">
      <c r="B699" s="229"/>
      <c r="C699" s="229"/>
      <c r="D699" s="229"/>
    </row>
    <row r="700">
      <c r="B700" s="229"/>
      <c r="C700" s="229"/>
      <c r="D700" s="229"/>
    </row>
    <row r="701">
      <c r="B701" s="229"/>
      <c r="C701" s="229"/>
      <c r="D701" s="229"/>
    </row>
    <row r="702">
      <c r="B702" s="229"/>
      <c r="C702" s="229"/>
      <c r="D702" s="229"/>
    </row>
    <row r="703">
      <c r="B703" s="229"/>
      <c r="C703" s="229"/>
      <c r="D703" s="229"/>
    </row>
    <row r="704">
      <c r="B704" s="229"/>
      <c r="C704" s="229"/>
      <c r="D704" s="229"/>
    </row>
    <row r="705">
      <c r="B705" s="229"/>
      <c r="C705" s="229"/>
      <c r="D705" s="229"/>
    </row>
    <row r="706">
      <c r="B706" s="229"/>
      <c r="C706" s="229"/>
      <c r="D706" s="229"/>
    </row>
    <row r="707">
      <c r="B707" s="229"/>
      <c r="C707" s="229"/>
      <c r="D707" s="229"/>
    </row>
    <row r="708">
      <c r="B708" s="229"/>
      <c r="C708" s="229"/>
      <c r="D708" s="229"/>
    </row>
    <row r="709">
      <c r="B709" s="229"/>
      <c r="C709" s="229"/>
      <c r="D709" s="229"/>
    </row>
    <row r="710">
      <c r="B710" s="229"/>
      <c r="C710" s="229"/>
      <c r="D710" s="229"/>
    </row>
    <row r="711">
      <c r="B711" s="229"/>
      <c r="C711" s="229"/>
      <c r="D711" s="229"/>
    </row>
    <row r="712">
      <c r="B712" s="229"/>
      <c r="C712" s="229"/>
      <c r="D712" s="229"/>
    </row>
    <row r="713">
      <c r="B713" s="229"/>
      <c r="C713" s="229"/>
      <c r="D713" s="229"/>
    </row>
    <row r="714">
      <c r="B714" s="229"/>
      <c r="C714" s="229"/>
      <c r="D714" s="229"/>
    </row>
    <row r="715">
      <c r="B715" s="229"/>
      <c r="C715" s="229"/>
      <c r="D715" s="229"/>
    </row>
    <row r="716">
      <c r="B716" s="229"/>
      <c r="C716" s="229"/>
      <c r="D716" s="229"/>
    </row>
    <row r="717">
      <c r="B717" s="229"/>
      <c r="C717" s="229"/>
      <c r="D717" s="229"/>
    </row>
    <row r="718">
      <c r="B718" s="229"/>
      <c r="C718" s="229"/>
      <c r="D718" s="229"/>
    </row>
    <row r="719">
      <c r="B719" s="229"/>
      <c r="C719" s="229"/>
      <c r="D719" s="229"/>
    </row>
    <row r="720">
      <c r="B720" s="229"/>
      <c r="C720" s="229"/>
      <c r="D720" s="229"/>
    </row>
    <row r="721">
      <c r="B721" s="229"/>
      <c r="C721" s="229"/>
      <c r="D721" s="229"/>
    </row>
    <row r="722">
      <c r="B722" s="229"/>
      <c r="C722" s="229"/>
      <c r="D722" s="229"/>
    </row>
    <row r="723">
      <c r="B723" s="229"/>
      <c r="C723" s="229"/>
      <c r="D723" s="229"/>
    </row>
    <row r="724">
      <c r="B724" s="229"/>
      <c r="C724" s="229"/>
      <c r="D724" s="229"/>
    </row>
    <row r="725">
      <c r="B725" s="229"/>
      <c r="C725" s="229"/>
      <c r="D725" s="229"/>
    </row>
    <row r="726">
      <c r="B726" s="229"/>
      <c r="C726" s="229"/>
      <c r="D726" s="229"/>
    </row>
    <row r="727">
      <c r="B727" s="229"/>
      <c r="C727" s="229"/>
      <c r="D727" s="229"/>
    </row>
    <row r="728">
      <c r="B728" s="229"/>
      <c r="C728" s="229"/>
      <c r="D728" s="229"/>
    </row>
    <row r="729">
      <c r="B729" s="229"/>
      <c r="C729" s="229"/>
      <c r="D729" s="229"/>
    </row>
    <row r="730">
      <c r="B730" s="229"/>
      <c r="C730" s="229"/>
      <c r="D730" s="229"/>
    </row>
    <row r="731">
      <c r="B731" s="229"/>
      <c r="C731" s="229"/>
      <c r="D731" s="229"/>
    </row>
    <row r="732">
      <c r="B732" s="229"/>
      <c r="C732" s="229"/>
      <c r="D732" s="229"/>
    </row>
    <row r="733">
      <c r="B733" s="229"/>
      <c r="C733" s="229"/>
      <c r="D733" s="229"/>
    </row>
    <row r="734">
      <c r="B734" s="229"/>
      <c r="C734" s="229"/>
      <c r="D734" s="229"/>
    </row>
    <row r="735">
      <c r="B735" s="229"/>
      <c r="C735" s="229"/>
      <c r="D735" s="229"/>
    </row>
    <row r="736">
      <c r="B736" s="229"/>
      <c r="C736" s="229"/>
      <c r="D736" s="229"/>
    </row>
    <row r="737">
      <c r="B737" s="229"/>
      <c r="C737" s="229"/>
      <c r="D737" s="229"/>
    </row>
    <row r="738">
      <c r="B738" s="229"/>
      <c r="C738" s="229"/>
      <c r="D738" s="229"/>
    </row>
    <row r="739">
      <c r="B739" s="229"/>
      <c r="C739" s="229"/>
      <c r="D739" s="229"/>
    </row>
    <row r="740">
      <c r="B740" s="229"/>
      <c r="C740" s="229"/>
      <c r="D740" s="229"/>
    </row>
    <row r="741">
      <c r="B741" s="229"/>
      <c r="C741" s="229"/>
      <c r="D741" s="229"/>
    </row>
    <row r="742">
      <c r="B742" s="229"/>
      <c r="C742" s="229"/>
      <c r="D742" s="229"/>
    </row>
    <row r="743">
      <c r="B743" s="229"/>
      <c r="C743" s="229"/>
      <c r="D743" s="229"/>
    </row>
    <row r="744">
      <c r="B744" s="229"/>
      <c r="C744" s="229"/>
      <c r="D744" s="229"/>
    </row>
    <row r="745">
      <c r="B745" s="229"/>
      <c r="C745" s="229"/>
      <c r="D745" s="229"/>
    </row>
    <row r="746">
      <c r="B746" s="229"/>
      <c r="C746" s="229"/>
      <c r="D746" s="229"/>
    </row>
    <row r="747">
      <c r="B747" s="229"/>
      <c r="C747" s="229"/>
      <c r="D747" s="229"/>
    </row>
    <row r="748">
      <c r="B748" s="229"/>
      <c r="C748" s="229"/>
      <c r="D748" s="229"/>
    </row>
    <row r="749">
      <c r="B749" s="229"/>
      <c r="C749" s="229"/>
      <c r="D749" s="229"/>
    </row>
    <row r="750">
      <c r="B750" s="229"/>
      <c r="C750" s="229"/>
      <c r="D750" s="229"/>
    </row>
    <row r="751">
      <c r="B751" s="229"/>
      <c r="C751" s="229"/>
      <c r="D751" s="229"/>
    </row>
    <row r="752">
      <c r="B752" s="229"/>
      <c r="C752" s="229"/>
      <c r="D752" s="229"/>
    </row>
    <row r="753">
      <c r="B753" s="229"/>
      <c r="C753" s="229"/>
      <c r="D753" s="229"/>
    </row>
    <row r="754">
      <c r="B754" s="229"/>
      <c r="C754" s="229"/>
      <c r="D754" s="229"/>
    </row>
    <row r="755">
      <c r="B755" s="229"/>
      <c r="C755" s="229"/>
      <c r="D755" s="229"/>
    </row>
    <row r="756">
      <c r="B756" s="229"/>
      <c r="C756" s="229"/>
      <c r="D756" s="229"/>
    </row>
    <row r="757">
      <c r="B757" s="229"/>
      <c r="C757" s="229"/>
      <c r="D757" s="229"/>
    </row>
    <row r="758">
      <c r="B758" s="229"/>
      <c r="C758" s="229"/>
      <c r="D758" s="229"/>
    </row>
    <row r="759">
      <c r="B759" s="229"/>
      <c r="C759" s="229"/>
      <c r="D759" s="229"/>
    </row>
    <row r="760">
      <c r="B760" s="229"/>
      <c r="C760" s="229"/>
      <c r="D760" s="229"/>
    </row>
    <row r="761">
      <c r="B761" s="229"/>
      <c r="C761" s="229"/>
      <c r="D761" s="229"/>
    </row>
    <row r="762">
      <c r="B762" s="229"/>
      <c r="C762" s="229"/>
      <c r="D762" s="229"/>
    </row>
    <row r="763">
      <c r="B763" s="229"/>
      <c r="C763" s="229"/>
      <c r="D763" s="229"/>
    </row>
    <row r="764">
      <c r="B764" s="229"/>
      <c r="C764" s="229"/>
      <c r="D764" s="229"/>
    </row>
    <row r="765">
      <c r="B765" s="229"/>
      <c r="C765" s="229"/>
      <c r="D765" s="229"/>
    </row>
    <row r="766">
      <c r="B766" s="229"/>
      <c r="C766" s="229"/>
      <c r="D766" s="229"/>
    </row>
    <row r="767">
      <c r="B767" s="229"/>
      <c r="C767" s="229"/>
      <c r="D767" s="229"/>
    </row>
    <row r="768">
      <c r="B768" s="229"/>
      <c r="C768" s="229"/>
      <c r="D768" s="229"/>
    </row>
    <row r="769">
      <c r="B769" s="229"/>
      <c r="C769" s="229"/>
      <c r="D769" s="229"/>
    </row>
    <row r="770">
      <c r="B770" s="229"/>
      <c r="C770" s="229"/>
      <c r="D770" s="229"/>
    </row>
    <row r="771">
      <c r="B771" s="229"/>
      <c r="C771" s="229"/>
      <c r="D771" s="229"/>
    </row>
    <row r="772">
      <c r="B772" s="229"/>
      <c r="C772" s="229"/>
      <c r="D772" s="229"/>
    </row>
    <row r="773">
      <c r="B773" s="229"/>
      <c r="C773" s="229"/>
      <c r="D773" s="229"/>
    </row>
    <row r="774">
      <c r="B774" s="229"/>
      <c r="C774" s="229"/>
      <c r="D774" s="229"/>
    </row>
    <row r="775">
      <c r="B775" s="229"/>
      <c r="C775" s="229"/>
      <c r="D775" s="229"/>
    </row>
    <row r="776">
      <c r="B776" s="229"/>
      <c r="C776" s="229"/>
      <c r="D776" s="229"/>
    </row>
    <row r="777">
      <c r="B777" s="229"/>
      <c r="C777" s="229"/>
      <c r="D777" s="229"/>
    </row>
    <row r="778">
      <c r="B778" s="229"/>
      <c r="C778" s="229"/>
      <c r="D778" s="229"/>
    </row>
    <row r="779">
      <c r="B779" s="229"/>
      <c r="C779" s="229"/>
      <c r="D779" s="229"/>
    </row>
    <row r="780">
      <c r="B780" s="229"/>
      <c r="C780" s="229"/>
      <c r="D780" s="229"/>
    </row>
    <row r="781">
      <c r="B781" s="229"/>
      <c r="C781" s="229"/>
      <c r="D781" s="229"/>
    </row>
    <row r="782">
      <c r="B782" s="229"/>
      <c r="C782" s="229"/>
      <c r="D782" s="229"/>
    </row>
    <row r="783">
      <c r="B783" s="229"/>
      <c r="C783" s="229"/>
      <c r="D783" s="229"/>
    </row>
    <row r="784">
      <c r="B784" s="229"/>
      <c r="C784" s="229"/>
      <c r="D784" s="229"/>
    </row>
    <row r="785">
      <c r="B785" s="229"/>
      <c r="C785" s="229"/>
      <c r="D785" s="229"/>
    </row>
    <row r="786">
      <c r="B786" s="229"/>
      <c r="C786" s="229"/>
      <c r="D786" s="229"/>
    </row>
    <row r="787">
      <c r="B787" s="229"/>
      <c r="C787" s="229"/>
      <c r="D787" s="229"/>
    </row>
    <row r="788">
      <c r="B788" s="229"/>
      <c r="C788" s="229"/>
      <c r="D788" s="229"/>
    </row>
    <row r="789">
      <c r="B789" s="229"/>
      <c r="C789" s="229"/>
      <c r="D789" s="229"/>
    </row>
    <row r="790">
      <c r="B790" s="229"/>
      <c r="C790" s="229"/>
      <c r="D790" s="229"/>
    </row>
    <row r="791">
      <c r="B791" s="229"/>
      <c r="C791" s="229"/>
      <c r="D791" s="229"/>
    </row>
    <row r="792">
      <c r="B792" s="229"/>
      <c r="C792" s="229"/>
      <c r="D792" s="229"/>
    </row>
    <row r="793">
      <c r="B793" s="229"/>
      <c r="C793" s="229"/>
      <c r="D793" s="229"/>
    </row>
    <row r="794">
      <c r="B794" s="229"/>
      <c r="C794" s="229"/>
      <c r="D794" s="229"/>
    </row>
    <row r="795">
      <c r="B795" s="229"/>
      <c r="C795" s="229"/>
      <c r="D795" s="229"/>
    </row>
    <row r="796">
      <c r="B796" s="229"/>
      <c r="C796" s="229"/>
      <c r="D796" s="229"/>
    </row>
    <row r="797">
      <c r="B797" s="229"/>
      <c r="C797" s="229"/>
      <c r="D797" s="229"/>
    </row>
    <row r="798">
      <c r="B798" s="229"/>
      <c r="C798" s="229"/>
      <c r="D798" s="229"/>
    </row>
    <row r="799">
      <c r="B799" s="229"/>
      <c r="C799" s="229"/>
      <c r="D799" s="229"/>
    </row>
    <row r="800">
      <c r="B800" s="229"/>
      <c r="C800" s="229"/>
      <c r="D800" s="229"/>
    </row>
    <row r="801">
      <c r="B801" s="229"/>
      <c r="C801" s="229"/>
      <c r="D801" s="229"/>
    </row>
    <row r="802">
      <c r="B802" s="229"/>
      <c r="C802" s="229"/>
      <c r="D802" s="229"/>
    </row>
    <row r="803">
      <c r="B803" s="229"/>
      <c r="C803" s="229"/>
      <c r="D803" s="229"/>
    </row>
    <row r="804">
      <c r="B804" s="229"/>
      <c r="C804" s="229"/>
      <c r="D804" s="229"/>
    </row>
    <row r="805">
      <c r="B805" s="229"/>
      <c r="C805" s="229"/>
      <c r="D805" s="229"/>
    </row>
    <row r="806">
      <c r="B806" s="229"/>
      <c r="C806" s="229"/>
      <c r="D806" s="229"/>
    </row>
    <row r="807">
      <c r="B807" s="229"/>
      <c r="C807" s="229"/>
      <c r="D807" s="229"/>
    </row>
    <row r="808">
      <c r="B808" s="229"/>
      <c r="C808" s="229"/>
      <c r="D808" s="229"/>
    </row>
    <row r="809">
      <c r="B809" s="229"/>
      <c r="C809" s="229"/>
      <c r="D809" s="229"/>
    </row>
    <row r="810">
      <c r="B810" s="229"/>
      <c r="C810" s="229"/>
      <c r="D810" s="229"/>
    </row>
    <row r="811">
      <c r="B811" s="229"/>
      <c r="C811" s="229"/>
      <c r="D811" s="229"/>
    </row>
    <row r="812">
      <c r="B812" s="229"/>
      <c r="C812" s="229"/>
      <c r="D812" s="229"/>
    </row>
    <row r="813">
      <c r="B813" s="229"/>
      <c r="C813" s="229"/>
      <c r="D813" s="229"/>
    </row>
    <row r="814">
      <c r="B814" s="229"/>
      <c r="C814" s="229"/>
      <c r="D814" s="229"/>
    </row>
    <row r="815">
      <c r="B815" s="229"/>
      <c r="C815" s="229"/>
      <c r="D815" s="229"/>
    </row>
    <row r="816">
      <c r="B816" s="229"/>
      <c r="C816" s="229"/>
      <c r="D816" s="229"/>
    </row>
    <row r="817">
      <c r="B817" s="229"/>
      <c r="C817" s="229"/>
      <c r="D817" s="229"/>
    </row>
    <row r="818">
      <c r="B818" s="229"/>
      <c r="C818" s="229"/>
      <c r="D818" s="229"/>
    </row>
    <row r="819">
      <c r="B819" s="229"/>
      <c r="C819" s="229"/>
      <c r="D819" s="229"/>
    </row>
    <row r="820">
      <c r="B820" s="229"/>
      <c r="C820" s="229"/>
      <c r="D820" s="229"/>
    </row>
    <row r="821">
      <c r="B821" s="229"/>
      <c r="C821" s="229"/>
      <c r="D821" s="229"/>
    </row>
    <row r="822">
      <c r="B822" s="229"/>
      <c r="C822" s="229"/>
      <c r="D822" s="229"/>
    </row>
    <row r="823">
      <c r="B823" s="229"/>
      <c r="C823" s="229"/>
      <c r="D823" s="229"/>
    </row>
    <row r="824">
      <c r="B824" s="229"/>
      <c r="C824" s="229"/>
      <c r="D824" s="229"/>
    </row>
    <row r="825">
      <c r="B825" s="229"/>
      <c r="C825" s="229"/>
      <c r="D825" s="229"/>
    </row>
    <row r="826">
      <c r="B826" s="229"/>
      <c r="C826" s="229"/>
      <c r="D826" s="229"/>
    </row>
    <row r="827">
      <c r="B827" s="229"/>
      <c r="C827" s="229"/>
      <c r="D827" s="229"/>
    </row>
    <row r="828">
      <c r="B828" s="229"/>
      <c r="C828" s="229"/>
      <c r="D828" s="229"/>
    </row>
    <row r="829">
      <c r="B829" s="229"/>
      <c r="C829" s="229"/>
      <c r="D829" s="229"/>
    </row>
    <row r="830">
      <c r="B830" s="229"/>
      <c r="C830" s="229"/>
      <c r="D830" s="229"/>
    </row>
    <row r="831">
      <c r="B831" s="229"/>
      <c r="C831" s="229"/>
      <c r="D831" s="229"/>
    </row>
    <row r="832">
      <c r="B832" s="229"/>
      <c r="C832" s="229"/>
      <c r="D832" s="229"/>
    </row>
    <row r="833">
      <c r="B833" s="229"/>
      <c r="C833" s="229"/>
      <c r="D833" s="229"/>
    </row>
    <row r="834">
      <c r="B834" s="229"/>
      <c r="C834" s="229"/>
      <c r="D834" s="229"/>
    </row>
    <row r="835">
      <c r="B835" s="229"/>
      <c r="C835" s="229"/>
      <c r="D835" s="229"/>
    </row>
    <row r="836">
      <c r="B836" s="229"/>
      <c r="C836" s="229"/>
      <c r="D836" s="229"/>
    </row>
    <row r="837">
      <c r="B837" s="229"/>
      <c r="C837" s="229"/>
      <c r="D837" s="229"/>
    </row>
    <row r="838">
      <c r="B838" s="229"/>
      <c r="C838" s="229"/>
      <c r="D838" s="229"/>
    </row>
    <row r="839">
      <c r="B839" s="229"/>
      <c r="C839" s="229"/>
      <c r="D839" s="229"/>
    </row>
    <row r="840">
      <c r="B840" s="229"/>
      <c r="C840" s="229"/>
      <c r="D840" s="229"/>
    </row>
    <row r="841">
      <c r="B841" s="229"/>
      <c r="C841" s="229"/>
      <c r="D841" s="229"/>
    </row>
    <row r="842">
      <c r="B842" s="229"/>
      <c r="C842" s="229"/>
      <c r="D842" s="229"/>
    </row>
    <row r="843">
      <c r="B843" s="229"/>
      <c r="C843" s="229"/>
      <c r="D843" s="229"/>
    </row>
    <row r="844">
      <c r="B844" s="229"/>
      <c r="C844" s="229"/>
      <c r="D844" s="229"/>
    </row>
    <row r="845">
      <c r="B845" s="229"/>
      <c r="C845" s="229"/>
      <c r="D845" s="229"/>
    </row>
    <row r="846">
      <c r="B846" s="229"/>
      <c r="C846" s="229"/>
      <c r="D846" s="229"/>
    </row>
    <row r="847">
      <c r="B847" s="229"/>
      <c r="C847" s="229"/>
      <c r="D847" s="229"/>
    </row>
    <row r="848">
      <c r="B848" s="229"/>
      <c r="C848" s="229"/>
      <c r="D848" s="229"/>
    </row>
    <row r="849">
      <c r="B849" s="229"/>
      <c r="C849" s="229"/>
      <c r="D849" s="229"/>
    </row>
    <row r="850">
      <c r="B850" s="229"/>
      <c r="C850" s="229"/>
      <c r="D850" s="229"/>
    </row>
    <row r="851">
      <c r="B851" s="229"/>
      <c r="C851" s="229"/>
      <c r="D851" s="229"/>
    </row>
    <row r="852">
      <c r="B852" s="229"/>
      <c r="C852" s="229"/>
      <c r="D852" s="229"/>
    </row>
    <row r="853">
      <c r="B853" s="229"/>
      <c r="C853" s="229"/>
      <c r="D853" s="229"/>
    </row>
    <row r="854">
      <c r="B854" s="229"/>
      <c r="C854" s="229"/>
      <c r="D854" s="229"/>
    </row>
    <row r="855">
      <c r="B855" s="229"/>
      <c r="C855" s="229"/>
      <c r="D855" s="229"/>
    </row>
    <row r="856">
      <c r="B856" s="229"/>
      <c r="C856" s="229"/>
      <c r="D856" s="229"/>
    </row>
    <row r="857">
      <c r="B857" s="229"/>
      <c r="C857" s="229"/>
      <c r="D857" s="229"/>
    </row>
    <row r="858">
      <c r="B858" s="229"/>
      <c r="C858" s="229"/>
      <c r="D858" s="229"/>
    </row>
    <row r="859">
      <c r="B859" s="229"/>
      <c r="C859" s="229"/>
      <c r="D859" s="229"/>
    </row>
    <row r="860">
      <c r="B860" s="229"/>
      <c r="C860" s="229"/>
      <c r="D860" s="229"/>
    </row>
    <row r="861">
      <c r="B861" s="229"/>
      <c r="C861" s="229"/>
      <c r="D861" s="229"/>
    </row>
    <row r="862">
      <c r="B862" s="229"/>
      <c r="C862" s="229"/>
      <c r="D862" s="229"/>
    </row>
    <row r="863">
      <c r="B863" s="229"/>
      <c r="C863" s="229"/>
      <c r="D863" s="229"/>
    </row>
    <row r="864">
      <c r="B864" s="229"/>
      <c r="C864" s="229"/>
      <c r="D864" s="229"/>
    </row>
    <row r="865">
      <c r="B865" s="229"/>
      <c r="C865" s="229"/>
      <c r="D865" s="229"/>
    </row>
    <row r="866">
      <c r="B866" s="229"/>
      <c r="C866" s="229"/>
      <c r="D866" s="229"/>
    </row>
    <row r="867">
      <c r="B867" s="229"/>
      <c r="C867" s="229"/>
      <c r="D867" s="229"/>
    </row>
    <row r="868">
      <c r="B868" s="229"/>
      <c r="C868" s="229"/>
      <c r="D868" s="229"/>
    </row>
    <row r="869">
      <c r="B869" s="229"/>
      <c r="C869" s="229"/>
      <c r="D869" s="229"/>
    </row>
    <row r="870">
      <c r="B870" s="229"/>
      <c r="C870" s="229"/>
      <c r="D870" s="229"/>
    </row>
    <row r="871">
      <c r="B871" s="229"/>
      <c r="C871" s="229"/>
      <c r="D871" s="229"/>
    </row>
    <row r="872">
      <c r="B872" s="229"/>
      <c r="C872" s="229"/>
      <c r="D872" s="229"/>
    </row>
    <row r="873">
      <c r="B873" s="229"/>
      <c r="C873" s="229"/>
      <c r="D873" s="229"/>
    </row>
    <row r="874">
      <c r="B874" s="229"/>
      <c r="C874" s="229"/>
      <c r="D874" s="229"/>
    </row>
    <row r="875">
      <c r="B875" s="229"/>
      <c r="C875" s="229"/>
      <c r="D875" s="229"/>
    </row>
    <row r="876">
      <c r="B876" s="229"/>
      <c r="C876" s="229"/>
      <c r="D876" s="229"/>
    </row>
    <row r="877">
      <c r="B877" s="229"/>
      <c r="C877" s="229"/>
      <c r="D877" s="229"/>
    </row>
    <row r="878">
      <c r="B878" s="229"/>
      <c r="C878" s="229"/>
      <c r="D878" s="229"/>
    </row>
    <row r="879">
      <c r="B879" s="229"/>
      <c r="C879" s="229"/>
      <c r="D879" s="229"/>
    </row>
    <row r="880">
      <c r="B880" s="229"/>
      <c r="C880" s="229"/>
      <c r="D880" s="229"/>
    </row>
    <row r="881">
      <c r="B881" s="229"/>
      <c r="C881" s="229"/>
      <c r="D881" s="229"/>
    </row>
    <row r="882">
      <c r="B882" s="229"/>
      <c r="C882" s="229"/>
      <c r="D882" s="229"/>
    </row>
    <row r="883">
      <c r="B883" s="229"/>
      <c r="C883" s="229"/>
      <c r="D883" s="229"/>
    </row>
    <row r="884">
      <c r="B884" s="229"/>
      <c r="C884" s="229"/>
      <c r="D884" s="229"/>
    </row>
    <row r="885">
      <c r="B885" s="229"/>
      <c r="C885" s="229"/>
      <c r="D885" s="229"/>
    </row>
    <row r="886">
      <c r="B886" s="229"/>
      <c r="C886" s="229"/>
      <c r="D886" s="229"/>
    </row>
    <row r="887">
      <c r="B887" s="229"/>
      <c r="C887" s="229"/>
      <c r="D887" s="229"/>
    </row>
    <row r="888">
      <c r="B888" s="229"/>
      <c r="C888" s="229"/>
      <c r="D888" s="229"/>
    </row>
    <row r="889">
      <c r="B889" s="229"/>
      <c r="C889" s="229"/>
      <c r="D889" s="229"/>
    </row>
    <row r="890">
      <c r="B890" s="229"/>
      <c r="C890" s="229"/>
      <c r="D890" s="229"/>
    </row>
    <row r="891">
      <c r="B891" s="229"/>
      <c r="C891" s="229"/>
      <c r="D891" s="229"/>
    </row>
    <row r="892">
      <c r="B892" s="229"/>
      <c r="C892" s="229"/>
      <c r="D892" s="229"/>
    </row>
    <row r="893">
      <c r="B893" s="229"/>
      <c r="C893" s="229"/>
      <c r="D893" s="229"/>
    </row>
    <row r="894">
      <c r="B894" s="229"/>
      <c r="C894" s="229"/>
      <c r="D894" s="229"/>
    </row>
    <row r="895">
      <c r="B895" s="229"/>
      <c r="C895" s="229"/>
      <c r="D895" s="229"/>
    </row>
    <row r="896">
      <c r="B896" s="229"/>
      <c r="C896" s="229"/>
      <c r="D896" s="229"/>
    </row>
    <row r="897">
      <c r="B897" s="229"/>
      <c r="C897" s="229"/>
      <c r="D897" s="229"/>
    </row>
    <row r="898">
      <c r="B898" s="229"/>
      <c r="C898" s="229"/>
      <c r="D898" s="229"/>
    </row>
    <row r="899">
      <c r="B899" s="229"/>
      <c r="C899" s="229"/>
      <c r="D899" s="229"/>
    </row>
    <row r="900">
      <c r="B900" s="229"/>
      <c r="C900" s="229"/>
      <c r="D900" s="229"/>
    </row>
    <row r="901">
      <c r="B901" s="229"/>
      <c r="C901" s="229"/>
      <c r="D901" s="229"/>
    </row>
    <row r="902">
      <c r="B902" s="229"/>
      <c r="C902" s="229"/>
      <c r="D902" s="229"/>
    </row>
    <row r="903">
      <c r="B903" s="229"/>
      <c r="C903" s="229"/>
      <c r="D903" s="229"/>
    </row>
    <row r="904">
      <c r="B904" s="229"/>
      <c r="C904" s="229"/>
      <c r="D904" s="229"/>
    </row>
    <row r="905">
      <c r="B905" s="229"/>
      <c r="C905" s="229"/>
      <c r="D905" s="229"/>
    </row>
    <row r="906">
      <c r="B906" s="229"/>
      <c r="C906" s="229"/>
      <c r="D906" s="229"/>
    </row>
    <row r="907">
      <c r="B907" s="229"/>
      <c r="C907" s="229"/>
      <c r="D907" s="229"/>
    </row>
    <row r="908">
      <c r="B908" s="229"/>
      <c r="C908" s="229"/>
      <c r="D908" s="229"/>
    </row>
    <row r="909">
      <c r="B909" s="229"/>
      <c r="C909" s="229"/>
      <c r="D909" s="229"/>
    </row>
    <row r="910">
      <c r="B910" s="229"/>
      <c r="C910" s="229"/>
      <c r="D910" s="229"/>
    </row>
    <row r="911">
      <c r="B911" s="229"/>
      <c r="C911" s="229"/>
      <c r="D911" s="229"/>
    </row>
    <row r="912">
      <c r="B912" s="229"/>
      <c r="C912" s="229"/>
      <c r="D912" s="229"/>
    </row>
    <row r="913">
      <c r="B913" s="229"/>
      <c r="C913" s="229"/>
      <c r="D913" s="229"/>
    </row>
    <row r="914">
      <c r="B914" s="229"/>
      <c r="C914" s="229"/>
      <c r="D914" s="229"/>
    </row>
    <row r="915">
      <c r="B915" s="229"/>
      <c r="C915" s="229"/>
      <c r="D915" s="229"/>
    </row>
    <row r="916">
      <c r="B916" s="229"/>
      <c r="C916" s="229"/>
      <c r="D916" s="229"/>
    </row>
    <row r="917">
      <c r="B917" s="229"/>
      <c r="C917" s="229"/>
      <c r="D917" s="229"/>
    </row>
    <row r="918">
      <c r="B918" s="229"/>
      <c r="C918" s="229"/>
      <c r="D918" s="229"/>
    </row>
    <row r="919">
      <c r="B919" s="229"/>
      <c r="C919" s="229"/>
      <c r="D919" s="229"/>
    </row>
    <row r="920">
      <c r="B920" s="229"/>
      <c r="C920" s="229"/>
      <c r="D920" s="229"/>
    </row>
    <row r="921">
      <c r="B921" s="229"/>
      <c r="C921" s="229"/>
      <c r="D921" s="229"/>
    </row>
    <row r="922">
      <c r="B922" s="229"/>
      <c r="C922" s="229"/>
      <c r="D922" s="229"/>
    </row>
    <row r="923">
      <c r="B923" s="229"/>
      <c r="C923" s="229"/>
      <c r="D923" s="229"/>
    </row>
    <row r="924">
      <c r="B924" s="229"/>
      <c r="C924" s="229"/>
      <c r="D924" s="229"/>
    </row>
    <row r="925">
      <c r="B925" s="229"/>
      <c r="C925" s="229"/>
      <c r="D925" s="229"/>
    </row>
    <row r="926">
      <c r="B926" s="229"/>
      <c r="C926" s="229"/>
      <c r="D926" s="229"/>
    </row>
    <row r="927">
      <c r="B927" s="229"/>
      <c r="C927" s="229"/>
      <c r="D927" s="229"/>
    </row>
    <row r="928">
      <c r="B928" s="229"/>
      <c r="C928" s="229"/>
      <c r="D928" s="229"/>
    </row>
    <row r="929">
      <c r="B929" s="229"/>
      <c r="C929" s="229"/>
      <c r="D929" s="229"/>
    </row>
    <row r="930">
      <c r="B930" s="229"/>
      <c r="C930" s="229"/>
      <c r="D930" s="229"/>
    </row>
    <row r="931">
      <c r="B931" s="229"/>
      <c r="C931" s="229"/>
      <c r="D931" s="229"/>
    </row>
    <row r="932">
      <c r="B932" s="229"/>
      <c r="C932" s="229"/>
      <c r="D932" s="229"/>
    </row>
    <row r="933">
      <c r="B933" s="229"/>
      <c r="C933" s="229"/>
      <c r="D933" s="229"/>
    </row>
    <row r="934">
      <c r="B934" s="229"/>
      <c r="C934" s="229"/>
      <c r="D934" s="229"/>
    </row>
    <row r="935">
      <c r="B935" s="229"/>
      <c r="C935" s="229"/>
      <c r="D935" s="229"/>
    </row>
    <row r="936">
      <c r="B936" s="229"/>
      <c r="C936" s="229"/>
      <c r="D936" s="229"/>
    </row>
    <row r="937">
      <c r="B937" s="229"/>
      <c r="C937" s="229"/>
      <c r="D937" s="229"/>
    </row>
    <row r="938">
      <c r="B938" s="229"/>
      <c r="C938" s="229"/>
      <c r="D938" s="229"/>
    </row>
    <row r="939">
      <c r="B939" s="229"/>
      <c r="C939" s="229"/>
      <c r="D939" s="229"/>
    </row>
    <row r="940">
      <c r="B940" s="229"/>
      <c r="C940" s="229"/>
      <c r="D940" s="229"/>
    </row>
    <row r="941">
      <c r="B941" s="229"/>
      <c r="C941" s="229"/>
      <c r="D941" s="229"/>
    </row>
    <row r="942">
      <c r="B942" s="229"/>
      <c r="C942" s="229"/>
      <c r="D942" s="229"/>
    </row>
    <row r="943">
      <c r="B943" s="229"/>
      <c r="C943" s="229"/>
      <c r="D943" s="229"/>
    </row>
    <row r="944">
      <c r="B944" s="229"/>
      <c r="C944" s="229"/>
      <c r="D944" s="229"/>
    </row>
    <row r="945">
      <c r="B945" s="229"/>
      <c r="C945" s="229"/>
      <c r="D945" s="229"/>
    </row>
    <row r="946">
      <c r="B946" s="229"/>
      <c r="C946" s="229"/>
      <c r="D946" s="229"/>
    </row>
    <row r="947">
      <c r="B947" s="229"/>
      <c r="C947" s="229"/>
      <c r="D947" s="229"/>
    </row>
    <row r="948">
      <c r="B948" s="229"/>
      <c r="C948" s="229"/>
      <c r="D948" s="229"/>
    </row>
    <row r="949">
      <c r="B949" s="229"/>
      <c r="C949" s="229"/>
      <c r="D949" s="229"/>
    </row>
    <row r="950">
      <c r="B950" s="229"/>
      <c r="C950" s="229"/>
      <c r="D950" s="229"/>
    </row>
    <row r="951">
      <c r="B951" s="229"/>
      <c r="C951" s="229"/>
      <c r="D951" s="229"/>
    </row>
    <row r="952">
      <c r="B952" s="229"/>
      <c r="C952" s="229"/>
      <c r="D952" s="229"/>
    </row>
    <row r="953">
      <c r="B953" s="229"/>
      <c r="C953" s="229"/>
      <c r="D953" s="229"/>
    </row>
    <row r="954">
      <c r="B954" s="229"/>
      <c r="C954" s="229"/>
      <c r="D954" s="229"/>
    </row>
    <row r="955">
      <c r="B955" s="229"/>
      <c r="C955" s="229"/>
      <c r="D955" s="229"/>
    </row>
    <row r="956">
      <c r="B956" s="229"/>
      <c r="C956" s="229"/>
      <c r="D956" s="229"/>
    </row>
    <row r="957">
      <c r="B957" s="229"/>
      <c r="C957" s="229"/>
      <c r="D957" s="229"/>
    </row>
    <row r="958">
      <c r="B958" s="229"/>
      <c r="C958" s="229"/>
      <c r="D958" s="229"/>
    </row>
    <row r="959">
      <c r="B959" s="229"/>
      <c r="C959" s="229"/>
      <c r="D959" s="229"/>
    </row>
    <row r="960">
      <c r="B960" s="229"/>
      <c r="C960" s="229"/>
      <c r="D960" s="229"/>
    </row>
    <row r="961">
      <c r="B961" s="229"/>
      <c r="C961" s="229"/>
      <c r="D961" s="229"/>
    </row>
    <row r="962">
      <c r="B962" s="229"/>
      <c r="C962" s="229"/>
      <c r="D962" s="229"/>
    </row>
    <row r="963">
      <c r="B963" s="229"/>
      <c r="C963" s="229"/>
      <c r="D963" s="229"/>
    </row>
    <row r="964">
      <c r="B964" s="229"/>
      <c r="C964" s="229"/>
      <c r="D964" s="229"/>
    </row>
    <row r="965">
      <c r="B965" s="229"/>
      <c r="C965" s="229"/>
      <c r="D965" s="229"/>
    </row>
    <row r="966">
      <c r="B966" s="229"/>
      <c r="C966" s="229"/>
      <c r="D966" s="229"/>
    </row>
    <row r="967">
      <c r="B967" s="229"/>
      <c r="C967" s="229"/>
      <c r="D967" s="229"/>
    </row>
    <row r="968">
      <c r="B968" s="229"/>
      <c r="C968" s="229"/>
      <c r="D968" s="229"/>
    </row>
    <row r="969">
      <c r="B969" s="229"/>
      <c r="C969" s="229"/>
      <c r="D969" s="229"/>
    </row>
    <row r="970">
      <c r="B970" s="229"/>
      <c r="C970" s="229"/>
      <c r="D970" s="229"/>
    </row>
    <row r="971">
      <c r="B971" s="229"/>
      <c r="C971" s="229"/>
      <c r="D971" s="229"/>
    </row>
    <row r="972">
      <c r="B972" s="229"/>
      <c r="C972" s="229"/>
      <c r="D972" s="229"/>
    </row>
    <row r="973">
      <c r="B973" s="229"/>
      <c r="C973" s="229"/>
      <c r="D973" s="229"/>
    </row>
    <row r="974">
      <c r="B974" s="229"/>
      <c r="C974" s="229"/>
      <c r="D974" s="229"/>
    </row>
    <row r="975">
      <c r="B975" s="229"/>
      <c r="C975" s="229"/>
      <c r="D975" s="229"/>
    </row>
    <row r="976">
      <c r="B976" s="229"/>
      <c r="C976" s="229"/>
      <c r="D976" s="229"/>
    </row>
    <row r="977">
      <c r="B977" s="229"/>
      <c r="C977" s="229"/>
      <c r="D977" s="229"/>
    </row>
    <row r="978">
      <c r="B978" s="229"/>
      <c r="C978" s="229"/>
      <c r="D978" s="229"/>
    </row>
    <row r="979">
      <c r="B979" s="229"/>
      <c r="C979" s="229"/>
      <c r="D979" s="229"/>
    </row>
    <row r="980">
      <c r="B980" s="229"/>
      <c r="C980" s="229"/>
      <c r="D980" s="229"/>
    </row>
    <row r="981">
      <c r="B981" s="229"/>
      <c r="C981" s="229"/>
      <c r="D981" s="229"/>
    </row>
    <row r="982">
      <c r="B982" s="229"/>
      <c r="C982" s="229"/>
      <c r="D982" s="229"/>
    </row>
    <row r="983">
      <c r="B983" s="229"/>
      <c r="C983" s="229"/>
      <c r="D983" s="229"/>
    </row>
    <row r="984">
      <c r="B984" s="229"/>
      <c r="C984" s="229"/>
      <c r="D984" s="229"/>
    </row>
    <row r="985">
      <c r="B985" s="229"/>
      <c r="C985" s="229"/>
      <c r="D985" s="229"/>
    </row>
    <row r="986">
      <c r="B986" s="229"/>
      <c r="C986" s="229"/>
      <c r="D986" s="229"/>
    </row>
    <row r="987">
      <c r="B987" s="229"/>
      <c r="C987" s="229"/>
      <c r="D987" s="229"/>
    </row>
    <row r="988">
      <c r="B988" s="229"/>
      <c r="C988" s="229"/>
      <c r="D988" s="229"/>
    </row>
    <row r="989">
      <c r="B989" s="229"/>
      <c r="C989" s="229"/>
      <c r="D989" s="229"/>
    </row>
    <row r="990">
      <c r="B990" s="229"/>
      <c r="C990" s="229"/>
      <c r="D990" s="229"/>
    </row>
    <row r="991">
      <c r="B991" s="229"/>
      <c r="C991" s="229"/>
      <c r="D991" s="229"/>
    </row>
    <row r="992">
      <c r="B992" s="229"/>
      <c r="C992" s="229"/>
      <c r="D992" s="229"/>
    </row>
    <row r="993">
      <c r="B993" s="229"/>
      <c r="C993" s="229"/>
      <c r="D993" s="229"/>
    </row>
    <row r="994">
      <c r="B994" s="229"/>
      <c r="C994" s="229"/>
      <c r="D994" s="229"/>
    </row>
    <row r="995">
      <c r="B995" s="229"/>
      <c r="C995" s="229"/>
      <c r="D995" s="229"/>
    </row>
    <row r="996">
      <c r="B996" s="229"/>
      <c r="C996" s="229"/>
      <c r="D996" s="229"/>
    </row>
    <row r="997">
      <c r="B997" s="229"/>
      <c r="C997" s="229"/>
      <c r="D997" s="229"/>
    </row>
    <row r="998">
      <c r="B998" s="229"/>
      <c r="C998" s="229"/>
      <c r="D998" s="229"/>
    </row>
    <row r="999">
      <c r="B999" s="229"/>
      <c r="C999" s="229"/>
      <c r="D999" s="229"/>
    </row>
    <row r="1000">
      <c r="B1000" s="229"/>
      <c r="C1000" s="229"/>
      <c r="D1000" s="2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26" t="str">
        <f t="array" ref="A1:AE11">'ORIGIN MONTH 7'!C48:AG58</f>
        <v>SHIFT</v>
      </c>
      <c r="B1" s="226" t="s">
        <v>8</v>
      </c>
      <c r="C1" s="226" t="s">
        <v>9</v>
      </c>
      <c r="D1" s="226" t="s">
        <v>10</v>
      </c>
      <c r="E1" s="226" t="s">
        <v>11</v>
      </c>
      <c r="F1" s="226" t="s">
        <v>12</v>
      </c>
      <c r="G1" s="226" t="s">
        <v>13</v>
      </c>
      <c r="H1" s="226" t="s">
        <v>7</v>
      </c>
      <c r="I1" s="226" t="s">
        <v>8</v>
      </c>
      <c r="J1" s="226" t="s">
        <v>9</v>
      </c>
      <c r="K1" s="226" t="s">
        <v>10</v>
      </c>
      <c r="L1" s="226" t="s">
        <v>11</v>
      </c>
      <c r="M1" s="226" t="s">
        <v>12</v>
      </c>
      <c r="N1" s="226" t="s">
        <v>13</v>
      </c>
      <c r="O1" s="226" t="s">
        <v>7</v>
      </c>
      <c r="P1" s="226" t="s">
        <v>8</v>
      </c>
      <c r="Q1" s="226" t="s">
        <v>9</v>
      </c>
      <c r="R1" s="226" t="s">
        <v>10</v>
      </c>
      <c r="S1" s="226" t="s">
        <v>11</v>
      </c>
      <c r="T1" s="226" t="s">
        <v>12</v>
      </c>
      <c r="U1" s="226" t="s">
        <v>13</v>
      </c>
      <c r="V1" s="226" t="s">
        <v>7</v>
      </c>
      <c r="W1" s="226" t="s">
        <v>8</v>
      </c>
      <c r="X1" s="226" t="s">
        <v>9</v>
      </c>
      <c r="Y1" s="226" t="s">
        <v>10</v>
      </c>
      <c r="Z1" s="226" t="s">
        <v>11</v>
      </c>
      <c r="AA1" s="226" t="s">
        <v>12</v>
      </c>
      <c r="AB1" s="226" t="s">
        <v>13</v>
      </c>
      <c r="AC1" s="226" t="s">
        <v>7</v>
      </c>
      <c r="AD1" s="226" t="s">
        <v>8</v>
      </c>
      <c r="AE1" s="226" t="s">
        <v>9</v>
      </c>
    </row>
    <row r="2">
      <c r="A2" s="226" t="s">
        <v>274</v>
      </c>
      <c r="B2" s="226" t="s">
        <v>14</v>
      </c>
      <c r="C2" s="226" t="s">
        <v>15</v>
      </c>
      <c r="D2" s="226" t="s">
        <v>16</v>
      </c>
      <c r="E2" s="226" t="s">
        <v>228</v>
      </c>
      <c r="F2" s="226" t="s">
        <v>229</v>
      </c>
      <c r="G2" s="226" t="s">
        <v>17</v>
      </c>
      <c r="H2" s="226" t="s">
        <v>18</v>
      </c>
      <c r="I2" s="226" t="s">
        <v>19</v>
      </c>
      <c r="J2" s="226" t="s">
        <v>20</v>
      </c>
      <c r="K2" s="226" t="s">
        <v>21</v>
      </c>
      <c r="L2" s="226" t="s">
        <v>22</v>
      </c>
      <c r="M2" s="226" t="s">
        <v>23</v>
      </c>
      <c r="N2" s="226" t="s">
        <v>24</v>
      </c>
      <c r="O2" s="226" t="s">
        <v>25</v>
      </c>
      <c r="P2" s="226" t="s">
        <v>26</v>
      </c>
      <c r="Q2" s="226" t="s">
        <v>27</v>
      </c>
      <c r="R2" s="226" t="s">
        <v>28</v>
      </c>
      <c r="S2" s="226" t="s">
        <v>29</v>
      </c>
      <c r="T2" s="226" t="s">
        <v>30</v>
      </c>
      <c r="U2" s="226" t="s">
        <v>31</v>
      </c>
      <c r="V2" s="226" t="s">
        <v>32</v>
      </c>
      <c r="W2" s="226" t="s">
        <v>33</v>
      </c>
      <c r="X2" s="226" t="s">
        <v>34</v>
      </c>
      <c r="Y2" s="226" t="s">
        <v>35</v>
      </c>
      <c r="Z2" s="226" t="s">
        <v>36</v>
      </c>
      <c r="AA2" s="226" t="s">
        <v>37</v>
      </c>
      <c r="AB2" s="226" t="s">
        <v>38</v>
      </c>
      <c r="AC2" s="226" t="s">
        <v>39</v>
      </c>
      <c r="AD2" s="226" t="s">
        <v>40</v>
      </c>
      <c r="AE2" s="226" t="s">
        <v>41</v>
      </c>
    </row>
    <row r="3">
      <c r="A3" s="225" t="s">
        <v>47</v>
      </c>
      <c r="B3" s="225">
        <v>26.0</v>
      </c>
      <c r="C3" s="225">
        <v>26.0</v>
      </c>
      <c r="D3" s="225">
        <v>24.0</v>
      </c>
      <c r="E3" s="225">
        <v>26.0</v>
      </c>
      <c r="F3" s="225">
        <v>25.0</v>
      </c>
      <c r="G3" s="225">
        <v>30.0</v>
      </c>
      <c r="H3" s="225">
        <v>28.0</v>
      </c>
      <c r="I3" s="225">
        <v>26.0</v>
      </c>
      <c r="J3" s="225">
        <v>26.0</v>
      </c>
      <c r="K3" s="225">
        <v>25.0</v>
      </c>
      <c r="L3" s="225">
        <v>25.0</v>
      </c>
      <c r="M3" s="225">
        <v>25.0</v>
      </c>
      <c r="N3" s="225">
        <v>30.0</v>
      </c>
      <c r="O3" s="225">
        <v>29.0</v>
      </c>
      <c r="P3" s="225">
        <v>26.0</v>
      </c>
      <c r="Q3" s="225">
        <v>26.0</v>
      </c>
      <c r="R3" s="225">
        <v>25.0</v>
      </c>
      <c r="S3" s="225">
        <v>26.0</v>
      </c>
      <c r="T3" s="225">
        <v>25.0</v>
      </c>
      <c r="U3" s="225">
        <v>27.0</v>
      </c>
      <c r="V3" s="225">
        <v>29.0</v>
      </c>
      <c r="W3" s="225">
        <v>26.0</v>
      </c>
      <c r="X3" s="225">
        <v>26.0</v>
      </c>
      <c r="Y3" s="225">
        <v>25.0</v>
      </c>
      <c r="Z3" s="225">
        <v>25.0</v>
      </c>
      <c r="AA3" s="225">
        <v>25.0</v>
      </c>
      <c r="AB3" s="225">
        <v>30.0</v>
      </c>
      <c r="AC3" s="225">
        <v>28.0</v>
      </c>
      <c r="AD3" s="225">
        <v>26.0</v>
      </c>
      <c r="AE3" s="225">
        <v>26.0</v>
      </c>
    </row>
    <row r="4">
      <c r="A4" s="225" t="s">
        <v>46</v>
      </c>
      <c r="B4" s="225">
        <v>0.0</v>
      </c>
      <c r="C4" s="225">
        <v>0.0</v>
      </c>
      <c r="D4" s="225">
        <v>0.0</v>
      </c>
      <c r="E4" s="225">
        <v>0.0</v>
      </c>
      <c r="F4" s="225">
        <v>0.0</v>
      </c>
      <c r="G4" s="225">
        <v>0.0</v>
      </c>
      <c r="H4" s="225">
        <v>0.0</v>
      </c>
      <c r="I4" s="225">
        <v>0.0</v>
      </c>
      <c r="J4" s="225">
        <v>0.0</v>
      </c>
      <c r="K4" s="225">
        <v>0.0</v>
      </c>
      <c r="L4" s="225">
        <v>0.0</v>
      </c>
      <c r="M4" s="225">
        <v>0.0</v>
      </c>
      <c r="N4" s="225">
        <v>0.0</v>
      </c>
      <c r="O4" s="225">
        <v>0.0</v>
      </c>
      <c r="P4" s="225">
        <v>0.0</v>
      </c>
      <c r="Q4" s="225">
        <v>0.0</v>
      </c>
      <c r="R4" s="225">
        <v>0.0</v>
      </c>
      <c r="S4" s="225">
        <v>0.0</v>
      </c>
      <c r="T4" s="225">
        <v>0.0</v>
      </c>
      <c r="U4" s="225">
        <v>0.0</v>
      </c>
      <c r="V4" s="225">
        <v>0.0</v>
      </c>
      <c r="W4" s="225">
        <v>0.0</v>
      </c>
      <c r="X4" s="225">
        <v>0.0</v>
      </c>
      <c r="Y4" s="225">
        <v>0.0</v>
      </c>
      <c r="Z4" s="225">
        <v>0.0</v>
      </c>
      <c r="AA4" s="225">
        <v>0.0</v>
      </c>
      <c r="AB4" s="225">
        <v>0.0</v>
      </c>
      <c r="AC4" s="225">
        <v>0.0</v>
      </c>
      <c r="AD4" s="225">
        <v>0.0</v>
      </c>
      <c r="AE4" s="225">
        <v>0.0</v>
      </c>
    </row>
    <row r="5">
      <c r="A5" s="225" t="s">
        <v>45</v>
      </c>
      <c r="B5" s="225">
        <v>0.0</v>
      </c>
      <c r="C5" s="225">
        <v>0.0</v>
      </c>
      <c r="D5" s="225">
        <v>0.0</v>
      </c>
      <c r="E5" s="225">
        <v>0.0</v>
      </c>
      <c r="F5" s="225">
        <v>0.0</v>
      </c>
      <c r="G5" s="225">
        <v>0.0</v>
      </c>
      <c r="H5" s="225">
        <v>0.0</v>
      </c>
      <c r="I5" s="225">
        <v>0.0</v>
      </c>
      <c r="J5" s="225">
        <v>0.0</v>
      </c>
      <c r="K5" s="225">
        <v>0.0</v>
      </c>
      <c r="L5" s="225">
        <v>0.0</v>
      </c>
      <c r="M5" s="225">
        <v>0.0</v>
      </c>
      <c r="N5" s="225">
        <v>0.0</v>
      </c>
      <c r="O5" s="225">
        <v>0.0</v>
      </c>
      <c r="P5" s="225">
        <v>0.0</v>
      </c>
      <c r="Q5" s="225">
        <v>0.0</v>
      </c>
      <c r="R5" s="225">
        <v>0.0</v>
      </c>
      <c r="S5" s="225">
        <v>0.0</v>
      </c>
      <c r="T5" s="225">
        <v>0.0</v>
      </c>
      <c r="U5" s="225">
        <v>0.0</v>
      </c>
      <c r="V5" s="225">
        <v>0.0</v>
      </c>
      <c r="W5" s="225">
        <v>0.0</v>
      </c>
      <c r="X5" s="225">
        <v>0.0</v>
      </c>
      <c r="Y5" s="225">
        <v>0.0</v>
      </c>
      <c r="Z5" s="225">
        <v>0.0</v>
      </c>
      <c r="AA5" s="225">
        <v>0.0</v>
      </c>
      <c r="AB5" s="225">
        <v>0.0</v>
      </c>
      <c r="AC5" s="225">
        <v>0.0</v>
      </c>
      <c r="AD5" s="225">
        <v>0.0</v>
      </c>
      <c r="AE5" s="225">
        <v>0.0</v>
      </c>
    </row>
    <row r="6">
      <c r="A6" s="225" t="s">
        <v>44</v>
      </c>
      <c r="B6" s="225">
        <v>0.0</v>
      </c>
      <c r="C6" s="225">
        <v>0.0</v>
      </c>
      <c r="D6" s="225">
        <v>0.0</v>
      </c>
      <c r="E6" s="225">
        <v>0.0</v>
      </c>
      <c r="F6" s="225">
        <v>0.0</v>
      </c>
      <c r="G6" s="225">
        <v>0.0</v>
      </c>
      <c r="H6" s="225">
        <v>0.0</v>
      </c>
      <c r="I6" s="225">
        <v>0.0</v>
      </c>
      <c r="J6" s="225">
        <v>0.0</v>
      </c>
      <c r="K6" s="225">
        <v>0.0</v>
      </c>
      <c r="L6" s="225">
        <v>0.0</v>
      </c>
      <c r="M6" s="225">
        <v>0.0</v>
      </c>
      <c r="N6" s="225">
        <v>0.0</v>
      </c>
      <c r="O6" s="225">
        <v>0.0</v>
      </c>
      <c r="P6" s="225">
        <v>0.0</v>
      </c>
      <c r="Q6" s="225">
        <v>0.0</v>
      </c>
      <c r="R6" s="225">
        <v>0.0</v>
      </c>
      <c r="S6" s="225">
        <v>0.0</v>
      </c>
      <c r="T6" s="225">
        <v>0.0</v>
      </c>
      <c r="U6" s="225">
        <v>0.0</v>
      </c>
      <c r="V6" s="225">
        <v>0.0</v>
      </c>
      <c r="W6" s="225">
        <v>0.0</v>
      </c>
      <c r="X6" s="225">
        <v>0.0</v>
      </c>
      <c r="Y6" s="225">
        <v>0.0</v>
      </c>
      <c r="Z6" s="225">
        <v>0.0</v>
      </c>
      <c r="AA6" s="225">
        <v>0.0</v>
      </c>
      <c r="AB6" s="225">
        <v>0.0</v>
      </c>
      <c r="AC6" s="225">
        <v>0.0</v>
      </c>
      <c r="AD6" s="225">
        <v>0.0</v>
      </c>
      <c r="AE6" s="225">
        <v>0.0</v>
      </c>
    </row>
    <row r="7">
      <c r="A7" s="225" t="s">
        <v>43</v>
      </c>
      <c r="B7" s="225">
        <v>0.0</v>
      </c>
      <c r="C7" s="225">
        <v>0.0</v>
      </c>
      <c r="D7" s="225">
        <v>0.0</v>
      </c>
      <c r="E7" s="225">
        <v>0.0</v>
      </c>
      <c r="F7" s="225">
        <v>0.0</v>
      </c>
      <c r="G7" s="225">
        <v>0.0</v>
      </c>
      <c r="H7" s="225">
        <v>0.0</v>
      </c>
      <c r="I7" s="225">
        <v>0.0</v>
      </c>
      <c r="J7" s="225">
        <v>0.0</v>
      </c>
      <c r="K7" s="225">
        <v>0.0</v>
      </c>
      <c r="L7" s="225">
        <v>0.0</v>
      </c>
      <c r="M7" s="225">
        <v>0.0</v>
      </c>
      <c r="N7" s="225">
        <v>0.0</v>
      </c>
      <c r="O7" s="225">
        <v>0.0</v>
      </c>
      <c r="P7" s="225">
        <v>0.0</v>
      </c>
      <c r="Q7" s="225">
        <v>0.0</v>
      </c>
      <c r="R7" s="225">
        <v>0.0</v>
      </c>
      <c r="S7" s="225">
        <v>0.0</v>
      </c>
      <c r="T7" s="225">
        <v>0.0</v>
      </c>
      <c r="U7" s="225">
        <v>0.0</v>
      </c>
      <c r="V7" s="225">
        <v>0.0</v>
      </c>
      <c r="W7" s="225">
        <v>0.0</v>
      </c>
      <c r="X7" s="225">
        <v>0.0</v>
      </c>
      <c r="Y7" s="225">
        <v>0.0</v>
      </c>
      <c r="Z7" s="225">
        <v>0.0</v>
      </c>
      <c r="AA7" s="225">
        <v>0.0</v>
      </c>
      <c r="AB7" s="225">
        <v>0.0</v>
      </c>
      <c r="AC7" s="225">
        <v>0.0</v>
      </c>
      <c r="AD7" s="225">
        <v>0.0</v>
      </c>
      <c r="AE7" s="225">
        <v>0.0</v>
      </c>
    </row>
    <row r="8">
      <c r="A8" s="226" t="s">
        <v>53</v>
      </c>
      <c r="B8" s="225">
        <v>12.0</v>
      </c>
      <c r="C8" s="225">
        <v>13.0</v>
      </c>
      <c r="D8" s="225">
        <v>12.0</v>
      </c>
      <c r="E8" s="225">
        <v>12.0</v>
      </c>
      <c r="F8" s="225">
        <v>13.0</v>
      </c>
      <c r="G8" s="225">
        <v>10.0</v>
      </c>
      <c r="H8" s="225">
        <v>10.0</v>
      </c>
      <c r="I8" s="225">
        <v>12.0</v>
      </c>
      <c r="J8" s="225">
        <v>13.0</v>
      </c>
      <c r="K8" s="225">
        <v>12.0</v>
      </c>
      <c r="L8" s="225">
        <v>12.0</v>
      </c>
      <c r="M8" s="225">
        <v>13.0</v>
      </c>
      <c r="N8" s="225">
        <v>10.0</v>
      </c>
      <c r="O8" s="225">
        <v>10.0</v>
      </c>
      <c r="P8" s="225">
        <v>12.0</v>
      </c>
      <c r="Q8" s="225">
        <v>13.0</v>
      </c>
      <c r="R8" s="225">
        <v>12.0</v>
      </c>
      <c r="S8" s="225">
        <v>12.0</v>
      </c>
      <c r="T8" s="225">
        <v>13.0</v>
      </c>
      <c r="U8" s="225">
        <v>10.0</v>
      </c>
      <c r="V8" s="225">
        <v>10.0</v>
      </c>
      <c r="W8" s="225">
        <v>12.0</v>
      </c>
      <c r="X8" s="225">
        <v>13.0</v>
      </c>
      <c r="Y8" s="225">
        <v>12.0</v>
      </c>
      <c r="Z8" s="225">
        <v>12.0</v>
      </c>
      <c r="AA8" s="225">
        <v>13.0</v>
      </c>
      <c r="AB8" s="225">
        <v>10.0</v>
      </c>
      <c r="AC8" s="225">
        <v>10.0</v>
      </c>
      <c r="AD8" s="225">
        <v>11.0</v>
      </c>
      <c r="AE8" s="225">
        <v>13.0</v>
      </c>
    </row>
    <row r="9">
      <c r="A9" s="230" t="s">
        <v>48</v>
      </c>
      <c r="B9" s="225">
        <v>0.0</v>
      </c>
      <c r="C9" s="225">
        <v>0.0</v>
      </c>
      <c r="D9" s="225">
        <v>0.0</v>
      </c>
      <c r="E9" s="225">
        <v>1.0</v>
      </c>
      <c r="F9" s="225">
        <v>0.0</v>
      </c>
      <c r="G9" s="225">
        <v>1.0</v>
      </c>
      <c r="H9" s="225">
        <v>2.0</v>
      </c>
      <c r="I9" s="225">
        <v>2.0</v>
      </c>
      <c r="J9" s="225">
        <v>1.0</v>
      </c>
      <c r="K9" s="225">
        <v>2.0</v>
      </c>
      <c r="L9" s="225">
        <v>2.0</v>
      </c>
      <c r="M9" s="225">
        <v>1.0</v>
      </c>
      <c r="N9" s="225">
        <v>1.0</v>
      </c>
      <c r="O9" s="225">
        <v>1.0</v>
      </c>
      <c r="P9" s="225">
        <v>1.0</v>
      </c>
      <c r="Q9" s="225">
        <v>1.0</v>
      </c>
      <c r="R9" s="225">
        <v>1.0</v>
      </c>
      <c r="S9" s="225">
        <v>2.0</v>
      </c>
      <c r="T9" s="225">
        <v>2.0</v>
      </c>
      <c r="U9" s="225">
        <v>1.0</v>
      </c>
      <c r="V9" s="225">
        <v>1.0</v>
      </c>
      <c r="W9" s="225">
        <v>1.0</v>
      </c>
      <c r="X9" s="225">
        <v>0.0</v>
      </c>
      <c r="Y9" s="225">
        <v>2.0</v>
      </c>
      <c r="Z9" s="225">
        <v>2.0</v>
      </c>
      <c r="AA9" s="225">
        <v>3.0</v>
      </c>
      <c r="AB9" s="225">
        <v>1.0</v>
      </c>
      <c r="AC9" s="225">
        <v>0.0</v>
      </c>
      <c r="AD9" s="225">
        <v>0.0</v>
      </c>
      <c r="AE9" s="225">
        <v>0.0</v>
      </c>
    </row>
    <row r="10">
      <c r="A10" s="230" t="s">
        <v>49</v>
      </c>
      <c r="B10" s="225">
        <v>3.0</v>
      </c>
      <c r="C10" s="225">
        <v>2.0</v>
      </c>
      <c r="D10" s="225">
        <v>5.0</v>
      </c>
      <c r="E10" s="225">
        <v>2.0</v>
      </c>
      <c r="F10" s="225">
        <v>3.0</v>
      </c>
      <c r="G10" s="225">
        <v>0.0</v>
      </c>
      <c r="H10" s="225">
        <v>1.0</v>
      </c>
      <c r="I10" s="225">
        <v>1.0</v>
      </c>
      <c r="J10" s="225">
        <v>1.0</v>
      </c>
      <c r="K10" s="225">
        <v>2.0</v>
      </c>
      <c r="L10" s="225">
        <v>2.0</v>
      </c>
      <c r="M10" s="225">
        <v>2.0</v>
      </c>
      <c r="N10" s="225">
        <v>0.0</v>
      </c>
      <c r="O10" s="225">
        <v>1.0</v>
      </c>
      <c r="P10" s="225">
        <v>2.0</v>
      </c>
      <c r="Q10" s="225">
        <v>1.0</v>
      </c>
      <c r="R10" s="225">
        <v>3.0</v>
      </c>
      <c r="S10" s="225">
        <v>1.0</v>
      </c>
      <c r="T10" s="225">
        <v>1.0</v>
      </c>
      <c r="U10" s="225">
        <v>3.0</v>
      </c>
      <c r="V10" s="225">
        <v>1.0</v>
      </c>
      <c r="W10" s="225">
        <v>2.0</v>
      </c>
      <c r="X10" s="225">
        <v>2.0</v>
      </c>
      <c r="Y10" s="225">
        <v>2.0</v>
      </c>
      <c r="Z10" s="225">
        <v>2.0</v>
      </c>
      <c r="AA10" s="225">
        <v>0.0</v>
      </c>
      <c r="AB10" s="225">
        <v>0.0</v>
      </c>
      <c r="AC10" s="225">
        <v>3.0</v>
      </c>
      <c r="AD10" s="225">
        <v>4.0</v>
      </c>
      <c r="AE10" s="225">
        <v>2.0</v>
      </c>
    </row>
    <row r="11">
      <c r="A11" s="226" t="s">
        <v>183</v>
      </c>
      <c r="B11" s="225">
        <v>26.0</v>
      </c>
      <c r="C11" s="225">
        <v>26.0</v>
      </c>
      <c r="D11" s="225">
        <v>24.0</v>
      </c>
      <c r="E11" s="225">
        <v>26.0</v>
      </c>
      <c r="F11" s="225">
        <v>25.0</v>
      </c>
      <c r="G11" s="225">
        <v>30.0</v>
      </c>
      <c r="H11" s="225">
        <v>28.0</v>
      </c>
      <c r="I11" s="225">
        <v>26.0</v>
      </c>
      <c r="J11" s="225">
        <v>26.0</v>
      </c>
      <c r="K11" s="225">
        <v>25.0</v>
      </c>
      <c r="L11" s="225">
        <v>25.0</v>
      </c>
      <c r="M11" s="225">
        <v>25.0</v>
      </c>
      <c r="N11" s="225">
        <v>30.0</v>
      </c>
      <c r="O11" s="225">
        <v>29.0</v>
      </c>
      <c r="P11" s="225">
        <v>26.0</v>
      </c>
      <c r="Q11" s="225">
        <v>26.0</v>
      </c>
      <c r="R11" s="225">
        <v>25.0</v>
      </c>
      <c r="S11" s="225">
        <v>26.0</v>
      </c>
      <c r="T11" s="225">
        <v>25.0</v>
      </c>
      <c r="U11" s="225">
        <v>27.0</v>
      </c>
      <c r="V11" s="225">
        <v>29.0</v>
      </c>
      <c r="W11" s="225">
        <v>26.0</v>
      </c>
      <c r="X11" s="225">
        <v>26.0</v>
      </c>
      <c r="Y11" s="225">
        <v>25.0</v>
      </c>
      <c r="Z11" s="225">
        <v>25.0</v>
      </c>
      <c r="AA11" s="225">
        <v>25.0</v>
      </c>
      <c r="AB11" s="225">
        <v>30.0</v>
      </c>
      <c r="AC11" s="225">
        <v>28.0</v>
      </c>
      <c r="AD11" s="225">
        <v>26.0</v>
      </c>
      <c r="AE11" s="225">
        <v>26.0</v>
      </c>
    </row>
  </sheetData>
  <drawing r:id="rId1"/>
</worksheet>
</file>