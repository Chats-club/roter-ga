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</sheets>
  <definedNames/>
  <calcPr/>
  <extLst>
    <ext uri="GoogleSheetsCustomDataVersion2">
      <go:sheetsCustomData xmlns:go="http://customooxmlschemas.google.com/" r:id="rId12" roundtripDataChecksum="jwnbD1D1BQbYqkMU5VJHG9U16VcRqwuE91dMP79Ic80="/>
    </ext>
  </extLst>
</workbook>
</file>

<file path=xl/sharedStrings.xml><?xml version="1.0" encoding="utf-8"?>
<sst xmlns="http://schemas.openxmlformats.org/spreadsheetml/2006/main" count="5907" uniqueCount="279">
  <si>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</si>
  <si>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</si>
  <si>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</si>
  <si>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</si>
  <si>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</si>
  <si>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</si>
  <si>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</si>
  <si>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</si>
  <si>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</si>
  <si>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</si>
  <si>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</si>
  <si>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</si>
  <si>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</si>
  <si>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</si>
  <si>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</si>
  <si>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</si>
  <si>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</si>
  <si>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</si>
  <si>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</si>
  <si>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</si>
  <si>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</si>
  <si>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</si>
  <si>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</si>
  <si>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</si>
  <si>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</si>
  <si>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</si>
  <si>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</si>
  <si>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</si>
  <si>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</si>
  <si>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</si>
  <si>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</si>
  <si>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</si>
  <si>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</si>
  <si>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</si>
  <si>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</si>
  <si>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</si>
  <si>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</si>
  <si>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</si>
  <si>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</si>
  <si>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</si>
  <si>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</si>
  <si>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</si>
  <si>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</si>
  <si>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</si>
  <si>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</si>
  <si>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</si>
  <si>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</si>
  <si>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</si>
  <si>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</si>
  <si>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</si>
  <si>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</si>
  <si>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</si>
  <si>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</si>
  <si>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</si>
  <si>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</si>
  <si>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</si>
  <si>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</si>
  <si>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</si>
  <si>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</si>
  <si>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</si>
  <si>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</si>
  <si>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</si>
  <si>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</si>
  <si>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</si>
  <si>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</si>
  <si>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</si>
  <si>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</si>
  <si>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</si>
  <si>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</si>
  <si>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</si>
  <si>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</si>
  <si>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</si>
  <si>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</si>
  <si>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</si>
  <si>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</si>
  <si>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</si>
  <si>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</si>
  <si>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</si>
  <si>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</si>
  <si>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</si>
  <si>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</si>
  <si>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</si>
  <si>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</si>
  <si>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</si>
  <si>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</si>
  <si>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</si>
  <si>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</si>
  <si>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</si>
  <si>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</si>
  <si>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</si>
  <si>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</si>
  <si>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</si>
  <si>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</si>
  <si>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</si>
  <si>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</si>
  <si>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</si>
  <si>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</si>
  <si>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</si>
  <si>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</si>
  <si>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</si>
  <si>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</si>
  <si>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</si>
  <si>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</si>
  <si>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</si>
  <si>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</si>
  <si>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</si>
  <si>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</si>
  <si>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</si>
  <si>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</si>
  <si>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</si>
  <si>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</si>
  <si>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</si>
  <si>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</si>
  <si>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</si>
  <si>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</si>
  <si>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</si>
  <si>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</si>
  <si>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</si>
  <si>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</si>
  <si>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</si>
  <si>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</si>
  <si>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</si>
  <si>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</si>
  <si>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</si>
  <si>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</si>
  <si>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</si>
  <si>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</si>
  <si>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</si>
  <si>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</si>
  <si>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</si>
  <si>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</si>
  <si>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</si>
  <si>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</si>
  <si>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</si>
  <si>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</si>
  <si>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</si>
  <si>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</si>
  <si>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</si>
  <si>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</si>
  <si>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</si>
  <si>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</si>
  <si>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</si>
  <si>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</si>
  <si>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</si>
  <si>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</si>
  <si>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</si>
  <si>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</si>
  <si>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</si>
  <si>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</si>
  <si>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</si>
  <si>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</si>
  <si>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</si>
  <si>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</si>
  <si>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</si>
  <si>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</si>
  <si>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</si>
  <si>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</si>
  <si>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</si>
  <si>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</si>
  <si>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</si>
  <si>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</si>
  <si>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</si>
  <si>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</si>
  <si>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</si>
  <si>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</si>
  <si>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</si>
  <si>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</si>
  <si>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</si>
  <si>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</si>
  <si>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</si>
  <si>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</si>
  <si>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</si>
  <si>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</si>
  <si>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</si>
  <si>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</si>
  <si>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</si>
  <si>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</si>
  <si>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</si>
  <si>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</si>
  <si>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</si>
  <si>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</si>
  <si>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</si>
  <si>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</si>
  <si>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</si>
  <si>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</si>
  <si>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</si>
  <si>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</si>
  <si>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</si>
  <si>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</si>
  <si>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</si>
  <si>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</si>
  <si>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</si>
  <si>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</si>
  <si>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</si>
  <si>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</si>
  <si>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</si>
  <si>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</si>
  <si>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</si>
  <si>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</si>
  <si>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</si>
  <si>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</si>
  <si>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</si>
  <si>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</si>
  <si>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</si>
  <si>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</si>
  <si>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</si>
  <si>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</si>
  <si>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</si>
  <si>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</si>
  <si>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</si>
  <si>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</si>
  <si>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</si>
  <si>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</si>
  <si>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</si>
  <si>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</si>
  <si>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</si>
  <si>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</si>
  <si>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</si>
  <si>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</si>
  <si>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</si>
  <si>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</si>
  <si>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</si>
  <si>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</si>
  <si>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</si>
  <si>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</si>
  <si>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GA MONTHLY ROSTER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</si>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</sst>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6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sz val="17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sz val="14.0"/>
      <color theme="1"/>
      <name val="Arial"/>
    </font>
    <font>
      <b/>
      <u/>
      <sz val="9.0"/>
      <color rgb="FF98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9.0"/>
      <color rgb="FFFF00FF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u/>
      <sz val="12.0"/>
      <color rgb="FFFF0000"/>
      <name val="Arial"/>
    </font>
    <font>
      <b/>
      <u/>
      <sz val="9.0"/>
      <color rgb="FF980000"/>
      <name val="Arial"/>
    </font>
    <font>
      <u/>
      <sz val="12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63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0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left" vertical="center"/>
    </xf>
    <xf borderId="3" fillId="3" fontId="34" numFmtId="0" xfId="0" applyAlignment="1" applyBorder="1" applyFont="1">
      <alignment horizontal="center" vertical="center"/>
    </xf>
    <xf borderId="39" fillId="3" fontId="34" numFmtId="0" xfId="0" applyAlignment="1" applyBorder="1" applyFont="1">
      <alignment horizontal="center" vertical="center"/>
    </xf>
    <xf borderId="1" fillId="2" fontId="35" numFmtId="49" xfId="0" applyAlignment="1" applyBorder="1" applyFont="1" applyNumberFormat="1">
      <alignment horizontal="center" vertical="center"/>
    </xf>
    <xf borderId="1" fillId="2" fontId="35" numFmtId="0" xfId="0" applyAlignment="1" applyBorder="1" applyFont="1">
      <alignment horizontal="center" vertical="center"/>
    </xf>
    <xf borderId="1" fillId="2" fontId="35" numFmtId="0" xfId="0" applyAlignment="1" applyBorder="1" applyFont="1">
      <alignment vertical="center"/>
    </xf>
    <xf borderId="40" fillId="2" fontId="36" numFmtId="0" xfId="0" applyAlignment="1" applyBorder="1" applyFont="1">
      <alignment horizontal="left"/>
    </xf>
    <xf borderId="40" fillId="3" fontId="36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center"/>
    </xf>
    <xf borderId="1" fillId="3" fontId="36" numFmtId="0" xfId="0" applyAlignment="1" applyBorder="1" applyFont="1">
      <alignment horizontal="center" vertical="center"/>
    </xf>
    <xf borderId="1" fillId="3" fontId="36" numFmtId="0" xfId="0" applyAlignment="1" applyBorder="1" applyFont="1">
      <alignment vertical="center"/>
    </xf>
    <xf borderId="43" fillId="2" fontId="6" numFmtId="0" xfId="0" applyAlignment="1" applyBorder="1" applyFont="1">
      <alignment horizontal="left" vertical="center"/>
    </xf>
    <xf borderId="44" fillId="2" fontId="8" numFmtId="49" xfId="0" applyAlignment="1" applyBorder="1" applyFont="1" applyNumberFormat="1">
      <alignment horizontal="center" shrinkToFit="0" vertical="center" wrapText="1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6" fillId="3" fontId="6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7" fillId="2" fontId="6" numFmtId="0" xfId="0" applyAlignment="1" applyBorder="1" applyFont="1">
      <alignment horizontal="left" vertical="center"/>
    </xf>
    <xf borderId="48" fillId="2" fontId="8" numFmtId="49" xfId="0" applyAlignment="1" applyBorder="1" applyFont="1" applyNumberFormat="1">
      <alignment horizontal="center" shrinkToFit="0" vertical="center" wrapText="1"/>
    </xf>
    <xf borderId="47" fillId="3" fontId="6" numFmtId="49" xfId="0" applyAlignment="1" applyBorder="1" applyFont="1" applyNumberFormat="1">
      <alignment horizontal="center" vertical="center"/>
    </xf>
    <xf borderId="49" fillId="3" fontId="6" numFmtId="49" xfId="0" applyAlignment="1" applyBorder="1" applyFont="1" applyNumberFormat="1">
      <alignment horizontal="center" vertical="center"/>
    </xf>
    <xf borderId="50" fillId="3" fontId="6" numFmtId="49" xfId="0" applyAlignment="1" applyBorder="1" applyFont="1" applyNumberFormat="1">
      <alignment horizontal="center" vertical="center"/>
    </xf>
    <xf borderId="51" fillId="2" fontId="6" numFmtId="49" xfId="0" applyAlignment="1" applyBorder="1" applyFont="1" applyNumberFormat="1">
      <alignment horizontal="left" vertical="center"/>
    </xf>
    <xf borderId="52" fillId="0" fontId="1" numFmtId="49" xfId="0" applyAlignment="1" applyBorder="1" applyFont="1" applyNumberFormat="1">
      <alignment vertical="center"/>
    </xf>
    <xf borderId="53" fillId="2" fontId="13" numFmtId="49" xfId="0" applyAlignment="1" applyBorder="1" applyFont="1" applyNumberFormat="1">
      <alignment horizontal="center" readingOrder="0" vertical="center"/>
    </xf>
    <xf borderId="51" fillId="4" fontId="13" numFmtId="49" xfId="0" applyAlignment="1" applyBorder="1" applyFont="1" applyNumberFormat="1">
      <alignment horizontal="center" vertical="center"/>
    </xf>
    <xf borderId="54" fillId="4" fontId="13" numFmtId="49" xfId="0" applyAlignment="1" applyBorder="1" applyFont="1" applyNumberFormat="1">
      <alignment horizontal="center" vertical="center"/>
    </xf>
    <xf borderId="53" fillId="2" fontId="13" numFmtId="49" xfId="0" applyAlignment="1" applyBorder="1" applyFont="1" applyNumberFormat="1">
      <alignment horizontal="center" vertical="center"/>
    </xf>
    <xf borderId="51" fillId="2" fontId="13" numFmtId="49" xfId="0" applyAlignment="1" applyBorder="1" applyFont="1" applyNumberFormat="1">
      <alignment horizontal="center" readingOrder="0" vertical="center"/>
    </xf>
    <xf borderId="51" fillId="3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vertical="center"/>
    </xf>
    <xf borderId="36" fillId="0" fontId="1" numFmtId="49" xfId="0" applyAlignment="1" applyBorder="1" applyFont="1" applyNumberFormat="1">
      <alignment vertical="center"/>
    </xf>
    <xf borderId="55" fillId="2" fontId="13" numFmtId="49" xfId="0" applyAlignment="1" applyBorder="1" applyFont="1" applyNumberFormat="1">
      <alignment horizontal="center" readingOrder="0" vertical="center"/>
    </xf>
    <xf borderId="56" fillId="4" fontId="13" numFmtId="49" xfId="0" applyAlignment="1" applyBorder="1" applyFont="1" applyNumberFormat="1">
      <alignment horizontal="center" vertical="center"/>
    </xf>
    <xf borderId="55" fillId="0" fontId="37" numFmtId="49" xfId="0" applyAlignment="1" applyBorder="1" applyFont="1" applyNumberFormat="1">
      <alignment horizontal="center" vertical="center"/>
    </xf>
    <xf borderId="11" fillId="2" fontId="13" numFmtId="49" xfId="0" applyAlignment="1" applyBorder="1" applyFont="1" applyNumberFormat="1">
      <alignment horizontal="center" readingOrder="0" vertical="center"/>
    </xf>
    <xf borderId="11" fillId="2" fontId="13" numFmtId="0" xfId="0" applyAlignment="1" applyBorder="1" applyFont="1">
      <alignment horizontal="center" readingOrder="0" vertical="center"/>
    </xf>
    <xf borderId="55" fillId="2" fontId="13" numFmtId="49" xfId="0" applyAlignment="1" applyBorder="1" applyFont="1" applyNumberFormat="1">
      <alignment horizontal="center" vertical="center"/>
    </xf>
    <xf borderId="11" fillId="2" fontId="38" numFmtId="49" xfId="0" applyAlignment="1" applyBorder="1" applyFont="1" applyNumberFormat="1">
      <alignment horizontal="left" vertical="center"/>
    </xf>
    <xf borderId="55" fillId="2" fontId="39" numFmtId="0" xfId="0" applyAlignment="1" applyBorder="1" applyFont="1">
      <alignment horizontal="center" vertical="center"/>
    </xf>
    <xf borderId="11" fillId="2" fontId="13" numFmtId="0" xfId="0" applyAlignment="1" applyBorder="1" applyFont="1">
      <alignment horizontal="center" vertical="center"/>
    </xf>
    <xf borderId="55" fillId="4" fontId="13" numFmtId="49" xfId="0" applyAlignment="1" applyBorder="1" applyFont="1" applyNumberFormat="1">
      <alignment horizontal="center" vertical="center"/>
    </xf>
    <xf borderId="11" fillId="0" fontId="37" numFmtId="49" xfId="0" applyAlignment="1" applyBorder="1" applyFont="1" applyNumberFormat="1">
      <alignment horizontal="center" vertical="center"/>
    </xf>
    <xf borderId="56" fillId="2" fontId="13" numFmtId="49" xfId="0" applyAlignment="1" applyBorder="1" applyFont="1" applyNumberFormat="1">
      <alignment horizontal="center" readingOrder="0" vertical="center"/>
    </xf>
    <xf borderId="55" fillId="2" fontId="40" numFmtId="0" xfId="0" applyAlignment="1" applyBorder="1" applyFont="1">
      <alignment horizontal="center" readingOrder="0" vertical="center"/>
    </xf>
    <xf borderId="11" fillId="2" fontId="41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3" numFmtId="0" xfId="0" applyAlignment="1" applyBorder="1" applyFont="1">
      <alignment horizontal="center" vertical="center"/>
    </xf>
    <xf borderId="11" fillId="2" fontId="44" numFmtId="49" xfId="0" applyAlignment="1" applyBorder="1" applyFont="1" applyNumberFormat="1">
      <alignment horizontal="center" readingOrder="0" vertical="center"/>
    </xf>
    <xf borderId="56" fillId="2" fontId="45" numFmtId="49" xfId="0" applyAlignment="1" applyBorder="1" applyFont="1" applyNumberFormat="1">
      <alignment horizontal="center" readingOrder="0" vertical="center"/>
    </xf>
    <xf borderId="55" fillId="2" fontId="46" numFmtId="49" xfId="0" applyAlignment="1" applyBorder="1" applyFont="1" applyNumberFormat="1">
      <alignment horizontal="center" readingOrder="0" vertical="center"/>
    </xf>
    <xf borderId="56" fillId="0" fontId="37" numFmtId="49" xfId="0" applyAlignment="1" applyBorder="1" applyFont="1" applyNumberFormat="1">
      <alignment horizontal="center" vertical="center"/>
    </xf>
    <xf borderId="56" fillId="3" fontId="13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readingOrder="0" vertical="center"/>
    </xf>
    <xf borderId="11" fillId="0" fontId="13" numFmtId="49" xfId="0" applyAlignment="1" applyBorder="1" applyFont="1" applyNumberFormat="1">
      <alignment horizontal="center" readingOrder="0" vertical="center"/>
    </xf>
    <xf borderId="56" fillId="2" fontId="13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vertical="center"/>
    </xf>
    <xf borderId="36" fillId="0" fontId="47" numFmtId="49" xfId="0" applyAlignment="1" applyBorder="1" applyFont="1" applyNumberFormat="1">
      <alignment vertical="center"/>
    </xf>
    <xf borderId="56" fillId="2" fontId="48" numFmtId="0" xfId="0" applyAlignment="1" applyBorder="1" applyFont="1">
      <alignment horizontal="center" readingOrder="0" vertical="center"/>
    </xf>
    <xf borderId="55" fillId="2" fontId="13" numFmtId="0" xfId="0" applyAlignment="1" applyBorder="1" applyFont="1">
      <alignment horizontal="center" readingOrder="0" vertical="center"/>
    </xf>
    <xf borderId="55" fillId="2" fontId="13" numFmtId="0" xfId="0" applyAlignment="1" applyBorder="1" applyFont="1">
      <alignment horizontal="center" vertical="center"/>
    </xf>
    <xf borderId="55" fillId="3" fontId="13" numFmtId="49" xfId="0" applyAlignment="1" applyBorder="1" applyFont="1" applyNumberFormat="1">
      <alignment horizontal="center" vertical="center"/>
    </xf>
    <xf borderId="56" fillId="2" fontId="49" numFmtId="49" xfId="0" applyAlignment="1" applyBorder="1" applyFont="1" applyNumberFormat="1">
      <alignment horizontal="center" vertical="center"/>
    </xf>
    <xf borderId="55" fillId="2" fontId="50" numFmtId="49" xfId="0" applyAlignment="1" applyBorder="1" applyFont="1" applyNumberFormat="1">
      <alignment horizontal="center" vertical="center"/>
    </xf>
    <xf borderId="56" fillId="2" fontId="13" numFmtId="0" xfId="0" applyAlignment="1" applyBorder="1" applyFont="1">
      <alignment horizontal="center" shrinkToFit="0" vertical="center" wrapText="1"/>
    </xf>
    <xf borderId="55" fillId="2" fontId="13" numFmtId="0" xfId="0" applyAlignment="1" applyBorder="1" applyFont="1">
      <alignment horizontal="center" readingOrder="0" shrinkToFit="0" vertical="center" wrapText="1"/>
    </xf>
    <xf borderId="11" fillId="2" fontId="13" numFmtId="0" xfId="0" applyAlignment="1" applyBorder="1" applyFont="1">
      <alignment horizontal="center" readingOrder="0" shrinkToFit="0" vertical="center" wrapText="1"/>
    </xf>
    <xf borderId="56" fillId="2" fontId="13" numFmtId="0" xfId="0" applyAlignment="1" applyBorder="1" applyFont="1">
      <alignment horizontal="center" readingOrder="0" shrinkToFit="0" vertical="center" wrapText="1"/>
    </xf>
    <xf borderId="11" fillId="2" fontId="6" numFmtId="0" xfId="0" applyAlignment="1" applyBorder="1" applyFont="1">
      <alignment horizontal="left"/>
    </xf>
    <xf borderId="36" fillId="0" fontId="1" numFmtId="49" xfId="0" applyAlignment="1" applyBorder="1" applyFont="1" applyNumberFormat="1">
      <alignment horizontal="center" vertical="center"/>
    </xf>
    <xf borderId="11" fillId="2" fontId="51" numFmtId="0" xfId="0" applyAlignment="1" applyBorder="1" applyFont="1">
      <alignment horizontal="left"/>
    </xf>
    <xf borderId="47" fillId="2" fontId="52" numFmtId="49" xfId="0" applyAlignment="1" applyBorder="1" applyFont="1" applyNumberFormat="1">
      <alignment horizontal="center" vertical="center"/>
    </xf>
    <xf borderId="49" fillId="2" fontId="13" numFmtId="49" xfId="0" applyAlignment="1" applyBorder="1" applyFont="1" applyNumberFormat="1">
      <alignment horizontal="center" readingOrder="0" vertical="center"/>
    </xf>
    <xf borderId="50" fillId="2" fontId="13" numFmtId="0" xfId="0" applyAlignment="1" applyBorder="1" applyFont="1">
      <alignment horizontal="center" readingOrder="0" shrinkToFit="0" vertical="center" wrapText="1"/>
    </xf>
    <xf borderId="47" fillId="2" fontId="13" numFmtId="0" xfId="0" applyAlignment="1" applyBorder="1" applyFont="1">
      <alignment horizontal="center" readingOrder="0" shrinkToFit="0" vertical="center" wrapText="1"/>
    </xf>
    <xf borderId="49" fillId="2" fontId="13" numFmtId="0" xfId="0" applyAlignment="1" applyBorder="1" applyFont="1">
      <alignment horizontal="center" readingOrder="0" shrinkToFit="0" vertical="center" wrapText="1"/>
    </xf>
    <xf borderId="49" fillId="4" fontId="13" numFmtId="49" xfId="0" applyAlignment="1" applyBorder="1" applyFont="1" applyNumberFormat="1">
      <alignment horizontal="center" vertical="center"/>
    </xf>
    <xf borderId="49" fillId="2" fontId="13" numFmtId="0" xfId="0" applyAlignment="1" applyBorder="1" applyFont="1">
      <alignment horizontal="center" vertical="center"/>
    </xf>
    <xf borderId="49" fillId="2" fontId="13" numFmtId="0" xfId="0" applyAlignment="1" applyBorder="1" applyFont="1">
      <alignment horizontal="center" readingOrder="0" vertical="center"/>
    </xf>
    <xf borderId="50" fillId="2" fontId="13" numFmtId="49" xfId="0" applyAlignment="1" applyBorder="1" applyFont="1" applyNumberFormat="1">
      <alignment horizontal="center" readingOrder="0" vertical="center"/>
    </xf>
    <xf borderId="47" fillId="3" fontId="13" numFmtId="49" xfId="0" applyAlignment="1" applyBorder="1" applyFont="1" applyNumberFormat="1">
      <alignment horizontal="center" vertical="center"/>
    </xf>
    <xf borderId="49" fillId="3" fontId="13" numFmtId="49" xfId="0" applyAlignment="1" applyBorder="1" applyFont="1" applyNumberFormat="1">
      <alignment horizontal="center" vertical="center"/>
    </xf>
    <xf borderId="49" fillId="2" fontId="13" numFmtId="49" xfId="0" applyAlignment="1" applyBorder="1" applyFont="1" applyNumberFormat="1">
      <alignment horizontal="center" vertical="center"/>
    </xf>
    <xf borderId="0" fillId="2" fontId="1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57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1" numFmtId="0" xfId="0" applyAlignment="1" applyBorder="1" applyFont="1">
      <alignment horizontal="left"/>
    </xf>
    <xf borderId="58" fillId="0" fontId="10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6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59" fillId="0" fontId="10" numFmtId="49" xfId="0" applyAlignment="1" applyBorder="1" applyFont="1" applyNumberFormat="1">
      <alignment horizontal="center" vertical="center"/>
    </xf>
    <xf borderId="47" fillId="14" fontId="6" numFmtId="49" xfId="0" applyAlignment="1" applyBorder="1" applyFont="1" applyNumberFormat="1">
      <alignment horizontal="center" vertical="center"/>
    </xf>
    <xf borderId="49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0" fillId="0" fontId="31" numFmtId="49" xfId="0" applyAlignment="1" applyBorder="1" applyFont="1" applyNumberFormat="1">
      <alignment horizontal="center" vertical="center"/>
    </xf>
    <xf borderId="53" fillId="3" fontId="29" numFmtId="0" xfId="0" applyAlignment="1" applyBorder="1" applyFont="1">
      <alignment horizontal="center" vertical="center"/>
    </xf>
    <xf borderId="51" fillId="3" fontId="29" numFmtId="0" xfId="0" applyAlignment="1" applyBorder="1" applyFont="1">
      <alignment horizontal="center" vertical="center"/>
    </xf>
    <xf borderId="54" fillId="3" fontId="29" numFmtId="0" xfId="0" applyAlignment="1" applyBorder="1" applyFont="1">
      <alignment horizontal="center" vertical="center"/>
    </xf>
    <xf borderId="61" fillId="0" fontId="31" numFmtId="49" xfId="0" applyAlignment="1" applyBorder="1" applyFont="1" applyNumberFormat="1">
      <alignment horizontal="center" vertical="center"/>
    </xf>
    <xf borderId="55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55" fillId="3" fontId="30" numFmtId="0" xfId="0" applyAlignment="1" applyBorder="1" applyFont="1">
      <alignment horizontal="center" vertical="center"/>
    </xf>
    <xf borderId="56" fillId="3" fontId="30" numFmtId="0" xfId="0" applyAlignment="1" applyBorder="1" applyFont="1">
      <alignment horizontal="center" vertical="center"/>
    </xf>
    <xf borderId="62" fillId="0" fontId="53" numFmtId="49" xfId="0" applyAlignment="1" applyBorder="1" applyFont="1" applyNumberFormat="1">
      <alignment horizontal="center" vertical="center"/>
    </xf>
    <xf borderId="47" fillId="2" fontId="54" numFmtId="0" xfId="0" applyAlignment="1" applyBorder="1" applyFont="1">
      <alignment horizontal="center" vertical="center"/>
    </xf>
    <xf borderId="49" fillId="2" fontId="54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47" fillId="2" fontId="31" numFmtId="0" xfId="0" applyAlignment="1" applyBorder="1" applyFont="1">
      <alignment horizontal="center" vertical="center"/>
    </xf>
    <xf borderId="49" fillId="3" fontId="31" numFmtId="0" xfId="0" applyAlignment="1" applyBorder="1" applyFont="1">
      <alignment horizontal="center" vertical="center"/>
    </xf>
    <xf borderId="49" fillId="2" fontId="31" numFmtId="0" xfId="0" applyAlignment="1" applyBorder="1" applyFont="1">
      <alignment horizontal="center" vertical="center"/>
    </xf>
    <xf borderId="50" fillId="2" fontId="54" numFmtId="0" xfId="0" applyAlignment="1" applyBorder="1" applyFont="1">
      <alignment horizontal="center" vertical="center"/>
    </xf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0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6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55" fillId="0" fontId="33" numFmtId="49" xfId="0" applyAlignment="1" applyBorder="1" applyFont="1" applyNumberFormat="1">
      <alignment horizontal="center"/>
    </xf>
    <xf borderId="56" fillId="0" fontId="33" numFmtId="49" xfId="0" applyAlignment="1" applyBorder="1" applyFont="1" applyNumberFormat="1">
      <alignment horizontal="center"/>
    </xf>
    <xf borderId="55" fillId="0" fontId="33" numFmtId="0" xfId="0" applyAlignment="1" applyBorder="1" applyFont="1">
      <alignment horizontal="center"/>
    </xf>
    <xf borderId="56" fillId="0" fontId="33" numFmtId="0" xfId="0" applyAlignment="1" applyBorder="1" applyFont="1">
      <alignment horizontal="center"/>
    </xf>
    <xf borderId="62" fillId="0" fontId="33" numFmtId="49" xfId="0" applyAlignment="1" applyBorder="1" applyFont="1" applyNumberFormat="1">
      <alignment horizontal="center"/>
    </xf>
    <xf borderId="47" fillId="15" fontId="33" numFmtId="0" xfId="0" applyAlignment="1" applyBorder="1" applyFont="1">
      <alignment horizontal="center"/>
    </xf>
    <xf borderId="49" fillId="15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47" fillId="0" fontId="33" numFmtId="0" xfId="0" applyAlignment="1" applyBorder="1" applyFont="1">
      <alignment horizontal="center"/>
    </xf>
    <xf borderId="49" fillId="0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0" fillId="16" fontId="55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4.63"/>
    <col customWidth="1" min="33" max="33" width="3.63"/>
    <col customWidth="1" min="34" max="41" width="3.75"/>
    <col customWidth="1" min="42" max="46" width="8.0"/>
  </cols>
  <sheetData>
    <row r="1" ht="21.0" customHeight="1">
      <c r="A1" s="167"/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225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9"/>
      <c r="AG1" s="170"/>
      <c r="AH1" s="170"/>
      <c r="AI1" s="170"/>
      <c r="AJ1" s="171"/>
      <c r="AK1" s="171"/>
      <c r="AL1" s="171"/>
      <c r="AM1" s="172"/>
      <c r="AN1" s="172"/>
      <c r="AO1" s="172"/>
      <c r="AP1" s="172"/>
      <c r="AQ1" s="172"/>
      <c r="AR1" s="172"/>
      <c r="AS1" s="172"/>
      <c r="AT1" s="172"/>
    </row>
    <row r="2" ht="1.5" customHeight="1">
      <c r="A2" s="173"/>
      <c r="B2" s="174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6" t="s">
        <v>226</v>
      </c>
      <c r="T2" s="177"/>
      <c r="U2" s="177"/>
      <c r="V2" s="177"/>
      <c r="W2" s="177"/>
      <c r="X2" s="177"/>
      <c r="Y2" s="177"/>
      <c r="Z2" s="177"/>
      <c r="AA2" s="178"/>
      <c r="AB2" s="178"/>
      <c r="AC2" s="178"/>
      <c r="AD2" s="178"/>
      <c r="AE2" s="178"/>
      <c r="AF2" s="178"/>
      <c r="AG2" s="179"/>
      <c r="AH2" s="179"/>
      <c r="AI2" s="179"/>
      <c r="AJ2" s="180"/>
      <c r="AK2" s="180"/>
      <c r="AL2" s="180"/>
      <c r="AM2" s="181"/>
      <c r="AN2" s="181"/>
      <c r="AO2" s="181"/>
      <c r="AP2" s="181"/>
      <c r="AQ2" s="181"/>
      <c r="AR2" s="181"/>
      <c r="AS2" s="181"/>
      <c r="AT2" s="181"/>
    </row>
    <row r="3" ht="12.0" customHeight="1">
      <c r="A3" s="182" t="s">
        <v>227</v>
      </c>
      <c r="B3" s="183" t="s">
        <v>5</v>
      </c>
      <c r="C3" s="184" t="s">
        <v>8</v>
      </c>
      <c r="D3" s="185" t="s">
        <v>9</v>
      </c>
      <c r="E3" s="186" t="s">
        <v>10</v>
      </c>
      <c r="F3" s="184" t="s">
        <v>11</v>
      </c>
      <c r="G3" s="185" t="s">
        <v>12</v>
      </c>
      <c r="H3" s="185" t="s">
        <v>13</v>
      </c>
      <c r="I3" s="185" t="s">
        <v>7</v>
      </c>
      <c r="J3" s="185" t="s">
        <v>8</v>
      </c>
      <c r="K3" s="185" t="s">
        <v>9</v>
      </c>
      <c r="L3" s="186" t="s">
        <v>10</v>
      </c>
      <c r="M3" s="184" t="s">
        <v>11</v>
      </c>
      <c r="N3" s="185" t="s">
        <v>12</v>
      </c>
      <c r="O3" s="185" t="s">
        <v>13</v>
      </c>
      <c r="P3" s="185" t="s">
        <v>7</v>
      </c>
      <c r="Q3" s="185" t="s">
        <v>8</v>
      </c>
      <c r="R3" s="185" t="s">
        <v>9</v>
      </c>
      <c r="S3" s="186" t="s">
        <v>10</v>
      </c>
      <c r="T3" s="184" t="s">
        <v>11</v>
      </c>
      <c r="U3" s="185" t="s">
        <v>12</v>
      </c>
      <c r="V3" s="185" t="s">
        <v>13</v>
      </c>
      <c r="W3" s="185" t="s">
        <v>7</v>
      </c>
      <c r="X3" s="185" t="s">
        <v>8</v>
      </c>
      <c r="Y3" s="185" t="s">
        <v>9</v>
      </c>
      <c r="Z3" s="186" t="s">
        <v>10</v>
      </c>
      <c r="AA3" s="184" t="s">
        <v>11</v>
      </c>
      <c r="AB3" s="185" t="s">
        <v>12</v>
      </c>
      <c r="AC3" s="185" t="s">
        <v>13</v>
      </c>
      <c r="AD3" s="185" t="s">
        <v>7</v>
      </c>
      <c r="AE3" s="185" t="s">
        <v>8</v>
      </c>
      <c r="AF3" s="186" t="s">
        <v>9</v>
      </c>
      <c r="AG3" s="187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88"/>
      <c r="B4" s="189"/>
      <c r="C4" s="190" t="s">
        <v>14</v>
      </c>
      <c r="D4" s="191" t="s">
        <v>15</v>
      </c>
      <c r="E4" s="192" t="s">
        <v>16</v>
      </c>
      <c r="F4" s="190" t="s">
        <v>228</v>
      </c>
      <c r="G4" s="191" t="s">
        <v>229</v>
      </c>
      <c r="H4" s="191" t="s">
        <v>17</v>
      </c>
      <c r="I4" s="191" t="s">
        <v>18</v>
      </c>
      <c r="J4" s="191" t="s">
        <v>19</v>
      </c>
      <c r="K4" s="191" t="s">
        <v>20</v>
      </c>
      <c r="L4" s="192" t="s">
        <v>21</v>
      </c>
      <c r="M4" s="190" t="s">
        <v>22</v>
      </c>
      <c r="N4" s="191" t="s">
        <v>23</v>
      </c>
      <c r="O4" s="191" t="s">
        <v>24</v>
      </c>
      <c r="P4" s="191" t="s">
        <v>25</v>
      </c>
      <c r="Q4" s="191" t="s">
        <v>26</v>
      </c>
      <c r="R4" s="191" t="s">
        <v>27</v>
      </c>
      <c r="S4" s="192" t="s">
        <v>28</v>
      </c>
      <c r="T4" s="190" t="s">
        <v>29</v>
      </c>
      <c r="U4" s="191" t="s">
        <v>30</v>
      </c>
      <c r="V4" s="191" t="s">
        <v>31</v>
      </c>
      <c r="W4" s="191" t="s">
        <v>32</v>
      </c>
      <c r="X4" s="191" t="s">
        <v>33</v>
      </c>
      <c r="Y4" s="191" t="s">
        <v>34</v>
      </c>
      <c r="Z4" s="192" t="s">
        <v>35</v>
      </c>
      <c r="AA4" s="190" t="s">
        <v>36</v>
      </c>
      <c r="AB4" s="191" t="s">
        <v>37</v>
      </c>
      <c r="AC4" s="191" t="s">
        <v>38</v>
      </c>
      <c r="AD4" s="191" t="s">
        <v>39</v>
      </c>
      <c r="AE4" s="191" t="s">
        <v>40</v>
      </c>
      <c r="AF4" s="192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26.25" customHeight="1">
      <c r="A5" s="193" t="s">
        <v>230</v>
      </c>
      <c r="B5" s="194" t="s">
        <v>59</v>
      </c>
      <c r="C5" s="195" t="s">
        <v>43</v>
      </c>
      <c r="D5" s="196" t="s">
        <v>53</v>
      </c>
      <c r="E5" s="197" t="s">
        <v>53</v>
      </c>
      <c r="F5" s="198" t="s">
        <v>47</v>
      </c>
      <c r="G5" s="199" t="s">
        <v>46</v>
      </c>
      <c r="H5" s="199" t="s">
        <v>46</v>
      </c>
      <c r="I5" s="199" t="s">
        <v>45</v>
      </c>
      <c r="J5" s="199" t="s">
        <v>43</v>
      </c>
      <c r="K5" s="196" t="s">
        <v>53</v>
      </c>
      <c r="L5" s="197" t="s">
        <v>53</v>
      </c>
      <c r="M5" s="198" t="s">
        <v>47</v>
      </c>
      <c r="N5" s="199" t="s">
        <v>45</v>
      </c>
      <c r="O5" s="199" t="s">
        <v>45</v>
      </c>
      <c r="P5" s="199" t="s">
        <v>45</v>
      </c>
      <c r="Q5" s="199" t="s">
        <v>44</v>
      </c>
      <c r="R5" s="196" t="s">
        <v>53</v>
      </c>
      <c r="S5" s="197" t="s">
        <v>53</v>
      </c>
      <c r="T5" s="195" t="s">
        <v>45</v>
      </c>
      <c r="U5" s="199" t="s">
        <v>45</v>
      </c>
      <c r="V5" s="200" t="s">
        <v>48</v>
      </c>
      <c r="W5" s="200" t="s">
        <v>48</v>
      </c>
      <c r="X5" s="200" t="s">
        <v>48</v>
      </c>
      <c r="Y5" s="196" t="s">
        <v>53</v>
      </c>
      <c r="Z5" s="197" t="s">
        <v>53</v>
      </c>
      <c r="AA5" s="195" t="s">
        <v>45</v>
      </c>
      <c r="AB5" s="199" t="s">
        <v>45</v>
      </c>
      <c r="AC5" s="199" t="s">
        <v>45</v>
      </c>
      <c r="AD5" s="199" t="s">
        <v>44</v>
      </c>
      <c r="AE5" s="199" t="s">
        <v>44</v>
      </c>
      <c r="AF5" s="197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26.25" customHeight="1">
      <c r="A6" s="201" t="s">
        <v>231</v>
      </c>
      <c r="B6" s="202" t="s">
        <v>62</v>
      </c>
      <c r="C6" s="203" t="s">
        <v>44</v>
      </c>
      <c r="D6" s="58" t="s">
        <v>53</v>
      </c>
      <c r="E6" s="204" t="s">
        <v>53</v>
      </c>
      <c r="F6" s="205" t="s">
        <v>49</v>
      </c>
      <c r="G6" s="206" t="s">
        <v>45</v>
      </c>
      <c r="H6" s="206" t="s">
        <v>45</v>
      </c>
      <c r="I6" s="206" t="s">
        <v>44</v>
      </c>
      <c r="J6" s="207" t="s">
        <v>44</v>
      </c>
      <c r="K6" s="58" t="s">
        <v>53</v>
      </c>
      <c r="L6" s="204" t="s">
        <v>53</v>
      </c>
      <c r="M6" s="208" t="s">
        <v>47</v>
      </c>
      <c r="N6" s="206" t="s">
        <v>47</v>
      </c>
      <c r="O6" s="206" t="s">
        <v>47</v>
      </c>
      <c r="P6" s="206" t="s">
        <v>45</v>
      </c>
      <c r="Q6" s="206" t="s">
        <v>44</v>
      </c>
      <c r="R6" s="58" t="s">
        <v>53</v>
      </c>
      <c r="S6" s="204" t="s">
        <v>53</v>
      </c>
      <c r="T6" s="203" t="s">
        <v>46</v>
      </c>
      <c r="U6" s="206" t="s">
        <v>46</v>
      </c>
      <c r="V6" s="206" t="s">
        <v>45</v>
      </c>
      <c r="W6" s="206" t="s">
        <v>44</v>
      </c>
      <c r="X6" s="206" t="s">
        <v>43</v>
      </c>
      <c r="Y6" s="58" t="s">
        <v>53</v>
      </c>
      <c r="Z6" s="204" t="s">
        <v>53</v>
      </c>
      <c r="AA6" s="203" t="s">
        <v>45</v>
      </c>
      <c r="AB6" s="206" t="s">
        <v>45</v>
      </c>
      <c r="AC6" s="206" t="s">
        <v>45</v>
      </c>
      <c r="AD6" s="206" t="s">
        <v>43</v>
      </c>
      <c r="AE6" s="206" t="s">
        <v>232</v>
      </c>
      <c r="AF6" s="204" t="s">
        <v>53</v>
      </c>
      <c r="AG6" s="25"/>
      <c r="AH6" s="47">
        <f t="shared" si="2"/>
        <v>7</v>
      </c>
      <c r="AI6" s="48">
        <f t="shared" si="3"/>
        <v>2</v>
      </c>
      <c r="AJ6" s="48">
        <f t="shared" si="4"/>
        <v>5</v>
      </c>
      <c r="AK6" s="49">
        <f t="shared" si="5"/>
        <v>7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26.25" customHeight="1">
      <c r="A7" s="209" t="s">
        <v>233</v>
      </c>
      <c r="B7" s="202" t="s">
        <v>65</v>
      </c>
      <c r="C7" s="210" t="s">
        <v>47</v>
      </c>
      <c r="D7" s="211" t="s">
        <v>47</v>
      </c>
      <c r="E7" s="204" t="s">
        <v>53</v>
      </c>
      <c r="F7" s="212" t="s">
        <v>53</v>
      </c>
      <c r="G7" s="206" t="s">
        <v>47</v>
      </c>
      <c r="H7" s="206" t="s">
        <v>47</v>
      </c>
      <c r="I7" s="206" t="s">
        <v>43</v>
      </c>
      <c r="J7" s="206" t="s">
        <v>43</v>
      </c>
      <c r="K7" s="206" t="s">
        <v>43</v>
      </c>
      <c r="L7" s="204" t="s">
        <v>53</v>
      </c>
      <c r="M7" s="212" t="s">
        <v>53</v>
      </c>
      <c r="N7" s="81" t="s">
        <v>47</v>
      </c>
      <c r="O7" s="81" t="s">
        <v>47</v>
      </c>
      <c r="P7" s="206" t="s">
        <v>47</v>
      </c>
      <c r="Q7" s="206" t="s">
        <v>43</v>
      </c>
      <c r="R7" s="206" t="s">
        <v>43</v>
      </c>
      <c r="S7" s="204" t="s">
        <v>53</v>
      </c>
      <c r="T7" s="212" t="s">
        <v>53</v>
      </c>
      <c r="U7" s="81" t="s">
        <v>47</v>
      </c>
      <c r="V7" s="81" t="s">
        <v>47</v>
      </c>
      <c r="W7" s="206" t="s">
        <v>43</v>
      </c>
      <c r="X7" s="206" t="s">
        <v>43</v>
      </c>
      <c r="Y7" s="206" t="s">
        <v>43</v>
      </c>
      <c r="Z7" s="204" t="s">
        <v>53</v>
      </c>
      <c r="AA7" s="212" t="s">
        <v>53</v>
      </c>
      <c r="AB7" s="213" t="s">
        <v>49</v>
      </c>
      <c r="AC7" s="213" t="s">
        <v>49</v>
      </c>
      <c r="AD7" s="57" t="s">
        <v>48</v>
      </c>
      <c r="AE7" s="57" t="s">
        <v>48</v>
      </c>
      <c r="AF7" s="214" t="s">
        <v>43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9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26.25" customHeight="1">
      <c r="A8" s="201" t="s">
        <v>234</v>
      </c>
      <c r="B8" s="202" t="s">
        <v>68</v>
      </c>
      <c r="C8" s="215" t="s">
        <v>46</v>
      </c>
      <c r="D8" s="216" t="s">
        <v>46</v>
      </c>
      <c r="E8" s="204" t="s">
        <v>53</v>
      </c>
      <c r="F8" s="212" t="s">
        <v>53</v>
      </c>
      <c r="G8" s="217" t="s">
        <v>47</v>
      </c>
      <c r="H8" s="218" t="s">
        <v>47</v>
      </c>
      <c r="I8" s="218" t="s">
        <v>47</v>
      </c>
      <c r="J8" s="217" t="s">
        <v>47</v>
      </c>
      <c r="K8" s="219" t="s">
        <v>46</v>
      </c>
      <c r="L8" s="204" t="s">
        <v>53</v>
      </c>
      <c r="M8" s="212" t="s">
        <v>53</v>
      </c>
      <c r="N8" s="217" t="s">
        <v>47</v>
      </c>
      <c r="O8" s="219" t="s">
        <v>46</v>
      </c>
      <c r="P8" s="213" t="s">
        <v>49</v>
      </c>
      <c r="Q8" s="57" t="s">
        <v>48</v>
      </c>
      <c r="R8" s="57" t="s">
        <v>48</v>
      </c>
      <c r="S8" s="204" t="s">
        <v>53</v>
      </c>
      <c r="T8" s="212" t="s">
        <v>53</v>
      </c>
      <c r="U8" s="217" t="s">
        <v>47</v>
      </c>
      <c r="V8" s="217" t="s">
        <v>47</v>
      </c>
      <c r="W8" s="219" t="s">
        <v>46</v>
      </c>
      <c r="X8" s="219" t="s">
        <v>46</v>
      </c>
      <c r="Y8" s="219" t="s">
        <v>46</v>
      </c>
      <c r="Z8" s="204" t="s">
        <v>53</v>
      </c>
      <c r="AA8" s="212" t="s">
        <v>53</v>
      </c>
      <c r="AB8" s="217" t="s">
        <v>47</v>
      </c>
      <c r="AC8" s="219" t="s">
        <v>46</v>
      </c>
      <c r="AD8" s="219" t="s">
        <v>46</v>
      </c>
      <c r="AE8" s="219" t="s">
        <v>46</v>
      </c>
      <c r="AF8" s="220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26.25" customHeight="1">
      <c r="A9" s="201" t="s">
        <v>235</v>
      </c>
      <c r="B9" s="202" t="s">
        <v>71</v>
      </c>
      <c r="C9" s="203" t="s">
        <v>43</v>
      </c>
      <c r="D9" s="58" t="s">
        <v>53</v>
      </c>
      <c r="E9" s="204" t="s">
        <v>53</v>
      </c>
      <c r="F9" s="205" t="s">
        <v>49</v>
      </c>
      <c r="G9" s="213" t="s">
        <v>49</v>
      </c>
      <c r="H9" s="57" t="s">
        <v>48</v>
      </c>
      <c r="I9" s="206" t="s">
        <v>46</v>
      </c>
      <c r="J9" s="207" t="s">
        <v>45</v>
      </c>
      <c r="K9" s="58" t="s">
        <v>53</v>
      </c>
      <c r="L9" s="204" t="s">
        <v>53</v>
      </c>
      <c r="M9" s="203" t="s">
        <v>44</v>
      </c>
      <c r="N9" s="206" t="s">
        <v>44</v>
      </c>
      <c r="O9" s="57" t="s">
        <v>48</v>
      </c>
      <c r="P9" s="206" t="s">
        <v>44</v>
      </c>
      <c r="Q9" s="206" t="s">
        <v>43</v>
      </c>
      <c r="R9" s="58" t="s">
        <v>53</v>
      </c>
      <c r="S9" s="204" t="s">
        <v>53</v>
      </c>
      <c r="T9" s="203" t="s">
        <v>46</v>
      </c>
      <c r="U9" s="206" t="s">
        <v>45</v>
      </c>
      <c r="V9" s="57" t="s">
        <v>48</v>
      </c>
      <c r="W9" s="57" t="s">
        <v>48</v>
      </c>
      <c r="X9" s="57" t="s">
        <v>48</v>
      </c>
      <c r="Y9" s="58" t="s">
        <v>53</v>
      </c>
      <c r="Z9" s="204" t="s">
        <v>53</v>
      </c>
      <c r="AA9" s="208" t="s">
        <v>47</v>
      </c>
      <c r="AB9" s="206" t="s">
        <v>46</v>
      </c>
      <c r="AC9" s="57" t="s">
        <v>48</v>
      </c>
      <c r="AD9" s="206" t="s">
        <v>45</v>
      </c>
      <c r="AE9" s="207" t="s">
        <v>45</v>
      </c>
      <c r="AF9" s="204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4</v>
      </c>
      <c r="AL9" s="50">
        <f t="shared" si="6"/>
        <v>3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26.25" customHeight="1">
      <c r="A10" s="209" t="s">
        <v>236</v>
      </c>
      <c r="B10" s="202" t="s">
        <v>74</v>
      </c>
      <c r="C10" s="221" t="s">
        <v>47</v>
      </c>
      <c r="D10" s="206" t="s">
        <v>43</v>
      </c>
      <c r="E10" s="204" t="s">
        <v>53</v>
      </c>
      <c r="F10" s="212" t="s">
        <v>53</v>
      </c>
      <c r="G10" s="206" t="s">
        <v>46</v>
      </c>
      <c r="H10" s="213" t="s">
        <v>49</v>
      </c>
      <c r="I10" s="206" t="s">
        <v>45</v>
      </c>
      <c r="J10" s="206" t="s">
        <v>45</v>
      </c>
      <c r="K10" s="206" t="s">
        <v>43</v>
      </c>
      <c r="L10" s="204" t="s">
        <v>53</v>
      </c>
      <c r="M10" s="212" t="s">
        <v>53</v>
      </c>
      <c r="N10" s="213" t="s">
        <v>49</v>
      </c>
      <c r="O10" s="213" t="s">
        <v>49</v>
      </c>
      <c r="P10" s="206" t="s">
        <v>46</v>
      </c>
      <c r="Q10" s="206" t="s">
        <v>47</v>
      </c>
      <c r="R10" s="206" t="s">
        <v>44</v>
      </c>
      <c r="S10" s="204" t="s">
        <v>53</v>
      </c>
      <c r="T10" s="212" t="s">
        <v>53</v>
      </c>
      <c r="U10" s="213" t="s">
        <v>49</v>
      </c>
      <c r="V10" s="206" t="s">
        <v>45</v>
      </c>
      <c r="W10" s="206" t="s">
        <v>45</v>
      </c>
      <c r="X10" s="206" t="s">
        <v>45</v>
      </c>
      <c r="Y10" s="206" t="s">
        <v>44</v>
      </c>
      <c r="Z10" s="204" t="s">
        <v>53</v>
      </c>
      <c r="AA10" s="212" t="s">
        <v>53</v>
      </c>
      <c r="AB10" s="206" t="s">
        <v>46</v>
      </c>
      <c r="AC10" s="213" t="s">
        <v>49</v>
      </c>
      <c r="AD10" s="206" t="s">
        <v>47</v>
      </c>
      <c r="AE10" s="206" t="s">
        <v>44</v>
      </c>
      <c r="AF10" s="222" t="s">
        <v>49</v>
      </c>
      <c r="AG10" s="25"/>
      <c r="AH10" s="47">
        <f t="shared" si="2"/>
        <v>5</v>
      </c>
      <c r="AI10" s="48">
        <f t="shared" si="3"/>
        <v>2</v>
      </c>
      <c r="AJ10" s="48">
        <f t="shared" si="4"/>
        <v>3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26.25" customHeight="1">
      <c r="A11" s="201" t="s">
        <v>237</v>
      </c>
      <c r="B11" s="202" t="s">
        <v>77</v>
      </c>
      <c r="C11" s="205" t="s">
        <v>49</v>
      </c>
      <c r="D11" s="58" t="s">
        <v>53</v>
      </c>
      <c r="E11" s="204" t="s">
        <v>53</v>
      </c>
      <c r="F11" s="208" t="s">
        <v>47</v>
      </c>
      <c r="G11" s="206" t="s">
        <v>45</v>
      </c>
      <c r="H11" s="206" t="s">
        <v>44</v>
      </c>
      <c r="I11" s="213" t="s">
        <v>49</v>
      </c>
      <c r="J11" s="213" t="s">
        <v>49</v>
      </c>
      <c r="K11" s="58" t="s">
        <v>53</v>
      </c>
      <c r="L11" s="204" t="s">
        <v>53</v>
      </c>
      <c r="M11" s="208" t="s">
        <v>47</v>
      </c>
      <c r="N11" s="206" t="s">
        <v>47</v>
      </c>
      <c r="O11" s="206" t="s">
        <v>45</v>
      </c>
      <c r="P11" s="206" t="s">
        <v>44</v>
      </c>
      <c r="Q11" s="57" t="s">
        <v>48</v>
      </c>
      <c r="R11" s="58" t="s">
        <v>53</v>
      </c>
      <c r="S11" s="204" t="s">
        <v>53</v>
      </c>
      <c r="T11" s="203" t="s">
        <v>46</v>
      </c>
      <c r="U11" s="206" t="s">
        <v>46</v>
      </c>
      <c r="V11" s="206" t="s">
        <v>45</v>
      </c>
      <c r="W11" s="206" t="s">
        <v>44</v>
      </c>
      <c r="X11" s="206" t="s">
        <v>43</v>
      </c>
      <c r="Y11" s="58" t="s">
        <v>53</v>
      </c>
      <c r="Z11" s="204" t="s">
        <v>53</v>
      </c>
      <c r="AA11" s="208" t="s">
        <v>47</v>
      </c>
      <c r="AB11" s="206" t="s">
        <v>43</v>
      </c>
      <c r="AC11" s="57" t="s">
        <v>48</v>
      </c>
      <c r="AD11" s="206" t="s">
        <v>45</v>
      </c>
      <c r="AE11" s="206" t="s">
        <v>43</v>
      </c>
      <c r="AF11" s="204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26.25" customHeight="1">
      <c r="A12" s="201" t="s">
        <v>238</v>
      </c>
      <c r="B12" s="202" t="s">
        <v>80</v>
      </c>
      <c r="C12" s="205" t="s">
        <v>49</v>
      </c>
      <c r="D12" s="206" t="s">
        <v>43</v>
      </c>
      <c r="E12" s="204" t="s">
        <v>53</v>
      </c>
      <c r="F12" s="212" t="s">
        <v>53</v>
      </c>
      <c r="G12" s="81" t="s">
        <v>47</v>
      </c>
      <c r="H12" s="206" t="s">
        <v>47</v>
      </c>
      <c r="I12" s="206" t="s">
        <v>47</v>
      </c>
      <c r="J12" s="207" t="s">
        <v>43</v>
      </c>
      <c r="K12" s="207" t="s">
        <v>43</v>
      </c>
      <c r="L12" s="204" t="s">
        <v>53</v>
      </c>
      <c r="M12" s="212" t="s">
        <v>53</v>
      </c>
      <c r="N12" s="206" t="s">
        <v>47</v>
      </c>
      <c r="O12" s="206" t="s">
        <v>47</v>
      </c>
      <c r="P12" s="206" t="s">
        <v>43</v>
      </c>
      <c r="Q12" s="206" t="s">
        <v>43</v>
      </c>
      <c r="R12" s="206" t="s">
        <v>43</v>
      </c>
      <c r="S12" s="204" t="s">
        <v>53</v>
      </c>
      <c r="T12" s="212" t="s">
        <v>53</v>
      </c>
      <c r="U12" s="81" t="s">
        <v>47</v>
      </c>
      <c r="V12" s="81" t="s">
        <v>47</v>
      </c>
      <c r="W12" s="206" t="s">
        <v>47</v>
      </c>
      <c r="X12" s="206" t="s">
        <v>43</v>
      </c>
      <c r="Y12" s="206" t="s">
        <v>43</v>
      </c>
      <c r="Z12" s="204" t="s">
        <v>53</v>
      </c>
      <c r="AA12" s="212" t="s">
        <v>53</v>
      </c>
      <c r="AB12" s="81" t="s">
        <v>47</v>
      </c>
      <c r="AC12" s="81" t="s">
        <v>47</v>
      </c>
      <c r="AD12" s="206" t="s">
        <v>43</v>
      </c>
      <c r="AE12" s="206" t="s">
        <v>43</v>
      </c>
      <c r="AF12" s="214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26.25" customHeight="1">
      <c r="A13" s="201" t="s">
        <v>239</v>
      </c>
      <c r="B13" s="202" t="s">
        <v>83</v>
      </c>
      <c r="C13" s="203" t="s">
        <v>43</v>
      </c>
      <c r="D13" s="58" t="s">
        <v>53</v>
      </c>
      <c r="E13" s="204" t="s">
        <v>53</v>
      </c>
      <c r="F13" s="208" t="s">
        <v>47</v>
      </c>
      <c r="G13" s="206" t="s">
        <v>45</v>
      </c>
      <c r="H13" s="206" t="s">
        <v>45</v>
      </c>
      <c r="I13" s="206" t="s">
        <v>43</v>
      </c>
      <c r="J13" s="206" t="s">
        <v>43</v>
      </c>
      <c r="K13" s="58" t="s">
        <v>53</v>
      </c>
      <c r="L13" s="204" t="s">
        <v>53</v>
      </c>
      <c r="M13" s="203" t="s">
        <v>46</v>
      </c>
      <c r="N13" s="206" t="s">
        <v>46</v>
      </c>
      <c r="O13" s="206" t="s">
        <v>45</v>
      </c>
      <c r="P13" s="206" t="s">
        <v>45</v>
      </c>
      <c r="Q13" s="206" t="s">
        <v>44</v>
      </c>
      <c r="R13" s="58" t="s">
        <v>53</v>
      </c>
      <c r="S13" s="204" t="s">
        <v>53</v>
      </c>
      <c r="T13" s="205" t="s">
        <v>49</v>
      </c>
      <c r="U13" s="213" t="s">
        <v>49</v>
      </c>
      <c r="V13" s="213" t="s">
        <v>49</v>
      </c>
      <c r="W13" s="57" t="s">
        <v>48</v>
      </c>
      <c r="X13" s="57" t="s">
        <v>48</v>
      </c>
      <c r="Y13" s="58" t="s">
        <v>53</v>
      </c>
      <c r="Z13" s="204" t="s">
        <v>53</v>
      </c>
      <c r="AA13" s="203" t="s">
        <v>46</v>
      </c>
      <c r="AB13" s="206" t="s">
        <v>46</v>
      </c>
      <c r="AC13" s="206" t="s">
        <v>47</v>
      </c>
      <c r="AD13" s="206" t="s">
        <v>44</v>
      </c>
      <c r="AE13" s="206" t="s">
        <v>43</v>
      </c>
      <c r="AF13" s="204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26.25" customHeight="1">
      <c r="A14" s="201" t="s">
        <v>240</v>
      </c>
      <c r="B14" s="202" t="s">
        <v>86</v>
      </c>
      <c r="C14" s="203" t="s">
        <v>45</v>
      </c>
      <c r="D14" s="206" t="s">
        <v>43</v>
      </c>
      <c r="E14" s="204" t="s">
        <v>53</v>
      </c>
      <c r="F14" s="212" t="s">
        <v>53</v>
      </c>
      <c r="G14" s="57" t="s">
        <v>48</v>
      </c>
      <c r="H14" s="57" t="s">
        <v>48</v>
      </c>
      <c r="I14" s="57" t="s">
        <v>48</v>
      </c>
      <c r="J14" s="206" t="s">
        <v>47</v>
      </c>
      <c r="K14" s="206" t="s">
        <v>43</v>
      </c>
      <c r="L14" s="204" t="s">
        <v>53</v>
      </c>
      <c r="M14" s="212" t="s">
        <v>53</v>
      </c>
      <c r="N14" s="206" t="s">
        <v>45</v>
      </c>
      <c r="O14" s="206" t="s">
        <v>45</v>
      </c>
      <c r="P14" s="206" t="s">
        <v>45</v>
      </c>
      <c r="Q14" s="206" t="s">
        <v>44</v>
      </c>
      <c r="R14" s="57" t="s">
        <v>48</v>
      </c>
      <c r="S14" s="204" t="s">
        <v>53</v>
      </c>
      <c r="T14" s="212" t="s">
        <v>53</v>
      </c>
      <c r="U14" s="81" t="s">
        <v>47</v>
      </c>
      <c r="V14" s="206" t="s">
        <v>47</v>
      </c>
      <c r="W14" s="206" t="s">
        <v>45</v>
      </c>
      <c r="X14" s="206" t="s">
        <v>44</v>
      </c>
      <c r="Y14" s="206" t="s">
        <v>43</v>
      </c>
      <c r="Z14" s="204" t="s">
        <v>53</v>
      </c>
      <c r="AA14" s="212" t="s">
        <v>53</v>
      </c>
      <c r="AB14" s="81" t="s">
        <v>47</v>
      </c>
      <c r="AC14" s="206" t="s">
        <v>47</v>
      </c>
      <c r="AD14" s="206" t="s">
        <v>47</v>
      </c>
      <c r="AE14" s="57" t="s">
        <v>48</v>
      </c>
      <c r="AF14" s="223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26.25" customHeight="1">
      <c r="A15" s="201" t="s">
        <v>241</v>
      </c>
      <c r="B15" s="202" t="s">
        <v>89</v>
      </c>
      <c r="C15" s="203" t="s">
        <v>44</v>
      </c>
      <c r="D15" s="206" t="s">
        <v>44</v>
      </c>
      <c r="E15" s="214" t="s">
        <v>43</v>
      </c>
      <c r="F15" s="212" t="s">
        <v>53</v>
      </c>
      <c r="G15" s="58" t="s">
        <v>53</v>
      </c>
      <c r="H15" s="206" t="s">
        <v>45</v>
      </c>
      <c r="I15" s="206" t="s">
        <v>45</v>
      </c>
      <c r="J15" s="206" t="s">
        <v>43</v>
      </c>
      <c r="K15" s="57" t="s">
        <v>48</v>
      </c>
      <c r="L15" s="223" t="s">
        <v>48</v>
      </c>
      <c r="M15" s="212" t="s">
        <v>53</v>
      </c>
      <c r="N15" s="58" t="s">
        <v>53</v>
      </c>
      <c r="O15" s="206" t="s">
        <v>45</v>
      </c>
      <c r="P15" s="206" t="s">
        <v>45</v>
      </c>
      <c r="Q15" s="206" t="s">
        <v>45</v>
      </c>
      <c r="R15" s="206" t="s">
        <v>44</v>
      </c>
      <c r="S15" s="214" t="s">
        <v>43</v>
      </c>
      <c r="T15" s="212" t="s">
        <v>53</v>
      </c>
      <c r="U15" s="58" t="s">
        <v>53</v>
      </c>
      <c r="V15" s="206" t="s">
        <v>45</v>
      </c>
      <c r="W15" s="206" t="s">
        <v>45</v>
      </c>
      <c r="X15" s="206" t="s">
        <v>44</v>
      </c>
      <c r="Y15" s="206" t="s">
        <v>43</v>
      </c>
      <c r="Z15" s="224" t="s">
        <v>43</v>
      </c>
      <c r="AA15" s="212" t="s">
        <v>53</v>
      </c>
      <c r="AB15" s="58" t="s">
        <v>53</v>
      </c>
      <c r="AC15" s="57" t="s">
        <v>48</v>
      </c>
      <c r="AD15" s="206" t="s">
        <v>45</v>
      </c>
      <c r="AE15" s="206" t="s">
        <v>45</v>
      </c>
      <c r="AF15" s="214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26.25" customHeight="1">
      <c r="A16" s="201" t="s">
        <v>242</v>
      </c>
      <c r="B16" s="202" t="s">
        <v>92</v>
      </c>
      <c r="C16" s="205" t="s">
        <v>49</v>
      </c>
      <c r="D16" s="213" t="s">
        <v>49</v>
      </c>
      <c r="E16" s="222" t="s">
        <v>49</v>
      </c>
      <c r="F16" s="205" t="s">
        <v>49</v>
      </c>
      <c r="G16" s="213" t="s">
        <v>49</v>
      </c>
      <c r="H16" s="58" t="s">
        <v>53</v>
      </c>
      <c r="I16" s="58" t="s">
        <v>53</v>
      </c>
      <c r="J16" s="206" t="s">
        <v>46</v>
      </c>
      <c r="K16" s="206" t="s">
        <v>46</v>
      </c>
      <c r="L16" s="214" t="s">
        <v>45</v>
      </c>
      <c r="M16" s="203" t="s">
        <v>44</v>
      </c>
      <c r="N16" s="206" t="s">
        <v>43</v>
      </c>
      <c r="O16" s="58" t="s">
        <v>53</v>
      </c>
      <c r="P16" s="58" t="s">
        <v>53</v>
      </c>
      <c r="Q16" s="206" t="s">
        <v>46</v>
      </c>
      <c r="R16" s="206" t="s">
        <v>46</v>
      </c>
      <c r="S16" s="214" t="s">
        <v>45</v>
      </c>
      <c r="T16" s="203" t="s">
        <v>43</v>
      </c>
      <c r="U16" s="213" t="s">
        <v>49</v>
      </c>
      <c r="V16" s="58" t="s">
        <v>53</v>
      </c>
      <c r="W16" s="58" t="s">
        <v>53</v>
      </c>
      <c r="X16" s="81" t="s">
        <v>47</v>
      </c>
      <c r="Y16" s="81" t="s">
        <v>47</v>
      </c>
      <c r="Z16" s="214" t="s">
        <v>44</v>
      </c>
      <c r="AA16" s="205" t="s">
        <v>49</v>
      </c>
      <c r="AB16" s="225" t="s">
        <v>43</v>
      </c>
      <c r="AC16" s="58" t="s">
        <v>53</v>
      </c>
      <c r="AD16" s="58" t="s">
        <v>53</v>
      </c>
      <c r="AE16" s="81" t="s">
        <v>47</v>
      </c>
      <c r="AF16" s="226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26.25" customHeight="1">
      <c r="A17" s="209" t="s">
        <v>243</v>
      </c>
      <c r="B17" s="202" t="s">
        <v>95</v>
      </c>
      <c r="C17" s="212" t="s">
        <v>53</v>
      </c>
      <c r="D17" s="58" t="s">
        <v>53</v>
      </c>
      <c r="E17" s="226" t="s">
        <v>47</v>
      </c>
      <c r="F17" s="203" t="s">
        <v>46</v>
      </c>
      <c r="G17" s="206" t="s">
        <v>44</v>
      </c>
      <c r="H17" s="206" t="s">
        <v>43</v>
      </c>
      <c r="I17" s="206" t="s">
        <v>43</v>
      </c>
      <c r="J17" s="58" t="s">
        <v>53</v>
      </c>
      <c r="K17" s="58" t="s">
        <v>53</v>
      </c>
      <c r="L17" s="223" t="s">
        <v>48</v>
      </c>
      <c r="M17" s="203" t="s">
        <v>45</v>
      </c>
      <c r="N17" s="206" t="s">
        <v>45</v>
      </c>
      <c r="O17" s="206" t="s">
        <v>45</v>
      </c>
      <c r="P17" s="206" t="s">
        <v>44</v>
      </c>
      <c r="Q17" s="58" t="s">
        <v>53</v>
      </c>
      <c r="R17" s="58" t="s">
        <v>53</v>
      </c>
      <c r="S17" s="223" t="s">
        <v>48</v>
      </c>
      <c r="T17" s="208" t="s">
        <v>47</v>
      </c>
      <c r="U17" s="206" t="s">
        <v>45</v>
      </c>
      <c r="V17" s="206" t="s">
        <v>45</v>
      </c>
      <c r="W17" s="206" t="s">
        <v>44</v>
      </c>
      <c r="X17" s="58" t="s">
        <v>53</v>
      </c>
      <c r="Y17" s="58" t="s">
        <v>53</v>
      </c>
      <c r="Z17" s="226" t="s">
        <v>47</v>
      </c>
      <c r="AA17" s="203" t="s">
        <v>47</v>
      </c>
      <c r="AB17" s="217" t="s">
        <v>47</v>
      </c>
      <c r="AC17" s="57" t="s">
        <v>48</v>
      </c>
      <c r="AD17" s="57" t="s">
        <v>48</v>
      </c>
      <c r="AE17" s="58" t="s">
        <v>53</v>
      </c>
      <c r="AF17" s="204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26.25" customHeight="1">
      <c r="A18" s="209" t="s">
        <v>244</v>
      </c>
      <c r="B18" s="202" t="s">
        <v>98</v>
      </c>
      <c r="C18" s="203" t="s">
        <v>43</v>
      </c>
      <c r="D18" s="206" t="s">
        <v>43</v>
      </c>
      <c r="E18" s="204" t="s">
        <v>53</v>
      </c>
      <c r="F18" s="212" t="s">
        <v>53</v>
      </c>
      <c r="G18" s="217" t="s">
        <v>47</v>
      </c>
      <c r="H18" s="206" t="s">
        <v>47</v>
      </c>
      <c r="I18" s="206" t="s">
        <v>44</v>
      </c>
      <c r="J18" s="206" t="s">
        <v>44</v>
      </c>
      <c r="K18" s="206" t="s">
        <v>43</v>
      </c>
      <c r="L18" s="204" t="s">
        <v>53</v>
      </c>
      <c r="M18" s="212" t="s">
        <v>53</v>
      </c>
      <c r="N18" s="81" t="s">
        <v>47</v>
      </c>
      <c r="O18" s="206" t="s">
        <v>47</v>
      </c>
      <c r="P18" s="206" t="s">
        <v>45</v>
      </c>
      <c r="Q18" s="206" t="s">
        <v>45</v>
      </c>
      <c r="R18" s="206" t="s">
        <v>43</v>
      </c>
      <c r="S18" s="204" t="s">
        <v>53</v>
      </c>
      <c r="T18" s="212" t="s">
        <v>53</v>
      </c>
      <c r="U18" s="81" t="s">
        <v>47</v>
      </c>
      <c r="V18" s="206" t="s">
        <v>46</v>
      </c>
      <c r="W18" s="206" t="s">
        <v>45</v>
      </c>
      <c r="X18" s="206" t="s">
        <v>45</v>
      </c>
      <c r="Y18" s="206" t="s">
        <v>43</v>
      </c>
      <c r="Z18" s="204" t="s">
        <v>53</v>
      </c>
      <c r="AA18" s="212" t="s">
        <v>53</v>
      </c>
      <c r="AB18" s="81" t="s">
        <v>47</v>
      </c>
      <c r="AC18" s="206" t="s">
        <v>46</v>
      </c>
      <c r="AD18" s="206" t="s">
        <v>46</v>
      </c>
      <c r="AE18" s="206" t="s">
        <v>44</v>
      </c>
      <c r="AF18" s="214" t="s">
        <v>43</v>
      </c>
      <c r="AG18" s="25"/>
      <c r="AH18" s="47">
        <f t="shared" si="2"/>
        <v>9</v>
      </c>
      <c r="AI18" s="48">
        <f t="shared" si="3"/>
        <v>6</v>
      </c>
      <c r="AJ18" s="48">
        <f t="shared" si="4"/>
        <v>3</v>
      </c>
      <c r="AK18" s="49">
        <f t="shared" si="5"/>
        <v>4</v>
      </c>
      <c r="AL18" s="50">
        <f t="shared" si="6"/>
        <v>3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26.25" customHeight="1">
      <c r="A19" s="201" t="s">
        <v>245</v>
      </c>
      <c r="B19" s="202" t="s">
        <v>101</v>
      </c>
      <c r="C19" s="212" t="s">
        <v>53</v>
      </c>
      <c r="D19" s="58" t="s">
        <v>53</v>
      </c>
      <c r="E19" s="214" t="s">
        <v>47</v>
      </c>
      <c r="F19" s="203" t="s">
        <v>47</v>
      </c>
      <c r="G19" s="206" t="s">
        <v>45</v>
      </c>
      <c r="H19" s="219" t="s">
        <v>45</v>
      </c>
      <c r="I19" s="57" t="s">
        <v>48</v>
      </c>
      <c r="J19" s="58" t="s">
        <v>53</v>
      </c>
      <c r="K19" s="58" t="s">
        <v>53</v>
      </c>
      <c r="L19" s="223" t="s">
        <v>48</v>
      </c>
      <c r="M19" s="208" t="s">
        <v>47</v>
      </c>
      <c r="N19" s="206" t="s">
        <v>45</v>
      </c>
      <c r="O19" s="206" t="s">
        <v>43</v>
      </c>
      <c r="P19" s="206" t="s">
        <v>43</v>
      </c>
      <c r="Q19" s="58" t="s">
        <v>53</v>
      </c>
      <c r="R19" s="58" t="s">
        <v>53</v>
      </c>
      <c r="S19" s="226" t="s">
        <v>47</v>
      </c>
      <c r="T19" s="203" t="s">
        <v>47</v>
      </c>
      <c r="U19" s="206" t="s">
        <v>45</v>
      </c>
      <c r="V19" s="206" t="s">
        <v>43</v>
      </c>
      <c r="W19" s="206" t="s">
        <v>43</v>
      </c>
      <c r="X19" s="58" t="s">
        <v>53</v>
      </c>
      <c r="Y19" s="58" t="s">
        <v>53</v>
      </c>
      <c r="Z19" s="223" t="s">
        <v>48</v>
      </c>
      <c r="AA19" s="208" t="s">
        <v>47</v>
      </c>
      <c r="AB19" s="206" t="s">
        <v>45</v>
      </c>
      <c r="AC19" s="206" t="s">
        <v>45</v>
      </c>
      <c r="AD19" s="206" t="s">
        <v>45</v>
      </c>
      <c r="AE19" s="58" t="s">
        <v>53</v>
      </c>
      <c r="AF19" s="204" t="s">
        <v>53</v>
      </c>
      <c r="AG19" s="25"/>
      <c r="AH19" s="47">
        <f t="shared" si="2"/>
        <v>4</v>
      </c>
      <c r="AI19" s="48">
        <f t="shared" si="3"/>
        <v>4</v>
      </c>
      <c r="AJ19" s="48">
        <f t="shared" si="4"/>
        <v>0</v>
      </c>
      <c r="AK19" s="49">
        <f t="shared" si="5"/>
        <v>7</v>
      </c>
      <c r="AL19" s="50">
        <f t="shared" si="6"/>
        <v>0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26.25" customHeight="1">
      <c r="A20" s="209" t="s">
        <v>246</v>
      </c>
      <c r="B20" s="202" t="s">
        <v>104</v>
      </c>
      <c r="C20" s="212" t="s">
        <v>53</v>
      </c>
      <c r="D20" s="81" t="s">
        <v>47</v>
      </c>
      <c r="E20" s="226" t="s">
        <v>47</v>
      </c>
      <c r="F20" s="203" t="s">
        <v>46</v>
      </c>
      <c r="G20" s="206" t="s">
        <v>45</v>
      </c>
      <c r="H20" s="206" t="s">
        <v>43</v>
      </c>
      <c r="I20" s="58" t="s">
        <v>53</v>
      </c>
      <c r="J20" s="58" t="s">
        <v>53</v>
      </c>
      <c r="K20" s="81" t="s">
        <v>47</v>
      </c>
      <c r="L20" s="226" t="s">
        <v>47</v>
      </c>
      <c r="M20" s="57" t="s">
        <v>48</v>
      </c>
      <c r="N20" s="206" t="s">
        <v>46</v>
      </c>
      <c r="O20" s="206" t="s">
        <v>44</v>
      </c>
      <c r="P20" s="58" t="s">
        <v>53</v>
      </c>
      <c r="Q20" s="58" t="s">
        <v>53</v>
      </c>
      <c r="R20" s="81" t="s">
        <v>47</v>
      </c>
      <c r="S20" s="214" t="s">
        <v>46</v>
      </c>
      <c r="T20" s="57" t="s">
        <v>48</v>
      </c>
      <c r="U20" s="206" t="s">
        <v>45</v>
      </c>
      <c r="V20" s="206" t="s">
        <v>44</v>
      </c>
      <c r="W20" s="58" t="s">
        <v>53</v>
      </c>
      <c r="X20" s="58" t="s">
        <v>53</v>
      </c>
      <c r="Y20" s="81" t="s">
        <v>47</v>
      </c>
      <c r="Z20" s="214" t="s">
        <v>46</v>
      </c>
      <c r="AA20" s="203" t="s">
        <v>46</v>
      </c>
      <c r="AB20" s="206" t="s">
        <v>44</v>
      </c>
      <c r="AC20" s="206" t="s">
        <v>43</v>
      </c>
      <c r="AD20" s="58" t="s">
        <v>53</v>
      </c>
      <c r="AE20" s="58" t="s">
        <v>53</v>
      </c>
      <c r="AF20" s="227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26.25" customHeight="1">
      <c r="A21" s="201" t="s">
        <v>247</v>
      </c>
      <c r="B21" s="228" t="s">
        <v>107</v>
      </c>
      <c r="C21" s="221" t="s">
        <v>43</v>
      </c>
      <c r="D21" s="58" t="s">
        <v>53</v>
      </c>
      <c r="E21" s="220" t="s">
        <v>43</v>
      </c>
      <c r="F21" s="221" t="s">
        <v>43</v>
      </c>
      <c r="G21" s="58" t="s">
        <v>53</v>
      </c>
      <c r="H21" s="219" t="s">
        <v>43</v>
      </c>
      <c r="I21" s="219" t="s">
        <v>43</v>
      </c>
      <c r="J21" s="219" t="s">
        <v>43</v>
      </c>
      <c r="K21" s="58" t="s">
        <v>53</v>
      </c>
      <c r="L21" s="229" t="s">
        <v>43</v>
      </c>
      <c r="M21" s="215" t="s">
        <v>43</v>
      </c>
      <c r="N21" s="58" t="s">
        <v>53</v>
      </c>
      <c r="O21" s="219" t="s">
        <v>43</v>
      </c>
      <c r="P21" s="219" t="s">
        <v>43</v>
      </c>
      <c r="Q21" s="219" t="s">
        <v>43</v>
      </c>
      <c r="R21" s="58" t="s">
        <v>53</v>
      </c>
      <c r="S21" s="220" t="s">
        <v>43</v>
      </c>
      <c r="T21" s="221" t="s">
        <v>43</v>
      </c>
      <c r="U21" s="58" t="s">
        <v>53</v>
      </c>
      <c r="V21" s="219" t="s">
        <v>43</v>
      </c>
      <c r="W21" s="219" t="s">
        <v>43</v>
      </c>
      <c r="X21" s="219" t="s">
        <v>43</v>
      </c>
      <c r="Y21" s="58" t="s">
        <v>53</v>
      </c>
      <c r="Z21" s="220" t="s">
        <v>43</v>
      </c>
      <c r="AA21" s="221" t="s">
        <v>43</v>
      </c>
      <c r="AB21" s="58" t="s">
        <v>53</v>
      </c>
      <c r="AC21" s="219" t="s">
        <v>43</v>
      </c>
      <c r="AD21" s="219" t="s">
        <v>43</v>
      </c>
      <c r="AE21" s="219" t="s">
        <v>43</v>
      </c>
      <c r="AF21" s="204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26.25" customHeight="1">
      <c r="A22" s="209" t="s">
        <v>248</v>
      </c>
      <c r="B22" s="202" t="s">
        <v>110</v>
      </c>
      <c r="C22" s="212" t="s">
        <v>53</v>
      </c>
      <c r="D22" s="213" t="s">
        <v>49</v>
      </c>
      <c r="E22" s="226" t="s">
        <v>47</v>
      </c>
      <c r="F22" s="203" t="s">
        <v>46</v>
      </c>
      <c r="G22" s="206" t="s">
        <v>45</v>
      </c>
      <c r="H22" s="206" t="s">
        <v>44</v>
      </c>
      <c r="I22" s="58" t="s">
        <v>53</v>
      </c>
      <c r="J22" s="58" t="s">
        <v>53</v>
      </c>
      <c r="K22" s="81" t="s">
        <v>47</v>
      </c>
      <c r="L22" s="214" t="s">
        <v>46</v>
      </c>
      <c r="M22" s="203" t="s">
        <v>46</v>
      </c>
      <c r="N22" s="206" t="s">
        <v>44</v>
      </c>
      <c r="O22" s="213" t="s">
        <v>49</v>
      </c>
      <c r="P22" s="58" t="s">
        <v>53</v>
      </c>
      <c r="Q22" s="58" t="s">
        <v>53</v>
      </c>
      <c r="R22" s="81" t="s">
        <v>47</v>
      </c>
      <c r="S22" s="214" t="s">
        <v>46</v>
      </c>
      <c r="T22" s="203" t="s">
        <v>44</v>
      </c>
      <c r="U22" s="206" t="s">
        <v>43</v>
      </c>
      <c r="V22" s="213" t="s">
        <v>49</v>
      </c>
      <c r="W22" s="58" t="s">
        <v>53</v>
      </c>
      <c r="X22" s="58" t="s">
        <v>53</v>
      </c>
      <c r="Y22" s="81" t="s">
        <v>47</v>
      </c>
      <c r="Z22" s="214" t="s">
        <v>46</v>
      </c>
      <c r="AA22" s="203" t="s">
        <v>46</v>
      </c>
      <c r="AB22" s="206" t="s">
        <v>45</v>
      </c>
      <c r="AC22" s="206" t="s">
        <v>43</v>
      </c>
      <c r="AD22" s="58" t="s">
        <v>53</v>
      </c>
      <c r="AE22" s="58" t="s">
        <v>53</v>
      </c>
      <c r="AF22" s="227" t="s">
        <v>47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6</v>
      </c>
      <c r="AM22" s="51">
        <f t="shared" si="7"/>
        <v>5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26.25" customHeight="1">
      <c r="A23" s="201" t="s">
        <v>249</v>
      </c>
      <c r="B23" s="202" t="s">
        <v>113</v>
      </c>
      <c r="C23" s="212" t="s">
        <v>53</v>
      </c>
      <c r="D23" s="58" t="s">
        <v>53</v>
      </c>
      <c r="E23" s="222" t="s">
        <v>49</v>
      </c>
      <c r="F23" s="203" t="s">
        <v>45</v>
      </c>
      <c r="G23" s="206" t="s">
        <v>43</v>
      </c>
      <c r="H23" s="213" t="s">
        <v>49</v>
      </c>
      <c r="I23" s="213" t="s">
        <v>49</v>
      </c>
      <c r="J23" s="58" t="s">
        <v>53</v>
      </c>
      <c r="K23" s="58" t="s">
        <v>53</v>
      </c>
      <c r="L23" s="222" t="s">
        <v>49</v>
      </c>
      <c r="M23" s="230" t="s">
        <v>45</v>
      </c>
      <c r="N23" s="207" t="s">
        <v>43</v>
      </c>
      <c r="O23" s="207" t="s">
        <v>43</v>
      </c>
      <c r="P23" s="57" t="s">
        <v>48</v>
      </c>
      <c r="Q23" s="58" t="s">
        <v>53</v>
      </c>
      <c r="R23" s="58" t="s">
        <v>53</v>
      </c>
      <c r="S23" s="227" t="s">
        <v>47</v>
      </c>
      <c r="T23" s="231" t="s">
        <v>47</v>
      </c>
      <c r="U23" s="207" t="s">
        <v>44</v>
      </c>
      <c r="V23" s="207" t="s">
        <v>43</v>
      </c>
      <c r="W23" s="57" t="s">
        <v>48</v>
      </c>
      <c r="X23" s="58" t="s">
        <v>53</v>
      </c>
      <c r="Y23" s="58" t="s">
        <v>53</v>
      </c>
      <c r="Z23" s="227" t="s">
        <v>47</v>
      </c>
      <c r="AA23" s="203" t="s">
        <v>45</v>
      </c>
      <c r="AB23" s="206" t="s">
        <v>45</v>
      </c>
      <c r="AC23" s="207" t="s">
        <v>45</v>
      </c>
      <c r="AD23" s="207" t="s">
        <v>43</v>
      </c>
      <c r="AE23" s="58" t="s">
        <v>53</v>
      </c>
      <c r="AF23" s="204" t="s">
        <v>53</v>
      </c>
      <c r="AG23" s="25"/>
      <c r="AH23" s="47">
        <f t="shared" si="2"/>
        <v>6</v>
      </c>
      <c r="AI23" s="48">
        <f t="shared" si="3"/>
        <v>5</v>
      </c>
      <c r="AJ23" s="48">
        <f t="shared" si="4"/>
        <v>1</v>
      </c>
      <c r="AK23" s="49">
        <f t="shared" si="5"/>
        <v>5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26.25" customHeight="1">
      <c r="A24" s="209" t="s">
        <v>250</v>
      </c>
      <c r="B24" s="202" t="s">
        <v>116</v>
      </c>
      <c r="C24" s="210" t="s">
        <v>47</v>
      </c>
      <c r="D24" s="207" t="s">
        <v>45</v>
      </c>
      <c r="E24" s="224" t="s">
        <v>45</v>
      </c>
      <c r="F24" s="230" t="s">
        <v>43</v>
      </c>
      <c r="G24" s="58" t="s">
        <v>53</v>
      </c>
      <c r="H24" s="58" t="s">
        <v>53</v>
      </c>
      <c r="I24" s="206" t="s">
        <v>44</v>
      </c>
      <c r="J24" s="213" t="s">
        <v>49</v>
      </c>
      <c r="K24" s="213" t="s">
        <v>49</v>
      </c>
      <c r="L24" s="222" t="s">
        <v>49</v>
      </c>
      <c r="M24" s="205" t="s">
        <v>49</v>
      </c>
      <c r="N24" s="58" t="s">
        <v>53</v>
      </c>
      <c r="O24" s="58" t="s">
        <v>53</v>
      </c>
      <c r="P24" s="206" t="s">
        <v>45</v>
      </c>
      <c r="Q24" s="206" t="s">
        <v>45</v>
      </c>
      <c r="R24" s="206" t="s">
        <v>45</v>
      </c>
      <c r="S24" s="214" t="s">
        <v>44</v>
      </c>
      <c r="T24" s="203" t="s">
        <v>43</v>
      </c>
      <c r="U24" s="58" t="s">
        <v>53</v>
      </c>
      <c r="V24" s="58" t="s">
        <v>53</v>
      </c>
      <c r="W24" s="213" t="s">
        <v>49</v>
      </c>
      <c r="X24" s="206" t="s">
        <v>45</v>
      </c>
      <c r="Y24" s="206" t="s">
        <v>45</v>
      </c>
      <c r="Z24" s="214" t="s">
        <v>43</v>
      </c>
      <c r="AA24" s="203" t="s">
        <v>43</v>
      </c>
      <c r="AB24" s="58" t="s">
        <v>53</v>
      </c>
      <c r="AC24" s="58" t="s">
        <v>53</v>
      </c>
      <c r="AD24" s="213" t="s">
        <v>49</v>
      </c>
      <c r="AE24" s="81" t="s">
        <v>47</v>
      </c>
      <c r="AF24" s="214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26.25" customHeight="1">
      <c r="A25" s="201" t="s">
        <v>251</v>
      </c>
      <c r="B25" s="202" t="s">
        <v>119</v>
      </c>
      <c r="C25" s="212" t="s">
        <v>53</v>
      </c>
      <c r="D25" s="58" t="s">
        <v>53</v>
      </c>
      <c r="E25" s="222" t="s">
        <v>49</v>
      </c>
      <c r="F25" s="205" t="s">
        <v>49</v>
      </c>
      <c r="G25" s="81" t="s">
        <v>47</v>
      </c>
      <c r="H25" s="206" t="s">
        <v>43</v>
      </c>
      <c r="I25" s="206" t="s">
        <v>43</v>
      </c>
      <c r="J25" s="58" t="s">
        <v>53</v>
      </c>
      <c r="K25" s="58" t="s">
        <v>53</v>
      </c>
      <c r="L25" s="226" t="s">
        <v>47</v>
      </c>
      <c r="M25" s="203" t="s">
        <v>47</v>
      </c>
      <c r="N25" s="206" t="s">
        <v>43</v>
      </c>
      <c r="O25" s="206" t="s">
        <v>43</v>
      </c>
      <c r="P25" s="213" t="s">
        <v>49</v>
      </c>
      <c r="Q25" s="58" t="s">
        <v>53</v>
      </c>
      <c r="R25" s="58" t="s">
        <v>53</v>
      </c>
      <c r="S25" s="223" t="s">
        <v>48</v>
      </c>
      <c r="T25" s="208" t="s">
        <v>47</v>
      </c>
      <c r="U25" s="206" t="s">
        <v>43</v>
      </c>
      <c r="V25" s="206" t="s">
        <v>43</v>
      </c>
      <c r="W25" s="206" t="s">
        <v>43</v>
      </c>
      <c r="X25" s="58" t="s">
        <v>53</v>
      </c>
      <c r="Y25" s="58" t="s">
        <v>53</v>
      </c>
      <c r="Z25" s="226" t="s">
        <v>47</v>
      </c>
      <c r="AA25" s="208" t="s">
        <v>47</v>
      </c>
      <c r="AB25" s="206" t="s">
        <v>43</v>
      </c>
      <c r="AC25" s="206" t="s">
        <v>43</v>
      </c>
      <c r="AD25" s="57" t="s">
        <v>48</v>
      </c>
      <c r="AE25" s="58" t="s">
        <v>53</v>
      </c>
      <c r="AF25" s="204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26.25" customHeight="1">
      <c r="A26" s="209" t="s">
        <v>252</v>
      </c>
      <c r="B26" s="202" t="s">
        <v>122</v>
      </c>
      <c r="C26" s="230" t="s">
        <v>46</v>
      </c>
      <c r="D26" s="207" t="s">
        <v>45</v>
      </c>
      <c r="E26" s="224" t="s">
        <v>45</v>
      </c>
      <c r="F26" s="203" t="s">
        <v>44</v>
      </c>
      <c r="G26" s="58" t="s">
        <v>53</v>
      </c>
      <c r="H26" s="58" t="s">
        <v>53</v>
      </c>
      <c r="I26" s="81" t="s">
        <v>47</v>
      </c>
      <c r="J26" s="207" t="s">
        <v>46</v>
      </c>
      <c r="K26" s="207" t="s">
        <v>45</v>
      </c>
      <c r="L26" s="214" t="s">
        <v>44</v>
      </c>
      <c r="M26" s="203" t="s">
        <v>43</v>
      </c>
      <c r="N26" s="58" t="s">
        <v>53</v>
      </c>
      <c r="O26" s="58" t="s">
        <v>53</v>
      </c>
      <c r="P26" s="81" t="s">
        <v>47</v>
      </c>
      <c r="Q26" s="206" t="s">
        <v>45</v>
      </c>
      <c r="R26" s="206" t="s">
        <v>43</v>
      </c>
      <c r="S26" s="214" t="s">
        <v>43</v>
      </c>
      <c r="T26" s="232" t="s">
        <v>48</v>
      </c>
      <c r="U26" s="58" t="s">
        <v>53</v>
      </c>
      <c r="V26" s="58" t="s">
        <v>53</v>
      </c>
      <c r="W26" s="57" t="s">
        <v>48</v>
      </c>
      <c r="X26" s="57" t="s">
        <v>48</v>
      </c>
      <c r="Y26" s="57" t="s">
        <v>48</v>
      </c>
      <c r="Z26" s="214" t="s">
        <v>45</v>
      </c>
      <c r="AA26" s="203" t="s">
        <v>43</v>
      </c>
      <c r="AB26" s="58" t="s">
        <v>53</v>
      </c>
      <c r="AC26" s="58" t="s">
        <v>53</v>
      </c>
      <c r="AD26" s="57" t="s">
        <v>48</v>
      </c>
      <c r="AE26" s="57" t="s">
        <v>48</v>
      </c>
      <c r="AF26" s="226" t="s">
        <v>47</v>
      </c>
      <c r="AG26" s="25"/>
      <c r="AH26" s="47">
        <f t="shared" si="2"/>
        <v>6</v>
      </c>
      <c r="AI26" s="48">
        <f t="shared" si="3"/>
        <v>4</v>
      </c>
      <c r="AJ26" s="48">
        <f t="shared" si="4"/>
        <v>2</v>
      </c>
      <c r="AK26" s="49">
        <f t="shared" si="5"/>
        <v>5</v>
      </c>
      <c r="AL26" s="50">
        <f t="shared" si="6"/>
        <v>2</v>
      </c>
      <c r="AM26" s="51">
        <f t="shared" si="7"/>
        <v>3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26.25" customHeight="1">
      <c r="A27" s="209" t="s">
        <v>253</v>
      </c>
      <c r="B27" s="228" t="s">
        <v>125</v>
      </c>
      <c r="C27" s="230" t="s">
        <v>46</v>
      </c>
      <c r="D27" s="207" t="s">
        <v>45</v>
      </c>
      <c r="E27" s="224" t="s">
        <v>43</v>
      </c>
      <c r="F27" s="230" t="s">
        <v>43</v>
      </c>
      <c r="G27" s="58" t="s">
        <v>53</v>
      </c>
      <c r="H27" s="58" t="s">
        <v>53</v>
      </c>
      <c r="I27" s="206" t="s">
        <v>46</v>
      </c>
      <c r="J27" s="207" t="s">
        <v>45</v>
      </c>
      <c r="K27" s="207" t="s">
        <v>45</v>
      </c>
      <c r="L27" s="224" t="s">
        <v>43</v>
      </c>
      <c r="M27" s="230" t="s">
        <v>43</v>
      </c>
      <c r="N27" s="58" t="s">
        <v>53</v>
      </c>
      <c r="O27" s="58" t="s">
        <v>53</v>
      </c>
      <c r="P27" s="206" t="s">
        <v>47</v>
      </c>
      <c r="Q27" s="207" t="s">
        <v>47</v>
      </c>
      <c r="R27" s="207" t="s">
        <v>47</v>
      </c>
      <c r="S27" s="214" t="s">
        <v>44</v>
      </c>
      <c r="T27" s="203" t="s">
        <v>43</v>
      </c>
      <c r="U27" s="58" t="s">
        <v>53</v>
      </c>
      <c r="V27" s="58" t="s">
        <v>53</v>
      </c>
      <c r="W27" s="81" t="s">
        <v>47</v>
      </c>
      <c r="X27" s="81" t="s">
        <v>47</v>
      </c>
      <c r="Y27" s="81" t="s">
        <v>47</v>
      </c>
      <c r="Z27" s="214" t="s">
        <v>45</v>
      </c>
      <c r="AA27" s="205" t="s">
        <v>49</v>
      </c>
      <c r="AB27" s="58" t="s">
        <v>53</v>
      </c>
      <c r="AC27" s="58" t="s">
        <v>53</v>
      </c>
      <c r="AD27" s="206" t="s">
        <v>47</v>
      </c>
      <c r="AE27" s="206" t="s">
        <v>45</v>
      </c>
      <c r="AF27" s="214" t="s">
        <v>44</v>
      </c>
      <c r="AG27" s="25"/>
      <c r="AH27" s="47">
        <f t="shared" si="2"/>
        <v>7</v>
      </c>
      <c r="AI27" s="48">
        <f t="shared" si="3"/>
        <v>5</v>
      </c>
      <c r="AJ27" s="48">
        <f t="shared" si="4"/>
        <v>2</v>
      </c>
      <c r="AK27" s="49">
        <f t="shared" si="5"/>
        <v>5</v>
      </c>
      <c r="AL27" s="50">
        <f t="shared" si="6"/>
        <v>2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26.25" customHeight="1">
      <c r="A28" s="201" t="s">
        <v>254</v>
      </c>
      <c r="B28" s="202" t="s">
        <v>128</v>
      </c>
      <c r="C28" s="212" t="s">
        <v>53</v>
      </c>
      <c r="D28" s="58" t="s">
        <v>53</v>
      </c>
      <c r="E28" s="214" t="s">
        <v>46</v>
      </c>
      <c r="F28" s="203" t="s">
        <v>45</v>
      </c>
      <c r="G28" s="213" t="s">
        <v>49</v>
      </c>
      <c r="H28" s="206" t="s">
        <v>45</v>
      </c>
      <c r="I28" s="206" t="s">
        <v>43</v>
      </c>
      <c r="J28" s="58" t="s">
        <v>53</v>
      </c>
      <c r="K28" s="58" t="s">
        <v>53</v>
      </c>
      <c r="L28" s="226" t="s">
        <v>47</v>
      </c>
      <c r="M28" s="213" t="s">
        <v>49</v>
      </c>
      <c r="N28" s="213" t="s">
        <v>49</v>
      </c>
      <c r="O28" s="206" t="s">
        <v>44</v>
      </c>
      <c r="P28" s="206" t="s">
        <v>43</v>
      </c>
      <c r="Q28" s="58" t="s">
        <v>53</v>
      </c>
      <c r="R28" s="58" t="s">
        <v>53</v>
      </c>
      <c r="S28" s="226" t="s">
        <v>47</v>
      </c>
      <c r="T28" s="203" t="s">
        <v>45</v>
      </c>
      <c r="U28" s="213" t="s">
        <v>49</v>
      </c>
      <c r="V28" s="206" t="s">
        <v>44</v>
      </c>
      <c r="W28" s="206" t="s">
        <v>43</v>
      </c>
      <c r="X28" s="58" t="s">
        <v>53</v>
      </c>
      <c r="Y28" s="58" t="s">
        <v>53</v>
      </c>
      <c r="Z28" s="226" t="s">
        <v>47</v>
      </c>
      <c r="AA28" s="230" t="s">
        <v>45</v>
      </c>
      <c r="AB28" s="213" t="s">
        <v>49</v>
      </c>
      <c r="AC28" s="206" t="s">
        <v>44</v>
      </c>
      <c r="AD28" s="206" t="s">
        <v>43</v>
      </c>
      <c r="AE28" s="58" t="s">
        <v>53</v>
      </c>
      <c r="AF28" s="204" t="s">
        <v>53</v>
      </c>
      <c r="AG28" s="25"/>
      <c r="AH28" s="47">
        <f t="shared" si="2"/>
        <v>7</v>
      </c>
      <c r="AI28" s="48">
        <f t="shared" si="3"/>
        <v>4</v>
      </c>
      <c r="AJ28" s="48">
        <f t="shared" si="4"/>
        <v>3</v>
      </c>
      <c r="AK28" s="49">
        <f t="shared" si="5"/>
        <v>4</v>
      </c>
      <c r="AL28" s="50">
        <f t="shared" si="6"/>
        <v>1</v>
      </c>
      <c r="AM28" s="51">
        <f t="shared" si="7"/>
        <v>3</v>
      </c>
      <c r="AN28" s="52">
        <f t="shared" ref="AN28:AO28" si="30">COUNTIF($C28:$AF28,"PH")</f>
        <v>5</v>
      </c>
      <c r="AO28" s="52">
        <f t="shared" si="30"/>
        <v>5</v>
      </c>
      <c r="AP28" s="67"/>
      <c r="AQ28" s="67"/>
      <c r="AR28" s="67"/>
      <c r="AS28" s="67"/>
      <c r="AT28" s="67"/>
    </row>
    <row r="29" ht="26.25" customHeight="1">
      <c r="A29" s="201" t="s">
        <v>255</v>
      </c>
      <c r="B29" s="202" t="s">
        <v>131</v>
      </c>
      <c r="C29" s="203" t="s">
        <v>45</v>
      </c>
      <c r="D29" s="206" t="s">
        <v>44</v>
      </c>
      <c r="E29" s="214" t="s">
        <v>43</v>
      </c>
      <c r="F29" s="212" t="s">
        <v>53</v>
      </c>
      <c r="G29" s="58" t="s">
        <v>53</v>
      </c>
      <c r="H29" s="206" t="s">
        <v>45</v>
      </c>
      <c r="I29" s="206" t="s">
        <v>45</v>
      </c>
      <c r="J29" s="206" t="s">
        <v>45</v>
      </c>
      <c r="K29" s="206" t="s">
        <v>44</v>
      </c>
      <c r="L29" s="214" t="s">
        <v>43</v>
      </c>
      <c r="M29" s="212" t="s">
        <v>53</v>
      </c>
      <c r="N29" s="58" t="s">
        <v>53</v>
      </c>
      <c r="O29" s="213" t="s">
        <v>49</v>
      </c>
      <c r="P29" s="213" t="s">
        <v>49</v>
      </c>
      <c r="Q29" s="206" t="s">
        <v>45</v>
      </c>
      <c r="R29" s="206" t="s">
        <v>45</v>
      </c>
      <c r="S29" s="224" t="s">
        <v>43</v>
      </c>
      <c r="T29" s="212" t="s">
        <v>53</v>
      </c>
      <c r="U29" s="58" t="s">
        <v>53</v>
      </c>
      <c r="V29" s="213" t="s">
        <v>49</v>
      </c>
      <c r="W29" s="206" t="s">
        <v>45</v>
      </c>
      <c r="X29" s="206" t="s">
        <v>45</v>
      </c>
      <c r="Y29" s="213" t="s">
        <v>49</v>
      </c>
      <c r="Z29" s="222" t="s">
        <v>49</v>
      </c>
      <c r="AA29" s="212" t="s">
        <v>53</v>
      </c>
      <c r="AB29" s="58" t="s">
        <v>53</v>
      </c>
      <c r="AC29" s="206" t="s">
        <v>45</v>
      </c>
      <c r="AD29" s="206" t="s">
        <v>45</v>
      </c>
      <c r="AE29" s="206" t="s">
        <v>45</v>
      </c>
      <c r="AF29" s="214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26.25" customHeight="1">
      <c r="A30" s="201" t="s">
        <v>256</v>
      </c>
      <c r="B30" s="202" t="s">
        <v>134</v>
      </c>
      <c r="C30" s="205" t="s">
        <v>49</v>
      </c>
      <c r="D30" s="58" t="s">
        <v>53</v>
      </c>
      <c r="E30" s="204" t="s">
        <v>53</v>
      </c>
      <c r="F30" s="208" t="s">
        <v>47</v>
      </c>
      <c r="G30" s="206" t="s">
        <v>46</v>
      </c>
      <c r="H30" s="57" t="s">
        <v>48</v>
      </c>
      <c r="I30" s="57" t="s">
        <v>48</v>
      </c>
      <c r="J30" s="57" t="s">
        <v>48</v>
      </c>
      <c r="K30" s="58" t="s">
        <v>53</v>
      </c>
      <c r="L30" s="204" t="s">
        <v>53</v>
      </c>
      <c r="M30" s="203" t="s">
        <v>46</v>
      </c>
      <c r="N30" s="206" t="s">
        <v>46</v>
      </c>
      <c r="O30" s="206" t="s">
        <v>45</v>
      </c>
      <c r="P30" s="206" t="s">
        <v>43</v>
      </c>
      <c r="Q30" s="206" t="s">
        <v>43</v>
      </c>
      <c r="R30" s="58" t="s">
        <v>53</v>
      </c>
      <c r="S30" s="204" t="s">
        <v>53</v>
      </c>
      <c r="T30" s="208" t="s">
        <v>47</v>
      </c>
      <c r="U30" s="206" t="s">
        <v>46</v>
      </c>
      <c r="V30" s="206" t="s">
        <v>46</v>
      </c>
      <c r="W30" s="206" t="s">
        <v>46</v>
      </c>
      <c r="X30" s="206" t="s">
        <v>43</v>
      </c>
      <c r="Y30" s="58" t="s">
        <v>53</v>
      </c>
      <c r="Z30" s="204" t="s">
        <v>53</v>
      </c>
      <c r="AA30" s="203" t="s">
        <v>45</v>
      </c>
      <c r="AB30" s="206" t="s">
        <v>45</v>
      </c>
      <c r="AC30" s="206" t="s">
        <v>44</v>
      </c>
      <c r="AD30" s="206" t="s">
        <v>43</v>
      </c>
      <c r="AE30" s="206" t="s">
        <v>43</v>
      </c>
      <c r="AF30" s="204" t="s">
        <v>53</v>
      </c>
      <c r="AG30" s="25"/>
      <c r="AH30" s="47">
        <f t="shared" si="2"/>
        <v>6</v>
      </c>
      <c r="AI30" s="48">
        <f t="shared" si="3"/>
        <v>5</v>
      </c>
      <c r="AJ30" s="48">
        <f t="shared" si="4"/>
        <v>1</v>
      </c>
      <c r="AK30" s="49">
        <f t="shared" si="5"/>
        <v>3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26.25" customHeight="1">
      <c r="A31" s="201" t="s">
        <v>257</v>
      </c>
      <c r="B31" s="202" t="s">
        <v>137</v>
      </c>
      <c r="C31" s="203" t="s">
        <v>45</v>
      </c>
      <c r="D31" s="206" t="s">
        <v>44</v>
      </c>
      <c r="E31" s="214" t="s">
        <v>43</v>
      </c>
      <c r="F31" s="212" t="s">
        <v>53</v>
      </c>
      <c r="G31" s="58" t="s">
        <v>53</v>
      </c>
      <c r="H31" s="213" t="s">
        <v>49</v>
      </c>
      <c r="I31" s="206" t="s">
        <v>45</v>
      </c>
      <c r="J31" s="206" t="s">
        <v>45</v>
      </c>
      <c r="K31" s="206" t="s">
        <v>44</v>
      </c>
      <c r="L31" s="214" t="s">
        <v>43</v>
      </c>
      <c r="M31" s="212" t="s">
        <v>53</v>
      </c>
      <c r="N31" s="58" t="s">
        <v>53</v>
      </c>
      <c r="O31" s="213" t="s">
        <v>49</v>
      </c>
      <c r="P31" s="213" t="s">
        <v>49</v>
      </c>
      <c r="Q31" s="206" t="s">
        <v>45</v>
      </c>
      <c r="R31" s="206" t="s">
        <v>45</v>
      </c>
      <c r="S31" s="224" t="s">
        <v>43</v>
      </c>
      <c r="T31" s="212" t="s">
        <v>53</v>
      </c>
      <c r="U31" s="58" t="s">
        <v>53</v>
      </c>
      <c r="V31" s="206" t="s">
        <v>45</v>
      </c>
      <c r="W31" s="206" t="s">
        <v>45</v>
      </c>
      <c r="X31" s="206" t="s">
        <v>44</v>
      </c>
      <c r="Y31" s="213" t="s">
        <v>49</v>
      </c>
      <c r="Z31" s="222" t="s">
        <v>49</v>
      </c>
      <c r="AA31" s="58" t="s">
        <v>53</v>
      </c>
      <c r="AB31" s="58" t="s">
        <v>53</v>
      </c>
      <c r="AC31" s="206" t="s">
        <v>45</v>
      </c>
      <c r="AD31" s="206" t="s">
        <v>45</v>
      </c>
      <c r="AE31" s="206" t="s">
        <v>45</v>
      </c>
      <c r="AF31" s="214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26.25" customHeight="1">
      <c r="A32" s="201" t="s">
        <v>258</v>
      </c>
      <c r="B32" s="202" t="s">
        <v>140</v>
      </c>
      <c r="C32" s="203" t="s">
        <v>45</v>
      </c>
      <c r="D32" s="206" t="s">
        <v>45</v>
      </c>
      <c r="E32" s="214" t="s">
        <v>45</v>
      </c>
      <c r="F32" s="212" t="s">
        <v>53</v>
      </c>
      <c r="G32" s="58" t="s">
        <v>53</v>
      </c>
      <c r="H32" s="206" t="s">
        <v>46</v>
      </c>
      <c r="I32" s="206" t="s">
        <v>46</v>
      </c>
      <c r="J32" s="206" t="s">
        <v>45</v>
      </c>
      <c r="K32" s="206" t="s">
        <v>45</v>
      </c>
      <c r="L32" s="214" t="s">
        <v>45</v>
      </c>
      <c r="M32" s="212" t="s">
        <v>53</v>
      </c>
      <c r="N32" s="58" t="s">
        <v>53</v>
      </c>
      <c r="O32" s="206" t="s">
        <v>46</v>
      </c>
      <c r="P32" s="206" t="s">
        <v>46</v>
      </c>
      <c r="Q32" s="206" t="s">
        <v>47</v>
      </c>
      <c r="R32" s="206" t="s">
        <v>44</v>
      </c>
      <c r="S32" s="214" t="s">
        <v>44</v>
      </c>
      <c r="T32" s="212" t="s">
        <v>53</v>
      </c>
      <c r="U32" s="58" t="s">
        <v>53</v>
      </c>
      <c r="V32" s="206" t="s">
        <v>46</v>
      </c>
      <c r="W32" s="206" t="s">
        <v>46</v>
      </c>
      <c r="X32" s="206" t="s">
        <v>47</v>
      </c>
      <c r="Y32" s="206" t="s">
        <v>45</v>
      </c>
      <c r="Z32" s="214" t="s">
        <v>43</v>
      </c>
      <c r="AA32" s="212" t="s">
        <v>53</v>
      </c>
      <c r="AB32" s="58" t="s">
        <v>53</v>
      </c>
      <c r="AC32" s="81" t="s">
        <v>47</v>
      </c>
      <c r="AD32" s="206" t="s">
        <v>46</v>
      </c>
      <c r="AE32" s="206" t="s">
        <v>47</v>
      </c>
      <c r="AF32" s="214" t="s">
        <v>44</v>
      </c>
      <c r="AG32" s="25"/>
      <c r="AH32" s="47">
        <f t="shared" si="2"/>
        <v>4</v>
      </c>
      <c r="AI32" s="48">
        <f t="shared" si="3"/>
        <v>1</v>
      </c>
      <c r="AJ32" s="48">
        <f t="shared" si="4"/>
        <v>3</v>
      </c>
      <c r="AK32" s="49">
        <f t="shared" si="5"/>
        <v>7</v>
      </c>
      <c r="AL32" s="50">
        <f t="shared" si="6"/>
        <v>7</v>
      </c>
      <c r="AM32" s="51">
        <f t="shared" si="7"/>
        <v>4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26.25" customHeight="1">
      <c r="A33" s="209" t="s">
        <v>259</v>
      </c>
      <c r="B33" s="202" t="s">
        <v>143</v>
      </c>
      <c r="C33" s="205" t="s">
        <v>49</v>
      </c>
      <c r="D33" s="213" t="s">
        <v>49</v>
      </c>
      <c r="E33" s="222" t="s">
        <v>49</v>
      </c>
      <c r="F33" s="232" t="s">
        <v>48</v>
      </c>
      <c r="G33" s="58" t="s">
        <v>53</v>
      </c>
      <c r="H33" s="58" t="s">
        <v>53</v>
      </c>
      <c r="I33" s="57" t="s">
        <v>48</v>
      </c>
      <c r="J33" s="57" t="s">
        <v>48</v>
      </c>
      <c r="K33" s="57" t="s">
        <v>48</v>
      </c>
      <c r="L33" s="223" t="s">
        <v>48</v>
      </c>
      <c r="M33" s="232" t="s">
        <v>48</v>
      </c>
      <c r="N33" s="58" t="s">
        <v>53</v>
      </c>
      <c r="O33" s="58" t="s">
        <v>53</v>
      </c>
      <c r="P33" s="217" t="s">
        <v>47</v>
      </c>
      <c r="Q33" s="217" t="s">
        <v>47</v>
      </c>
      <c r="R33" s="217" t="s">
        <v>47</v>
      </c>
      <c r="S33" s="233" t="s">
        <v>47</v>
      </c>
      <c r="T33" s="234" t="s">
        <v>47</v>
      </c>
      <c r="U33" s="58" t="s">
        <v>53</v>
      </c>
      <c r="V33" s="58" t="s">
        <v>53</v>
      </c>
      <c r="W33" s="217" t="s">
        <v>47</v>
      </c>
      <c r="X33" s="217" t="s">
        <v>47</v>
      </c>
      <c r="Y33" s="217" t="s">
        <v>47</v>
      </c>
      <c r="Z33" s="233" t="s">
        <v>47</v>
      </c>
      <c r="AA33" s="234" t="s">
        <v>47</v>
      </c>
      <c r="AB33" s="58" t="s">
        <v>53</v>
      </c>
      <c r="AC33" s="58" t="s">
        <v>53</v>
      </c>
      <c r="AD33" s="217" t="s">
        <v>47</v>
      </c>
      <c r="AE33" s="217" t="s">
        <v>47</v>
      </c>
      <c r="AF33" s="233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26.25" customHeight="1">
      <c r="A34" s="201" t="s">
        <v>260</v>
      </c>
      <c r="B34" s="202" t="s">
        <v>146</v>
      </c>
      <c r="C34" s="212" t="s">
        <v>53</v>
      </c>
      <c r="D34" s="206" t="s">
        <v>47</v>
      </c>
      <c r="E34" s="214" t="s">
        <v>45</v>
      </c>
      <c r="F34" s="203" t="s">
        <v>45</v>
      </c>
      <c r="G34" s="206" t="s">
        <v>44</v>
      </c>
      <c r="H34" s="206" t="s">
        <v>44</v>
      </c>
      <c r="I34" s="58" t="s">
        <v>53</v>
      </c>
      <c r="J34" s="58" t="s">
        <v>53</v>
      </c>
      <c r="K34" s="81" t="s">
        <v>47</v>
      </c>
      <c r="L34" s="214" t="s">
        <v>46</v>
      </c>
      <c r="M34" s="203" t="s">
        <v>45</v>
      </c>
      <c r="N34" s="206" t="s">
        <v>44</v>
      </c>
      <c r="O34" s="206" t="s">
        <v>44</v>
      </c>
      <c r="P34" s="58" t="s">
        <v>53</v>
      </c>
      <c r="Q34" s="58" t="s">
        <v>53</v>
      </c>
      <c r="R34" s="81" t="s">
        <v>47</v>
      </c>
      <c r="S34" s="214" t="s">
        <v>47</v>
      </c>
      <c r="T34" s="203" t="s">
        <v>45</v>
      </c>
      <c r="U34" s="206" t="s">
        <v>44</v>
      </c>
      <c r="V34" s="206" t="s">
        <v>44</v>
      </c>
      <c r="W34" s="58" t="s">
        <v>53</v>
      </c>
      <c r="X34" s="58" t="s">
        <v>53</v>
      </c>
      <c r="Y34" s="81" t="s">
        <v>47</v>
      </c>
      <c r="Z34" s="214" t="s">
        <v>45</v>
      </c>
      <c r="AA34" s="203" t="s">
        <v>44</v>
      </c>
      <c r="AB34" s="206" t="s">
        <v>43</v>
      </c>
      <c r="AC34" s="206" t="s">
        <v>44</v>
      </c>
      <c r="AD34" s="58" t="s">
        <v>53</v>
      </c>
      <c r="AE34" s="58" t="s">
        <v>53</v>
      </c>
      <c r="AF34" s="226" t="s">
        <v>47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5</v>
      </c>
      <c r="AL34" s="50">
        <f t="shared" si="6"/>
        <v>1</v>
      </c>
      <c r="AM34" s="51">
        <f t="shared" si="7"/>
        <v>6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26.25" customHeight="1">
      <c r="A35" s="201" t="s">
        <v>261</v>
      </c>
      <c r="B35" s="202" t="s">
        <v>150</v>
      </c>
      <c r="C35" s="203" t="s">
        <v>45</v>
      </c>
      <c r="D35" s="206" t="s">
        <v>45</v>
      </c>
      <c r="E35" s="224" t="s">
        <v>44</v>
      </c>
      <c r="F35" s="230" t="s">
        <v>43</v>
      </c>
      <c r="G35" s="58" t="s">
        <v>53</v>
      </c>
      <c r="H35" s="58" t="s">
        <v>53</v>
      </c>
      <c r="I35" s="81" t="s">
        <v>47</v>
      </c>
      <c r="J35" s="206" t="s">
        <v>47</v>
      </c>
      <c r="K35" s="206" t="s">
        <v>45</v>
      </c>
      <c r="L35" s="214" t="s">
        <v>45</v>
      </c>
      <c r="M35" s="203" t="s">
        <v>43</v>
      </c>
      <c r="N35" s="58" t="s">
        <v>53</v>
      </c>
      <c r="O35" s="58" t="s">
        <v>53</v>
      </c>
      <c r="P35" s="57" t="s">
        <v>48</v>
      </c>
      <c r="Q35" s="206" t="s">
        <v>45</v>
      </c>
      <c r="R35" s="206" t="s">
        <v>45</v>
      </c>
      <c r="S35" s="214" t="s">
        <v>45</v>
      </c>
      <c r="T35" s="203" t="s">
        <v>43</v>
      </c>
      <c r="U35" s="58" t="s">
        <v>53</v>
      </c>
      <c r="V35" s="58" t="s">
        <v>53</v>
      </c>
      <c r="W35" s="81" t="s">
        <v>47</v>
      </c>
      <c r="X35" s="206" t="s">
        <v>45</v>
      </c>
      <c r="Y35" s="206" t="s">
        <v>45</v>
      </c>
      <c r="Z35" s="214" t="s">
        <v>44</v>
      </c>
      <c r="AA35" s="203" t="s">
        <v>43</v>
      </c>
      <c r="AB35" s="58" t="s">
        <v>53</v>
      </c>
      <c r="AC35" s="58" t="s">
        <v>53</v>
      </c>
      <c r="AD35" s="57" t="s">
        <v>48</v>
      </c>
      <c r="AE35" s="206" t="s">
        <v>45</v>
      </c>
      <c r="AF35" s="214" t="s">
        <v>45</v>
      </c>
      <c r="AG35" s="25"/>
      <c r="AH35" s="47">
        <f t="shared" si="2"/>
        <v>6</v>
      </c>
      <c r="AI35" s="48">
        <f t="shared" si="3"/>
        <v>4</v>
      </c>
      <c r="AJ35" s="48">
        <f t="shared" si="4"/>
        <v>2</v>
      </c>
      <c r="AK35" s="49">
        <f t="shared" si="5"/>
        <v>11</v>
      </c>
      <c r="AL35" s="50">
        <f t="shared" si="6"/>
        <v>0</v>
      </c>
      <c r="AM35" s="51">
        <f t="shared" si="7"/>
        <v>3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26.25" customHeight="1">
      <c r="A36" s="201" t="s">
        <v>262</v>
      </c>
      <c r="B36" s="202" t="s">
        <v>153</v>
      </c>
      <c r="C36" s="221" t="s">
        <v>45</v>
      </c>
      <c r="D36" s="219" t="s">
        <v>45</v>
      </c>
      <c r="E36" s="214" t="s">
        <v>44</v>
      </c>
      <c r="F36" s="203" t="s">
        <v>43</v>
      </c>
      <c r="G36" s="58" t="s">
        <v>53</v>
      </c>
      <c r="H36" s="58" t="s">
        <v>53</v>
      </c>
      <c r="I36" s="213" t="s">
        <v>49</v>
      </c>
      <c r="J36" s="213" t="s">
        <v>49</v>
      </c>
      <c r="K36" s="206" t="s">
        <v>45</v>
      </c>
      <c r="L36" s="214" t="s">
        <v>44</v>
      </c>
      <c r="M36" s="213" t="s">
        <v>49</v>
      </c>
      <c r="N36" s="58" t="s">
        <v>53</v>
      </c>
      <c r="O36" s="58" t="s">
        <v>53</v>
      </c>
      <c r="P36" s="217" t="s">
        <v>47</v>
      </c>
      <c r="Q36" s="217" t="s">
        <v>47</v>
      </c>
      <c r="R36" s="206" t="s">
        <v>45</v>
      </c>
      <c r="S36" s="214" t="s">
        <v>45</v>
      </c>
      <c r="T36" s="205" t="s">
        <v>49</v>
      </c>
      <c r="U36" s="58" t="s">
        <v>53</v>
      </c>
      <c r="V36" s="58" t="s">
        <v>53</v>
      </c>
      <c r="W36" s="217" t="s">
        <v>47</v>
      </c>
      <c r="X36" s="217" t="s">
        <v>47</v>
      </c>
      <c r="Y36" s="206" t="s">
        <v>45</v>
      </c>
      <c r="Z36" s="214" t="s">
        <v>44</v>
      </c>
      <c r="AA36" s="203" t="s">
        <v>43</v>
      </c>
      <c r="AB36" s="58" t="s">
        <v>53</v>
      </c>
      <c r="AC36" s="58" t="s">
        <v>53</v>
      </c>
      <c r="AD36" s="81" t="s">
        <v>47</v>
      </c>
      <c r="AE36" s="219" t="s">
        <v>46</v>
      </c>
      <c r="AF36" s="214" t="s">
        <v>45</v>
      </c>
      <c r="AG36" s="25"/>
      <c r="AH36" s="47">
        <f t="shared" si="2"/>
        <v>5</v>
      </c>
      <c r="AI36" s="48">
        <f t="shared" si="3"/>
        <v>2</v>
      </c>
      <c r="AJ36" s="48">
        <f t="shared" si="4"/>
        <v>3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26.25" customHeight="1">
      <c r="A37" s="201" t="s">
        <v>263</v>
      </c>
      <c r="B37" s="202" t="s">
        <v>156</v>
      </c>
      <c r="C37" s="203" t="s">
        <v>43</v>
      </c>
      <c r="D37" s="206" t="s">
        <v>43</v>
      </c>
      <c r="E37" s="214" t="s">
        <v>43</v>
      </c>
      <c r="F37" s="212" t="s">
        <v>53</v>
      </c>
      <c r="G37" s="58" t="s">
        <v>53</v>
      </c>
      <c r="H37" s="81" t="s">
        <v>47</v>
      </c>
      <c r="I37" s="211" t="s">
        <v>47</v>
      </c>
      <c r="J37" s="211" t="s">
        <v>47</v>
      </c>
      <c r="K37" s="207" t="s">
        <v>43</v>
      </c>
      <c r="L37" s="224" t="s">
        <v>43</v>
      </c>
      <c r="M37" s="212" t="s">
        <v>53</v>
      </c>
      <c r="N37" s="58" t="s">
        <v>53</v>
      </c>
      <c r="O37" s="81" t="s">
        <v>47</v>
      </c>
      <c r="P37" s="206" t="s">
        <v>47</v>
      </c>
      <c r="Q37" s="206" t="s">
        <v>43</v>
      </c>
      <c r="R37" s="206" t="s">
        <v>43</v>
      </c>
      <c r="S37" s="224" t="s">
        <v>43</v>
      </c>
      <c r="T37" s="212" t="s">
        <v>53</v>
      </c>
      <c r="U37" s="58" t="s">
        <v>53</v>
      </c>
      <c r="V37" s="81" t="s">
        <v>47</v>
      </c>
      <c r="W37" s="81" t="s">
        <v>47</v>
      </c>
      <c r="X37" s="81" t="s">
        <v>47</v>
      </c>
      <c r="Y37" s="206" t="s">
        <v>43</v>
      </c>
      <c r="Z37" s="214" t="s">
        <v>43</v>
      </c>
      <c r="AA37" s="212" t="s">
        <v>53</v>
      </c>
      <c r="AB37" s="58" t="s">
        <v>53</v>
      </c>
      <c r="AC37" s="81" t="s">
        <v>47</v>
      </c>
      <c r="AD37" s="81" t="s">
        <v>47</v>
      </c>
      <c r="AE37" s="206" t="s">
        <v>47</v>
      </c>
      <c r="AF37" s="214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26.25" customHeight="1">
      <c r="A38" s="209" t="s">
        <v>264</v>
      </c>
      <c r="B38" s="228" t="s">
        <v>159</v>
      </c>
      <c r="C38" s="234" t="s">
        <v>47</v>
      </c>
      <c r="D38" s="206" t="s">
        <v>46</v>
      </c>
      <c r="E38" s="214" t="s">
        <v>44</v>
      </c>
      <c r="F38" s="203" t="s">
        <v>43</v>
      </c>
      <c r="G38" s="213" t="s">
        <v>49</v>
      </c>
      <c r="H38" s="58" t="s">
        <v>53</v>
      </c>
      <c r="I38" s="58" t="s">
        <v>53</v>
      </c>
      <c r="J38" s="206" t="s">
        <v>46</v>
      </c>
      <c r="K38" s="206" t="s">
        <v>46</v>
      </c>
      <c r="L38" s="214" t="s">
        <v>45</v>
      </c>
      <c r="M38" s="203" t="s">
        <v>43</v>
      </c>
      <c r="N38" s="213" t="s">
        <v>49</v>
      </c>
      <c r="O38" s="58" t="s">
        <v>53</v>
      </c>
      <c r="P38" s="58" t="s">
        <v>53</v>
      </c>
      <c r="Q38" s="81" t="s">
        <v>47</v>
      </c>
      <c r="R38" s="206" t="s">
        <v>46</v>
      </c>
      <c r="S38" s="214" t="s">
        <v>45</v>
      </c>
      <c r="T38" s="203" t="s">
        <v>44</v>
      </c>
      <c r="U38" s="206" t="s">
        <v>44</v>
      </c>
      <c r="V38" s="58" t="s">
        <v>53</v>
      </c>
      <c r="W38" s="58" t="s">
        <v>53</v>
      </c>
      <c r="X38" s="206" t="s">
        <v>45</v>
      </c>
      <c r="Y38" s="206" t="s">
        <v>45</v>
      </c>
      <c r="Z38" s="222" t="s">
        <v>49</v>
      </c>
      <c r="AA38" s="205" t="s">
        <v>49</v>
      </c>
      <c r="AB38" s="57" t="s">
        <v>48</v>
      </c>
      <c r="AC38" s="58" t="s">
        <v>53</v>
      </c>
      <c r="AD38" s="58" t="s">
        <v>53</v>
      </c>
      <c r="AE38" s="206" t="s">
        <v>46</v>
      </c>
      <c r="AF38" s="214" t="s">
        <v>45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5</v>
      </c>
      <c r="AL38" s="50">
        <f t="shared" si="6"/>
        <v>5</v>
      </c>
      <c r="AM38" s="51">
        <f t="shared" si="7"/>
        <v>2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26.25" customHeight="1">
      <c r="A39" s="209" t="s">
        <v>265</v>
      </c>
      <c r="B39" s="202" t="s">
        <v>162</v>
      </c>
      <c r="C39" s="203" t="s">
        <v>44</v>
      </c>
      <c r="D39" s="207" t="s">
        <v>43</v>
      </c>
      <c r="E39" s="222" t="s">
        <v>49</v>
      </c>
      <c r="F39" s="212" t="s">
        <v>53</v>
      </c>
      <c r="G39" s="58" t="s">
        <v>53</v>
      </c>
      <c r="H39" s="206" t="s">
        <v>46</v>
      </c>
      <c r="I39" s="206" t="s">
        <v>45</v>
      </c>
      <c r="J39" s="206" t="s">
        <v>44</v>
      </c>
      <c r="K39" s="206" t="s">
        <v>44</v>
      </c>
      <c r="L39" s="224" t="s">
        <v>43</v>
      </c>
      <c r="M39" s="212" t="s">
        <v>53</v>
      </c>
      <c r="N39" s="58" t="s">
        <v>53</v>
      </c>
      <c r="O39" s="206" t="s">
        <v>46</v>
      </c>
      <c r="P39" s="206" t="s">
        <v>46</v>
      </c>
      <c r="Q39" s="206" t="s">
        <v>46</v>
      </c>
      <c r="R39" s="206" t="s">
        <v>45</v>
      </c>
      <c r="S39" s="222" t="s">
        <v>49</v>
      </c>
      <c r="T39" s="212" t="s">
        <v>53</v>
      </c>
      <c r="U39" s="58" t="s">
        <v>53</v>
      </c>
      <c r="V39" s="213" t="s">
        <v>49</v>
      </c>
      <c r="W39" s="206" t="s">
        <v>45</v>
      </c>
      <c r="X39" s="206" t="s">
        <v>45</v>
      </c>
      <c r="Y39" s="206" t="s">
        <v>44</v>
      </c>
      <c r="Z39" s="224" t="s">
        <v>43</v>
      </c>
      <c r="AA39" s="212" t="s">
        <v>53</v>
      </c>
      <c r="AB39" s="58" t="s">
        <v>53</v>
      </c>
      <c r="AC39" s="206" t="s">
        <v>46</v>
      </c>
      <c r="AD39" s="206" t="s">
        <v>45</v>
      </c>
      <c r="AE39" s="206" t="s">
        <v>43</v>
      </c>
      <c r="AF39" s="214" t="s">
        <v>43</v>
      </c>
      <c r="AG39" s="25"/>
      <c r="AH39" s="47">
        <f t="shared" si="2"/>
        <v>9</v>
      </c>
      <c r="AI39" s="48">
        <f t="shared" si="3"/>
        <v>5</v>
      </c>
      <c r="AJ39" s="48">
        <f t="shared" si="4"/>
        <v>4</v>
      </c>
      <c r="AK39" s="49">
        <f t="shared" si="5"/>
        <v>5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26.25" customHeight="1">
      <c r="A40" s="201" t="s">
        <v>266</v>
      </c>
      <c r="B40" s="202" t="s">
        <v>165</v>
      </c>
      <c r="C40" s="203" t="s">
        <v>45</v>
      </c>
      <c r="D40" s="206" t="s">
        <v>45</v>
      </c>
      <c r="E40" s="214" t="s">
        <v>45</v>
      </c>
      <c r="F40" s="203" t="s">
        <v>44</v>
      </c>
      <c r="G40" s="206" t="s">
        <v>43</v>
      </c>
      <c r="H40" s="58" t="s">
        <v>53</v>
      </c>
      <c r="I40" s="58" t="s">
        <v>53</v>
      </c>
      <c r="J40" s="206" t="s">
        <v>45</v>
      </c>
      <c r="K40" s="206" t="s">
        <v>45</v>
      </c>
      <c r="L40" s="214" t="s">
        <v>45</v>
      </c>
      <c r="M40" s="206" t="s">
        <v>45</v>
      </c>
      <c r="N40" s="206" t="s">
        <v>43</v>
      </c>
      <c r="O40" s="58" t="s">
        <v>53</v>
      </c>
      <c r="P40" s="58" t="s">
        <v>53</v>
      </c>
      <c r="Q40" s="206" t="s">
        <v>46</v>
      </c>
      <c r="R40" s="206" t="s">
        <v>43</v>
      </c>
      <c r="S40" s="222" t="s">
        <v>49</v>
      </c>
      <c r="T40" s="203" t="s">
        <v>45</v>
      </c>
      <c r="U40" s="206" t="s">
        <v>43</v>
      </c>
      <c r="V40" s="58" t="s">
        <v>53</v>
      </c>
      <c r="W40" s="58" t="s">
        <v>53</v>
      </c>
      <c r="X40" s="206" t="s">
        <v>46</v>
      </c>
      <c r="Y40" s="206" t="s">
        <v>45</v>
      </c>
      <c r="Z40" s="214" t="s">
        <v>45</v>
      </c>
      <c r="AA40" s="203" t="s">
        <v>43</v>
      </c>
      <c r="AB40" s="206" t="s">
        <v>43</v>
      </c>
      <c r="AC40" s="58" t="s">
        <v>53</v>
      </c>
      <c r="AD40" s="58" t="s">
        <v>53</v>
      </c>
      <c r="AE40" s="81" t="s">
        <v>47</v>
      </c>
      <c r="AF40" s="214" t="s">
        <v>46</v>
      </c>
      <c r="AG40" s="25"/>
      <c r="AH40" s="47">
        <f t="shared" si="2"/>
        <v>7</v>
      </c>
      <c r="AI40" s="48">
        <f t="shared" si="3"/>
        <v>6</v>
      </c>
      <c r="AJ40" s="48">
        <f t="shared" si="4"/>
        <v>1</v>
      </c>
      <c r="AK40" s="49">
        <f t="shared" si="5"/>
        <v>10</v>
      </c>
      <c r="AL40" s="50">
        <f t="shared" si="6"/>
        <v>3</v>
      </c>
      <c r="AM40" s="51">
        <f t="shared" si="7"/>
        <v>1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26.25" customHeight="1">
      <c r="A41" s="201" t="s">
        <v>267</v>
      </c>
      <c r="B41" s="202" t="s">
        <v>168</v>
      </c>
      <c r="C41" s="212" t="s">
        <v>53</v>
      </c>
      <c r="D41" s="58" t="s">
        <v>53</v>
      </c>
      <c r="E41" s="214" t="s">
        <v>46</v>
      </c>
      <c r="F41" s="203" t="s">
        <v>45</v>
      </c>
      <c r="G41" s="206" t="s">
        <v>43</v>
      </c>
      <c r="H41" s="206" t="s">
        <v>43</v>
      </c>
      <c r="I41" s="206" t="s">
        <v>43</v>
      </c>
      <c r="J41" s="58" t="s">
        <v>53</v>
      </c>
      <c r="K41" s="58" t="s">
        <v>53</v>
      </c>
      <c r="L41" s="214" t="s">
        <v>46</v>
      </c>
      <c r="M41" s="206" t="s">
        <v>45</v>
      </c>
      <c r="N41" s="206" t="s">
        <v>45</v>
      </c>
      <c r="O41" s="213" t="s">
        <v>49</v>
      </c>
      <c r="P41" s="206" t="s">
        <v>43</v>
      </c>
      <c r="Q41" s="58" t="s">
        <v>53</v>
      </c>
      <c r="R41" s="58" t="s">
        <v>53</v>
      </c>
      <c r="S41" s="214" t="s">
        <v>46</v>
      </c>
      <c r="T41" s="203" t="s">
        <v>45</v>
      </c>
      <c r="U41" s="206" t="s">
        <v>45</v>
      </c>
      <c r="V41" s="206" t="s">
        <v>45</v>
      </c>
      <c r="W41" s="206" t="s">
        <v>43</v>
      </c>
      <c r="X41" s="58" t="s">
        <v>53</v>
      </c>
      <c r="Y41" s="58" t="s">
        <v>53</v>
      </c>
      <c r="Z41" s="214" t="s">
        <v>46</v>
      </c>
      <c r="AA41" s="203" t="s">
        <v>45</v>
      </c>
      <c r="AB41" s="206" t="s">
        <v>45</v>
      </c>
      <c r="AC41" s="206" t="s">
        <v>45</v>
      </c>
      <c r="AD41" s="206" t="s">
        <v>44</v>
      </c>
      <c r="AE41" s="58" t="s">
        <v>53</v>
      </c>
      <c r="AF41" s="204" t="s">
        <v>53</v>
      </c>
      <c r="AG41" s="25"/>
      <c r="AH41" s="47">
        <f t="shared" si="2"/>
        <v>6</v>
      </c>
      <c r="AI41" s="48">
        <f t="shared" si="3"/>
        <v>5</v>
      </c>
      <c r="AJ41" s="48">
        <f t="shared" si="4"/>
        <v>1</v>
      </c>
      <c r="AK41" s="49">
        <f t="shared" si="5"/>
        <v>9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26.25" customHeight="1">
      <c r="A42" s="201" t="s">
        <v>268</v>
      </c>
      <c r="B42" s="202" t="s">
        <v>171</v>
      </c>
      <c r="C42" s="212" t="s">
        <v>53</v>
      </c>
      <c r="D42" s="81" t="s">
        <v>47</v>
      </c>
      <c r="E42" s="235" t="s">
        <v>47</v>
      </c>
      <c r="F42" s="236" t="s">
        <v>45</v>
      </c>
      <c r="G42" s="237" t="s">
        <v>45</v>
      </c>
      <c r="H42" s="237" t="s">
        <v>43</v>
      </c>
      <c r="I42" s="58" t="s">
        <v>53</v>
      </c>
      <c r="J42" s="58" t="s">
        <v>53</v>
      </c>
      <c r="K42" s="213" t="s">
        <v>49</v>
      </c>
      <c r="L42" s="235" t="s">
        <v>47</v>
      </c>
      <c r="M42" s="236" t="s">
        <v>45</v>
      </c>
      <c r="N42" s="237" t="s">
        <v>45</v>
      </c>
      <c r="O42" s="237" t="s">
        <v>43</v>
      </c>
      <c r="P42" s="58" t="s">
        <v>53</v>
      </c>
      <c r="Q42" s="58" t="s">
        <v>53</v>
      </c>
      <c r="R42" s="81" t="s">
        <v>47</v>
      </c>
      <c r="S42" s="224" t="s">
        <v>45</v>
      </c>
      <c r="T42" s="236" t="s">
        <v>45</v>
      </c>
      <c r="U42" s="237" t="s">
        <v>45</v>
      </c>
      <c r="V42" s="237" t="s">
        <v>43</v>
      </c>
      <c r="W42" s="58" t="s">
        <v>53</v>
      </c>
      <c r="X42" s="58" t="s">
        <v>53</v>
      </c>
      <c r="Y42" s="206" t="s">
        <v>46</v>
      </c>
      <c r="Z42" s="238" t="s">
        <v>45</v>
      </c>
      <c r="AA42" s="236" t="s">
        <v>44</v>
      </c>
      <c r="AB42" s="206" t="s">
        <v>44</v>
      </c>
      <c r="AC42" s="206" t="s">
        <v>43</v>
      </c>
      <c r="AD42" s="58" t="s">
        <v>53</v>
      </c>
      <c r="AE42" s="58" t="s">
        <v>53</v>
      </c>
      <c r="AF42" s="226" t="s">
        <v>47</v>
      </c>
      <c r="AG42" s="25"/>
      <c r="AH42" s="47">
        <f t="shared" si="2"/>
        <v>6</v>
      </c>
      <c r="AI42" s="48">
        <f t="shared" si="3"/>
        <v>4</v>
      </c>
      <c r="AJ42" s="48">
        <f t="shared" si="4"/>
        <v>2</v>
      </c>
      <c r="AK42" s="49">
        <f t="shared" si="5"/>
        <v>8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26.25" customHeight="1">
      <c r="A43" s="201" t="s">
        <v>269</v>
      </c>
      <c r="B43" s="202" t="s">
        <v>174</v>
      </c>
      <c r="C43" s="212" t="s">
        <v>53</v>
      </c>
      <c r="D43" s="81" t="s">
        <v>47</v>
      </c>
      <c r="E43" s="214" t="s">
        <v>46</v>
      </c>
      <c r="F43" s="203" t="s">
        <v>45</v>
      </c>
      <c r="G43" s="206" t="s">
        <v>43</v>
      </c>
      <c r="H43" s="213" t="s">
        <v>49</v>
      </c>
      <c r="I43" s="58" t="s">
        <v>53</v>
      </c>
      <c r="J43" s="58" t="s">
        <v>53</v>
      </c>
      <c r="K43" s="81" t="s">
        <v>47</v>
      </c>
      <c r="L43" s="214" t="s">
        <v>45</v>
      </c>
      <c r="M43" s="203" t="s">
        <v>44</v>
      </c>
      <c r="N43" s="206" t="s">
        <v>43</v>
      </c>
      <c r="O43" s="213" t="s">
        <v>49</v>
      </c>
      <c r="P43" s="58" t="s">
        <v>53</v>
      </c>
      <c r="Q43" s="58" t="s">
        <v>53</v>
      </c>
      <c r="R43" s="206" t="s">
        <v>45</v>
      </c>
      <c r="S43" s="214" t="s">
        <v>45</v>
      </c>
      <c r="T43" s="203" t="s">
        <v>43</v>
      </c>
      <c r="U43" s="213" t="s">
        <v>49</v>
      </c>
      <c r="V43" s="213" t="s">
        <v>49</v>
      </c>
      <c r="W43" s="58" t="s">
        <v>53</v>
      </c>
      <c r="X43" s="58" t="s">
        <v>53</v>
      </c>
      <c r="Y43" s="207" t="s">
        <v>45</v>
      </c>
      <c r="Z43" s="214" t="s">
        <v>45</v>
      </c>
      <c r="AA43" s="203" t="s">
        <v>44</v>
      </c>
      <c r="AB43" s="206" t="s">
        <v>43</v>
      </c>
      <c r="AC43" s="213" t="s">
        <v>49</v>
      </c>
      <c r="AD43" s="58" t="s">
        <v>53</v>
      </c>
      <c r="AE43" s="58" t="s">
        <v>53</v>
      </c>
      <c r="AF43" s="214" t="s">
        <v>45</v>
      </c>
      <c r="AG43" s="25"/>
      <c r="AH43" s="47">
        <f t="shared" si="2"/>
        <v>6</v>
      </c>
      <c r="AI43" s="48">
        <f t="shared" si="3"/>
        <v>4</v>
      </c>
      <c r="AJ43" s="48">
        <f t="shared" si="4"/>
        <v>2</v>
      </c>
      <c r="AK43" s="49">
        <f t="shared" si="5"/>
        <v>7</v>
      </c>
      <c r="AL43" s="50">
        <f t="shared" si="6"/>
        <v>1</v>
      </c>
      <c r="AM43" s="51">
        <f t="shared" si="7"/>
        <v>2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26.25" customHeight="1">
      <c r="A44" s="209" t="s">
        <v>270</v>
      </c>
      <c r="B44" s="228" t="s">
        <v>177</v>
      </c>
      <c r="C44" s="221" t="s">
        <v>47</v>
      </c>
      <c r="D44" s="206" t="s">
        <v>47</v>
      </c>
      <c r="E44" s="214" t="s">
        <v>45</v>
      </c>
      <c r="F44" s="203" t="s">
        <v>44</v>
      </c>
      <c r="G44" s="206" t="s">
        <v>43</v>
      </c>
      <c r="H44" s="58" t="s">
        <v>53</v>
      </c>
      <c r="I44" s="58" t="s">
        <v>53</v>
      </c>
      <c r="J44" s="81" t="s">
        <v>47</v>
      </c>
      <c r="K44" s="206" t="s">
        <v>45</v>
      </c>
      <c r="L44" s="214" t="s">
        <v>44</v>
      </c>
      <c r="M44" s="205" t="s">
        <v>49</v>
      </c>
      <c r="N44" s="213" t="s">
        <v>49</v>
      </c>
      <c r="O44" s="58" t="s">
        <v>53</v>
      </c>
      <c r="P44" s="58" t="s">
        <v>53</v>
      </c>
      <c r="Q44" s="213" t="s">
        <v>49</v>
      </c>
      <c r="R44" s="213" t="s">
        <v>49</v>
      </c>
      <c r="S44" s="222" t="s">
        <v>49</v>
      </c>
      <c r="T44" s="205" t="s">
        <v>49</v>
      </c>
      <c r="U44" s="206" t="s">
        <v>43</v>
      </c>
      <c r="V44" s="58" t="s">
        <v>53</v>
      </c>
      <c r="W44" s="58" t="s">
        <v>53</v>
      </c>
      <c r="X44" s="207" t="s">
        <v>46</v>
      </c>
      <c r="Y44" s="207" t="s">
        <v>44</v>
      </c>
      <c r="Z44" s="223" t="s">
        <v>48</v>
      </c>
      <c r="AA44" s="232" t="s">
        <v>48</v>
      </c>
      <c r="AB44" s="57" t="s">
        <v>48</v>
      </c>
      <c r="AC44" s="58" t="s">
        <v>53</v>
      </c>
      <c r="AD44" s="58" t="s">
        <v>53</v>
      </c>
      <c r="AE44" s="206" t="s">
        <v>45</v>
      </c>
      <c r="AF44" s="214" t="s">
        <v>45</v>
      </c>
      <c r="AG44" s="25"/>
      <c r="AH44" s="47">
        <f t="shared" si="2"/>
        <v>5</v>
      </c>
      <c r="AI44" s="48">
        <f t="shared" si="3"/>
        <v>2</v>
      </c>
      <c r="AJ44" s="48">
        <f t="shared" si="4"/>
        <v>3</v>
      </c>
      <c r="AK44" s="49">
        <f t="shared" si="5"/>
        <v>4</v>
      </c>
      <c r="AL44" s="50">
        <f t="shared" si="6"/>
        <v>1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26.25" customHeight="1">
      <c r="A45" s="239" t="s">
        <v>271</v>
      </c>
      <c r="B45" s="240" t="s">
        <v>180</v>
      </c>
      <c r="C45" s="212" t="s">
        <v>53</v>
      </c>
      <c r="D45" s="213" t="s">
        <v>49</v>
      </c>
      <c r="E45" s="222" t="s">
        <v>49</v>
      </c>
      <c r="F45" s="205" t="s">
        <v>49</v>
      </c>
      <c r="G45" s="237" t="s">
        <v>44</v>
      </c>
      <c r="H45" s="237" t="s">
        <v>43</v>
      </c>
      <c r="I45" s="58" t="s">
        <v>53</v>
      </c>
      <c r="J45" s="58" t="s">
        <v>53</v>
      </c>
      <c r="K45" s="81" t="s">
        <v>47</v>
      </c>
      <c r="L45" s="238" t="s">
        <v>47</v>
      </c>
      <c r="M45" s="203" t="s">
        <v>45</v>
      </c>
      <c r="N45" s="237" t="s">
        <v>45</v>
      </c>
      <c r="O45" s="237" t="s">
        <v>43</v>
      </c>
      <c r="P45" s="58" t="s">
        <v>53</v>
      </c>
      <c r="Q45" s="58" t="s">
        <v>53</v>
      </c>
      <c r="R45" s="206" t="s">
        <v>47</v>
      </c>
      <c r="S45" s="238" t="s">
        <v>47</v>
      </c>
      <c r="T45" s="236" t="s">
        <v>45</v>
      </c>
      <c r="U45" s="206" t="s">
        <v>43</v>
      </c>
      <c r="V45" s="206" t="s">
        <v>43</v>
      </c>
      <c r="W45" s="58" t="s">
        <v>53</v>
      </c>
      <c r="X45" s="58" t="s">
        <v>53</v>
      </c>
      <c r="Y45" s="211" t="s">
        <v>47</v>
      </c>
      <c r="Z45" s="214" t="s">
        <v>47</v>
      </c>
      <c r="AA45" s="203" t="s">
        <v>45</v>
      </c>
      <c r="AB45" s="237" t="s">
        <v>44</v>
      </c>
      <c r="AC45" s="206" t="s">
        <v>43</v>
      </c>
      <c r="AD45" s="58" t="s">
        <v>53</v>
      </c>
      <c r="AE45" s="58" t="s">
        <v>53</v>
      </c>
      <c r="AF45" s="222" t="s">
        <v>49</v>
      </c>
      <c r="AG45" s="112"/>
      <c r="AH45" s="47">
        <f t="shared" si="2"/>
        <v>7</v>
      </c>
      <c r="AI45" s="48">
        <f t="shared" si="3"/>
        <v>5</v>
      </c>
      <c r="AJ45" s="48">
        <f t="shared" si="4"/>
        <v>2</v>
      </c>
      <c r="AK45" s="49">
        <f t="shared" si="5"/>
        <v>4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26.25" customHeight="1">
      <c r="A46" s="241" t="s">
        <v>272</v>
      </c>
      <c r="B46" s="240" t="s">
        <v>273</v>
      </c>
      <c r="C46" s="242" t="s">
        <v>47</v>
      </c>
      <c r="D46" s="243" t="s">
        <v>46</v>
      </c>
      <c r="E46" s="244" t="s">
        <v>45</v>
      </c>
      <c r="F46" s="245" t="s">
        <v>45</v>
      </c>
      <c r="G46" s="246" t="s">
        <v>43</v>
      </c>
      <c r="H46" s="247" t="s">
        <v>53</v>
      </c>
      <c r="I46" s="247" t="s">
        <v>53</v>
      </c>
      <c r="J46" s="243" t="s">
        <v>47</v>
      </c>
      <c r="K46" s="243" t="s">
        <v>47</v>
      </c>
      <c r="L46" s="244" t="s">
        <v>45</v>
      </c>
      <c r="M46" s="245" t="s">
        <v>43</v>
      </c>
      <c r="N46" s="246" t="s">
        <v>43</v>
      </c>
      <c r="O46" s="247" t="s">
        <v>53</v>
      </c>
      <c r="P46" s="247" t="s">
        <v>53</v>
      </c>
      <c r="Q46" s="243" t="s">
        <v>47</v>
      </c>
      <c r="R46" s="243" t="s">
        <v>46</v>
      </c>
      <c r="S46" s="244" t="s">
        <v>45</v>
      </c>
      <c r="T46" s="245" t="s">
        <v>44</v>
      </c>
      <c r="U46" s="243" t="s">
        <v>43</v>
      </c>
      <c r="V46" s="247" t="s">
        <v>53</v>
      </c>
      <c r="W46" s="247" t="s">
        <v>53</v>
      </c>
      <c r="X46" s="248" t="s">
        <v>47</v>
      </c>
      <c r="Y46" s="249" t="s">
        <v>46</v>
      </c>
      <c r="Z46" s="250" t="s">
        <v>45</v>
      </c>
      <c r="AA46" s="251" t="s">
        <v>48</v>
      </c>
      <c r="AB46" s="252" t="s">
        <v>48</v>
      </c>
      <c r="AC46" s="247" t="s">
        <v>53</v>
      </c>
      <c r="AD46" s="247" t="s">
        <v>53</v>
      </c>
      <c r="AE46" s="253" t="s">
        <v>47</v>
      </c>
      <c r="AF46" s="250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254"/>
      <c r="B47" s="255"/>
      <c r="C47" s="256"/>
      <c r="D47" s="256"/>
      <c r="E47" s="257"/>
      <c r="F47" s="257"/>
      <c r="G47" s="256"/>
      <c r="H47" s="256"/>
      <c r="I47" s="256"/>
      <c r="J47" s="256"/>
      <c r="K47" s="256"/>
      <c r="L47" s="257"/>
      <c r="M47" s="257"/>
      <c r="N47" s="256"/>
      <c r="O47" s="256"/>
      <c r="P47" s="256"/>
      <c r="Q47" s="256"/>
      <c r="R47" s="256"/>
      <c r="S47" s="257"/>
      <c r="T47" s="257"/>
      <c r="U47" s="256"/>
      <c r="V47" s="258"/>
      <c r="W47" s="256"/>
      <c r="X47" s="256"/>
      <c r="Y47" s="256"/>
      <c r="Z47" s="257"/>
      <c r="AA47" s="257"/>
      <c r="AB47" s="256"/>
      <c r="AC47" s="256"/>
      <c r="AD47" s="256"/>
      <c r="AE47" s="256"/>
      <c r="AF47" s="256"/>
      <c r="AG47" s="258"/>
      <c r="AH47" s="259"/>
      <c r="AI47" s="259"/>
      <c r="AJ47" s="259"/>
      <c r="AK47" s="259"/>
      <c r="AL47" s="259"/>
      <c r="AM47" s="260"/>
      <c r="AN47" s="260"/>
      <c r="AO47" s="260"/>
      <c r="AP47" s="260"/>
      <c r="AQ47" s="260"/>
      <c r="AR47" s="260"/>
      <c r="AS47" s="260"/>
      <c r="AT47" s="260"/>
    </row>
    <row r="48" ht="22.5" customHeight="1">
      <c r="A48" s="261"/>
      <c r="B48" s="262" t="s">
        <v>274</v>
      </c>
      <c r="C48" s="184" t="s">
        <v>8</v>
      </c>
      <c r="D48" s="185" t="s">
        <v>9</v>
      </c>
      <c r="E48" s="186" t="s">
        <v>10</v>
      </c>
      <c r="F48" s="184" t="s">
        <v>11</v>
      </c>
      <c r="G48" s="185" t="s">
        <v>12</v>
      </c>
      <c r="H48" s="185" t="s">
        <v>13</v>
      </c>
      <c r="I48" s="185" t="s">
        <v>7</v>
      </c>
      <c r="J48" s="185" t="s">
        <v>8</v>
      </c>
      <c r="K48" s="185" t="s">
        <v>9</v>
      </c>
      <c r="L48" s="186" t="s">
        <v>10</v>
      </c>
      <c r="M48" s="184" t="s">
        <v>11</v>
      </c>
      <c r="N48" s="185" t="s">
        <v>12</v>
      </c>
      <c r="O48" s="185" t="s">
        <v>13</v>
      </c>
      <c r="P48" s="263" t="s">
        <v>7</v>
      </c>
      <c r="Q48" s="263" t="s">
        <v>8</v>
      </c>
      <c r="R48" s="263" t="s">
        <v>9</v>
      </c>
      <c r="S48" s="264" t="s">
        <v>10</v>
      </c>
      <c r="T48" s="265" t="s">
        <v>11</v>
      </c>
      <c r="U48" s="263" t="s">
        <v>12</v>
      </c>
      <c r="V48" s="263" t="s">
        <v>13</v>
      </c>
      <c r="W48" s="263" t="s">
        <v>7</v>
      </c>
      <c r="X48" s="263" t="s">
        <v>8</v>
      </c>
      <c r="Y48" s="263" t="s">
        <v>9</v>
      </c>
      <c r="Z48" s="264" t="s">
        <v>10</v>
      </c>
      <c r="AA48" s="265" t="s">
        <v>11</v>
      </c>
      <c r="AB48" s="263" t="s">
        <v>12</v>
      </c>
      <c r="AC48" s="263" t="s">
        <v>13</v>
      </c>
      <c r="AD48" s="263" t="s">
        <v>7</v>
      </c>
      <c r="AE48" s="263" t="s">
        <v>8</v>
      </c>
      <c r="AF48" s="264" t="s">
        <v>9</v>
      </c>
      <c r="AG48" s="187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261"/>
      <c r="B49" s="266" t="s">
        <v>275</v>
      </c>
      <c r="C49" s="267" t="s">
        <v>14</v>
      </c>
      <c r="D49" s="268" t="s">
        <v>15</v>
      </c>
      <c r="E49" s="269" t="s">
        <v>16</v>
      </c>
      <c r="F49" s="267" t="s">
        <v>228</v>
      </c>
      <c r="G49" s="268" t="s">
        <v>229</v>
      </c>
      <c r="H49" s="268" t="s">
        <v>17</v>
      </c>
      <c r="I49" s="268" t="s">
        <v>18</v>
      </c>
      <c r="J49" s="268" t="s">
        <v>19</v>
      </c>
      <c r="K49" s="268" t="s">
        <v>20</v>
      </c>
      <c r="L49" s="269" t="s">
        <v>21</v>
      </c>
      <c r="M49" s="267" t="s">
        <v>22</v>
      </c>
      <c r="N49" s="268" t="s">
        <v>23</v>
      </c>
      <c r="O49" s="268" t="s">
        <v>24</v>
      </c>
      <c r="P49" s="268" t="s">
        <v>25</v>
      </c>
      <c r="Q49" s="268" t="s">
        <v>26</v>
      </c>
      <c r="R49" s="268" t="s">
        <v>27</v>
      </c>
      <c r="S49" s="269" t="s">
        <v>28</v>
      </c>
      <c r="T49" s="267" t="s">
        <v>29</v>
      </c>
      <c r="U49" s="268" t="s">
        <v>30</v>
      </c>
      <c r="V49" s="268" t="s">
        <v>31</v>
      </c>
      <c r="W49" s="268" t="s">
        <v>32</v>
      </c>
      <c r="X49" s="268" t="s">
        <v>33</v>
      </c>
      <c r="Y49" s="268" t="s">
        <v>34</v>
      </c>
      <c r="Z49" s="269" t="s">
        <v>35</v>
      </c>
      <c r="AA49" s="267" t="s">
        <v>36</v>
      </c>
      <c r="AB49" s="268" t="s">
        <v>37</v>
      </c>
      <c r="AC49" s="268" t="s">
        <v>38</v>
      </c>
      <c r="AD49" s="268" t="s">
        <v>39</v>
      </c>
      <c r="AE49" s="268" t="s">
        <v>40</v>
      </c>
      <c r="AF49" s="269" t="s">
        <v>41</v>
      </c>
      <c r="AG49" s="187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261"/>
      <c r="B50" s="270" t="s">
        <v>47</v>
      </c>
      <c r="C50" s="271">
        <f t="shared" ref="C50:O50" si="48">COUNTIF(C5:C46,"A2")</f>
        <v>6</v>
      </c>
      <c r="D50" s="272">
        <f t="shared" si="48"/>
        <v>6</v>
      </c>
      <c r="E50" s="273">
        <f t="shared" si="48"/>
        <v>5</v>
      </c>
      <c r="F50" s="271">
        <f t="shared" si="48"/>
        <v>5</v>
      </c>
      <c r="G50" s="272">
        <f t="shared" si="48"/>
        <v>5</v>
      </c>
      <c r="H50" s="272">
        <f t="shared" si="48"/>
        <v>5</v>
      </c>
      <c r="I50" s="272">
        <f t="shared" si="48"/>
        <v>5</v>
      </c>
      <c r="J50" s="272">
        <f t="shared" si="48"/>
        <v>6</v>
      </c>
      <c r="K50" s="272">
        <f t="shared" si="48"/>
        <v>6</v>
      </c>
      <c r="L50" s="273">
        <f t="shared" si="48"/>
        <v>5</v>
      </c>
      <c r="M50" s="271">
        <f t="shared" si="48"/>
        <v>5</v>
      </c>
      <c r="N50" s="272">
        <f t="shared" si="48"/>
        <v>6</v>
      </c>
      <c r="O50" s="272">
        <f t="shared" si="48"/>
        <v>5</v>
      </c>
      <c r="P50" s="272">
        <f t="shared" ref="P50:T50" si="49">COUNTIF(P5:P46,"A2")-1</f>
        <v>5</v>
      </c>
      <c r="Q50" s="272">
        <f t="shared" si="49"/>
        <v>6</v>
      </c>
      <c r="R50" s="272">
        <f t="shared" si="49"/>
        <v>6</v>
      </c>
      <c r="S50" s="273">
        <f t="shared" si="49"/>
        <v>5</v>
      </c>
      <c r="T50" s="271">
        <f t="shared" si="49"/>
        <v>5</v>
      </c>
      <c r="U50" s="272">
        <f t="shared" ref="U50:V50" si="50">COUNTIF(U5:U46,"A2")</f>
        <v>5</v>
      </c>
      <c r="V50" s="272">
        <f t="shared" si="50"/>
        <v>5</v>
      </c>
      <c r="W50" s="272">
        <f t="shared" ref="W50:AA50" si="51">COUNTIF(W5:W46,"A2")-1</f>
        <v>5</v>
      </c>
      <c r="X50" s="272">
        <f t="shared" si="51"/>
        <v>6</v>
      </c>
      <c r="Y50" s="272">
        <f t="shared" si="51"/>
        <v>6</v>
      </c>
      <c r="Z50" s="273">
        <f t="shared" si="51"/>
        <v>5</v>
      </c>
      <c r="AA50" s="271">
        <f t="shared" si="51"/>
        <v>5</v>
      </c>
      <c r="AB50" s="272">
        <f t="shared" ref="AB50:AC50" si="52">COUNTIF(AB5:AB46,"A2")</f>
        <v>5</v>
      </c>
      <c r="AC50" s="272">
        <f t="shared" si="52"/>
        <v>5</v>
      </c>
      <c r="AD50" s="272">
        <f t="shared" ref="AD50:AF50" si="53">COUNTIF(AD5:AD46,"A2")-1</f>
        <v>5</v>
      </c>
      <c r="AE50" s="272">
        <f t="shared" si="53"/>
        <v>6</v>
      </c>
      <c r="AF50" s="273">
        <f t="shared" si="53"/>
        <v>6</v>
      </c>
      <c r="AG50" s="187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261"/>
      <c r="B51" s="274" t="s">
        <v>46</v>
      </c>
      <c r="C51" s="275">
        <f t="shared" ref="C51:AF51" si="54">COUNTIF(C5:C46,"A8")</f>
        <v>3</v>
      </c>
      <c r="D51" s="140">
        <f t="shared" si="54"/>
        <v>3</v>
      </c>
      <c r="E51" s="276">
        <f t="shared" si="54"/>
        <v>3</v>
      </c>
      <c r="F51" s="275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276">
        <f t="shared" si="54"/>
        <v>3</v>
      </c>
      <c r="M51" s="275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276">
        <f t="shared" si="54"/>
        <v>3</v>
      </c>
      <c r="T51" s="275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276">
        <f t="shared" si="54"/>
        <v>3</v>
      </c>
      <c r="AA51" s="275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276">
        <f t="shared" si="54"/>
        <v>3</v>
      </c>
      <c r="AG51" s="187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261"/>
      <c r="B52" s="274" t="s">
        <v>45</v>
      </c>
      <c r="C52" s="277">
        <f t="shared" ref="C52:AF52" si="55">COUNTIF(C5:C46,"B5")</f>
        <v>7</v>
      </c>
      <c r="D52" s="143">
        <f t="shared" si="55"/>
        <v>7</v>
      </c>
      <c r="E52" s="278">
        <f t="shared" si="55"/>
        <v>7</v>
      </c>
      <c r="F52" s="277">
        <f t="shared" si="55"/>
        <v>7</v>
      </c>
      <c r="G52" s="143">
        <f t="shared" si="55"/>
        <v>7</v>
      </c>
      <c r="H52" s="143">
        <f t="shared" si="55"/>
        <v>6</v>
      </c>
      <c r="I52" s="143">
        <f t="shared" si="55"/>
        <v>6</v>
      </c>
      <c r="J52" s="143">
        <f t="shared" si="55"/>
        <v>7</v>
      </c>
      <c r="K52" s="143">
        <f t="shared" si="55"/>
        <v>7</v>
      </c>
      <c r="L52" s="278">
        <f t="shared" si="55"/>
        <v>7</v>
      </c>
      <c r="M52" s="277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278">
        <f t="shared" si="55"/>
        <v>7</v>
      </c>
      <c r="T52" s="277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278">
        <f t="shared" si="55"/>
        <v>7</v>
      </c>
      <c r="AA52" s="277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278">
        <f t="shared" si="55"/>
        <v>7</v>
      </c>
      <c r="AG52" s="187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261"/>
      <c r="B53" s="274" t="s">
        <v>44</v>
      </c>
      <c r="C53" s="275">
        <f t="shared" ref="C53:AF53" si="56">COUNTIF(C5:C46,"C6")</f>
        <v>3</v>
      </c>
      <c r="D53" s="140">
        <f t="shared" si="56"/>
        <v>3</v>
      </c>
      <c r="E53" s="276">
        <f t="shared" si="56"/>
        <v>3</v>
      </c>
      <c r="F53" s="275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276">
        <f t="shared" si="56"/>
        <v>3</v>
      </c>
      <c r="M53" s="275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4</v>
      </c>
      <c r="R53" s="140">
        <f t="shared" si="56"/>
        <v>3</v>
      </c>
      <c r="S53" s="276">
        <f t="shared" si="56"/>
        <v>3</v>
      </c>
      <c r="T53" s="275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276">
        <f t="shared" si="56"/>
        <v>3</v>
      </c>
      <c r="AA53" s="275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276">
        <f t="shared" si="56"/>
        <v>3</v>
      </c>
      <c r="AG53" s="187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261"/>
      <c r="B54" s="274" t="s">
        <v>43</v>
      </c>
      <c r="C54" s="275">
        <f t="shared" ref="C54:AF54" si="57">COUNTIF(C5:C46,"D5")</f>
        <v>6</v>
      </c>
      <c r="D54" s="140">
        <f t="shared" si="57"/>
        <v>6</v>
      </c>
      <c r="E54" s="276">
        <f t="shared" si="57"/>
        <v>6</v>
      </c>
      <c r="F54" s="275">
        <f t="shared" si="57"/>
        <v>6</v>
      </c>
      <c r="G54" s="140">
        <f t="shared" si="57"/>
        <v>6</v>
      </c>
      <c r="H54" s="140">
        <f t="shared" si="57"/>
        <v>7</v>
      </c>
      <c r="I54" s="140">
        <f t="shared" si="57"/>
        <v>7</v>
      </c>
      <c r="J54" s="140">
        <f t="shared" si="57"/>
        <v>6</v>
      </c>
      <c r="K54" s="140">
        <f t="shared" si="57"/>
        <v>6</v>
      </c>
      <c r="L54" s="276">
        <f t="shared" si="57"/>
        <v>6</v>
      </c>
      <c r="M54" s="275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276">
        <f t="shared" si="57"/>
        <v>6</v>
      </c>
      <c r="T54" s="275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276">
        <f t="shared" si="57"/>
        <v>6</v>
      </c>
      <c r="AA54" s="275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276">
        <f t="shared" si="57"/>
        <v>6</v>
      </c>
      <c r="AG54" s="187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261"/>
      <c r="B55" s="274" t="s">
        <v>53</v>
      </c>
      <c r="C55" s="275">
        <f t="shared" ref="C55:AF55" si="58">COUNTIF(C5:C46,"O")</f>
        <v>12</v>
      </c>
      <c r="D55" s="140">
        <f t="shared" si="58"/>
        <v>13</v>
      </c>
      <c r="E55" s="276">
        <f t="shared" si="58"/>
        <v>12</v>
      </c>
      <c r="F55" s="275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276">
        <f t="shared" si="58"/>
        <v>12</v>
      </c>
      <c r="M55" s="275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276">
        <f t="shared" si="58"/>
        <v>12</v>
      </c>
      <c r="T55" s="275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276">
        <f t="shared" si="58"/>
        <v>12</v>
      </c>
      <c r="AA55" s="275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276">
        <f t="shared" si="58"/>
        <v>13</v>
      </c>
      <c r="AG55" s="187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261"/>
      <c r="B56" s="274" t="s">
        <v>48</v>
      </c>
      <c r="C56" s="275">
        <f t="shared" ref="C56:AF56" si="59">COUNTIF(C5:C46,"AL")</f>
        <v>0</v>
      </c>
      <c r="D56" s="140">
        <f t="shared" si="59"/>
        <v>0</v>
      </c>
      <c r="E56" s="276">
        <f t="shared" si="59"/>
        <v>0</v>
      </c>
      <c r="F56" s="275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276">
        <f t="shared" si="59"/>
        <v>4</v>
      </c>
      <c r="M56" s="275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276">
        <f t="shared" si="59"/>
        <v>2</v>
      </c>
      <c r="T56" s="275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276">
        <f t="shared" si="59"/>
        <v>2</v>
      </c>
      <c r="AA56" s="275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276">
        <f t="shared" si="59"/>
        <v>1</v>
      </c>
      <c r="AG56" s="187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261"/>
      <c r="B57" s="274" t="s">
        <v>49</v>
      </c>
      <c r="C57" s="275">
        <f t="shared" ref="C57:AF57" si="60">COUNTIF(C5:C46,"PH")</f>
        <v>5</v>
      </c>
      <c r="D57" s="140">
        <f t="shared" si="60"/>
        <v>4</v>
      </c>
      <c r="E57" s="276">
        <f t="shared" si="60"/>
        <v>6</v>
      </c>
      <c r="F57" s="275">
        <f t="shared" si="60"/>
        <v>5</v>
      </c>
      <c r="G57" s="140">
        <f t="shared" si="60"/>
        <v>4</v>
      </c>
      <c r="H57" s="140">
        <f t="shared" si="60"/>
        <v>4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276">
        <f t="shared" si="60"/>
        <v>2</v>
      </c>
      <c r="M57" s="275">
        <f t="shared" si="60"/>
        <v>4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1</v>
      </c>
      <c r="R57" s="140">
        <f t="shared" si="60"/>
        <v>1</v>
      </c>
      <c r="S57" s="276">
        <f t="shared" si="60"/>
        <v>3</v>
      </c>
      <c r="T57" s="275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276">
        <f t="shared" si="60"/>
        <v>3</v>
      </c>
      <c r="AA57" s="275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276">
        <f t="shared" si="60"/>
        <v>2</v>
      </c>
      <c r="AG57" s="187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261"/>
      <c r="B58" s="279" t="s">
        <v>183</v>
      </c>
      <c r="C58" s="280">
        <f t="shared" ref="C58:AF58" si="61">SUM(C50:C54)</f>
        <v>25</v>
      </c>
      <c r="D58" s="281">
        <f t="shared" si="61"/>
        <v>25</v>
      </c>
      <c r="E58" s="282">
        <f t="shared" si="61"/>
        <v>24</v>
      </c>
      <c r="F58" s="283">
        <f t="shared" si="61"/>
        <v>24</v>
      </c>
      <c r="G58" s="284">
        <f t="shared" si="61"/>
        <v>24</v>
      </c>
      <c r="H58" s="285">
        <f t="shared" si="61"/>
        <v>24</v>
      </c>
      <c r="I58" s="285">
        <f t="shared" si="61"/>
        <v>24</v>
      </c>
      <c r="J58" s="281">
        <f t="shared" si="61"/>
        <v>25</v>
      </c>
      <c r="K58" s="281">
        <f t="shared" si="61"/>
        <v>25</v>
      </c>
      <c r="L58" s="282">
        <f t="shared" si="61"/>
        <v>24</v>
      </c>
      <c r="M58" s="283">
        <f t="shared" si="61"/>
        <v>24</v>
      </c>
      <c r="N58" s="285">
        <f t="shared" si="61"/>
        <v>25</v>
      </c>
      <c r="O58" s="285">
        <f t="shared" si="61"/>
        <v>24</v>
      </c>
      <c r="P58" s="285">
        <f t="shared" si="61"/>
        <v>24</v>
      </c>
      <c r="Q58" s="281">
        <f t="shared" si="61"/>
        <v>26</v>
      </c>
      <c r="R58" s="281">
        <f t="shared" si="61"/>
        <v>25</v>
      </c>
      <c r="S58" s="282">
        <f t="shared" si="61"/>
        <v>24</v>
      </c>
      <c r="T58" s="283">
        <f t="shared" si="61"/>
        <v>24</v>
      </c>
      <c r="U58" s="285">
        <f t="shared" si="61"/>
        <v>24</v>
      </c>
      <c r="V58" s="285">
        <f t="shared" si="61"/>
        <v>24</v>
      </c>
      <c r="W58" s="285">
        <f t="shared" si="61"/>
        <v>24</v>
      </c>
      <c r="X58" s="281">
        <f t="shared" si="61"/>
        <v>25</v>
      </c>
      <c r="Y58" s="281">
        <f t="shared" si="61"/>
        <v>25</v>
      </c>
      <c r="Z58" s="282">
        <f t="shared" si="61"/>
        <v>24</v>
      </c>
      <c r="AA58" s="283">
        <f t="shared" si="61"/>
        <v>24</v>
      </c>
      <c r="AB58" s="285">
        <f t="shared" si="61"/>
        <v>24</v>
      </c>
      <c r="AC58" s="285">
        <f t="shared" si="61"/>
        <v>24</v>
      </c>
      <c r="AD58" s="285">
        <f t="shared" si="61"/>
        <v>24</v>
      </c>
      <c r="AE58" s="281">
        <f t="shared" si="61"/>
        <v>25</v>
      </c>
      <c r="AF58" s="286">
        <f t="shared" si="61"/>
        <v>25</v>
      </c>
      <c r="AG58" s="187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254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254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254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254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254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254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254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254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254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254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254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254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254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254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254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254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254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254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254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254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254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254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254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254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254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254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254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254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254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254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254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254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254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254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254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254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254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254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254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254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254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254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254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254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254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254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254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254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254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254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254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254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254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254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254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254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254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254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254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254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254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254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254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254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254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254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254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254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254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254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254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254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254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254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254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254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254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254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254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254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254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254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254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254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254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254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254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254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254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254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254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254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254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254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254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254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254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254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254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254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254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254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254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254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254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254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254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254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254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254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254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254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254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254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254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254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254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254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254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254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254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254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254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254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254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254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254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254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254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254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254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254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254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254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254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254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254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254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254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254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254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254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254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254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254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254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254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254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254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254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254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254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254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254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254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254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254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254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254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254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254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254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254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254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254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254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254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254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254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254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254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254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254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254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254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254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254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254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254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254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254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254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254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254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254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254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254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254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254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254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254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254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254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254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254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254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254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254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254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254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7" t="str">
        <f t="array" ref="A1:AF44">'ORIGIN MONTH 7'!A3:AF46</f>
        <v>E .NAME</v>
      </c>
      <c r="B1" s="288" t="s">
        <v>5</v>
      </c>
      <c r="C1" s="288" t="s">
        <v>8</v>
      </c>
      <c r="D1" s="288" t="s">
        <v>9</v>
      </c>
      <c r="E1" s="288" t="s">
        <v>10</v>
      </c>
      <c r="F1" s="288" t="s">
        <v>11</v>
      </c>
      <c r="G1" s="288" t="s">
        <v>12</v>
      </c>
      <c r="H1" s="288" t="s">
        <v>13</v>
      </c>
      <c r="I1" s="288" t="s">
        <v>7</v>
      </c>
      <c r="J1" s="288" t="s">
        <v>8</v>
      </c>
      <c r="K1" s="288" t="s">
        <v>9</v>
      </c>
      <c r="L1" s="288" t="s">
        <v>10</v>
      </c>
      <c r="M1" s="288" t="s">
        <v>11</v>
      </c>
      <c r="N1" s="288" t="s">
        <v>12</v>
      </c>
      <c r="O1" s="288" t="s">
        <v>13</v>
      </c>
      <c r="P1" s="288" t="s">
        <v>7</v>
      </c>
      <c r="Q1" s="288" t="s">
        <v>8</v>
      </c>
      <c r="R1" s="288" t="s">
        <v>9</v>
      </c>
      <c r="S1" s="288" t="s">
        <v>10</v>
      </c>
      <c r="T1" s="288" t="s">
        <v>11</v>
      </c>
      <c r="U1" s="288" t="s">
        <v>12</v>
      </c>
      <c r="V1" s="288" t="s">
        <v>13</v>
      </c>
      <c r="W1" s="288" t="s">
        <v>7</v>
      </c>
      <c r="X1" s="288" t="s">
        <v>8</v>
      </c>
      <c r="Y1" s="288" t="s">
        <v>9</v>
      </c>
      <c r="Z1" s="288" t="s">
        <v>10</v>
      </c>
      <c r="AA1" s="288" t="s">
        <v>11</v>
      </c>
      <c r="AB1" s="288" t="s">
        <v>12</v>
      </c>
      <c r="AC1" s="288" t="s">
        <v>13</v>
      </c>
      <c r="AD1" s="288" t="s">
        <v>7</v>
      </c>
      <c r="AE1" s="288" t="s">
        <v>8</v>
      </c>
      <c r="AF1" s="288" t="s">
        <v>9</v>
      </c>
      <c r="AG1" s="289"/>
      <c r="AH1" s="289"/>
    </row>
    <row r="2">
      <c r="A2" s="287"/>
      <c r="B2" s="288"/>
      <c r="C2" s="288" t="s">
        <v>14</v>
      </c>
      <c r="D2" s="288" t="s">
        <v>15</v>
      </c>
      <c r="E2" s="288" t="s">
        <v>16</v>
      </c>
      <c r="F2" s="288" t="s">
        <v>228</v>
      </c>
      <c r="G2" s="288" t="s">
        <v>229</v>
      </c>
      <c r="H2" s="288" t="s">
        <v>17</v>
      </c>
      <c r="I2" s="288" t="s">
        <v>18</v>
      </c>
      <c r="J2" s="288" t="s">
        <v>19</v>
      </c>
      <c r="K2" s="288" t="s">
        <v>20</v>
      </c>
      <c r="L2" s="288" t="s">
        <v>21</v>
      </c>
      <c r="M2" s="288" t="s">
        <v>22</v>
      </c>
      <c r="N2" s="288" t="s">
        <v>23</v>
      </c>
      <c r="O2" s="288" t="s">
        <v>24</v>
      </c>
      <c r="P2" s="288" t="s">
        <v>25</v>
      </c>
      <c r="Q2" s="288" t="s">
        <v>26</v>
      </c>
      <c r="R2" s="288" t="s">
        <v>27</v>
      </c>
      <c r="S2" s="288" t="s">
        <v>28</v>
      </c>
      <c r="T2" s="288" t="s">
        <v>29</v>
      </c>
      <c r="U2" s="288" t="s">
        <v>30</v>
      </c>
      <c r="V2" s="288" t="s">
        <v>31</v>
      </c>
      <c r="W2" s="288" t="s">
        <v>32</v>
      </c>
      <c r="X2" s="288" t="s">
        <v>33</v>
      </c>
      <c r="Y2" s="288" t="s">
        <v>34</v>
      </c>
      <c r="Z2" s="288" t="s">
        <v>35</v>
      </c>
      <c r="AA2" s="288" t="s">
        <v>36</v>
      </c>
      <c r="AB2" s="288" t="s">
        <v>37</v>
      </c>
      <c r="AC2" s="288" t="s">
        <v>38</v>
      </c>
      <c r="AD2" s="288" t="s">
        <v>39</v>
      </c>
      <c r="AE2" s="288" t="s">
        <v>40</v>
      </c>
      <c r="AF2" s="288" t="s">
        <v>41</v>
      </c>
      <c r="AG2" s="289"/>
      <c r="AH2" s="289"/>
    </row>
    <row r="3">
      <c r="A3" s="290" t="s">
        <v>230</v>
      </c>
      <c r="B3" s="288" t="s">
        <v>59</v>
      </c>
      <c r="C3" s="288" t="s">
        <v>43</v>
      </c>
      <c r="D3" s="288" t="s">
        <v>53</v>
      </c>
      <c r="E3" s="288" t="s">
        <v>53</v>
      </c>
      <c r="F3" s="288" t="s">
        <v>47</v>
      </c>
      <c r="G3" s="288" t="s">
        <v>46</v>
      </c>
      <c r="H3" s="288" t="s">
        <v>46</v>
      </c>
      <c r="I3" s="288" t="s">
        <v>45</v>
      </c>
      <c r="J3" s="288" t="s">
        <v>43</v>
      </c>
      <c r="K3" s="288" t="s">
        <v>53</v>
      </c>
      <c r="L3" s="288" t="s">
        <v>53</v>
      </c>
      <c r="M3" s="288" t="s">
        <v>47</v>
      </c>
      <c r="N3" s="288" t="s">
        <v>45</v>
      </c>
      <c r="O3" s="288" t="s">
        <v>45</v>
      </c>
      <c r="P3" s="288" t="s">
        <v>45</v>
      </c>
      <c r="Q3" s="288" t="s">
        <v>44</v>
      </c>
      <c r="R3" s="288" t="s">
        <v>53</v>
      </c>
      <c r="S3" s="288" t="s">
        <v>53</v>
      </c>
      <c r="T3" s="288" t="s">
        <v>45</v>
      </c>
      <c r="U3" s="288" t="s">
        <v>45</v>
      </c>
      <c r="V3" s="288" t="s">
        <v>48</v>
      </c>
      <c r="W3" s="288" t="s">
        <v>48</v>
      </c>
      <c r="X3" s="288" t="s">
        <v>48</v>
      </c>
      <c r="Y3" s="288" t="s">
        <v>53</v>
      </c>
      <c r="Z3" s="288" t="s">
        <v>53</v>
      </c>
      <c r="AA3" s="288" t="s">
        <v>45</v>
      </c>
      <c r="AB3" s="288" t="s">
        <v>45</v>
      </c>
      <c r="AC3" s="288" t="s">
        <v>45</v>
      </c>
      <c r="AD3" s="288" t="s">
        <v>44</v>
      </c>
      <c r="AE3" s="288" t="s">
        <v>44</v>
      </c>
      <c r="AF3" s="288" t="s">
        <v>53</v>
      </c>
      <c r="AG3" s="287"/>
      <c r="AH3" s="287"/>
    </row>
    <row r="4">
      <c r="A4" s="290" t="s">
        <v>231</v>
      </c>
      <c r="B4" s="288" t="s">
        <v>62</v>
      </c>
      <c r="C4" s="288" t="s">
        <v>44</v>
      </c>
      <c r="D4" s="288" t="s">
        <v>53</v>
      </c>
      <c r="E4" s="288" t="s">
        <v>53</v>
      </c>
      <c r="F4" s="288" t="s">
        <v>49</v>
      </c>
      <c r="G4" s="288" t="s">
        <v>45</v>
      </c>
      <c r="H4" s="288" t="s">
        <v>45</v>
      </c>
      <c r="I4" s="288" t="s">
        <v>44</v>
      </c>
      <c r="J4" s="287" t="s">
        <v>44</v>
      </c>
      <c r="K4" s="288" t="s">
        <v>53</v>
      </c>
      <c r="L4" s="288" t="s">
        <v>53</v>
      </c>
      <c r="M4" s="288" t="s">
        <v>47</v>
      </c>
      <c r="N4" s="288" t="s">
        <v>47</v>
      </c>
      <c r="O4" s="288" t="s">
        <v>47</v>
      </c>
      <c r="P4" s="288" t="s">
        <v>45</v>
      </c>
      <c r="Q4" s="288" t="s">
        <v>44</v>
      </c>
      <c r="R4" s="288" t="s">
        <v>53</v>
      </c>
      <c r="S4" s="288" t="s">
        <v>53</v>
      </c>
      <c r="T4" s="288" t="s">
        <v>46</v>
      </c>
      <c r="U4" s="288" t="s">
        <v>46</v>
      </c>
      <c r="V4" s="288" t="s">
        <v>45</v>
      </c>
      <c r="W4" s="288" t="s">
        <v>44</v>
      </c>
      <c r="X4" s="288" t="s">
        <v>43</v>
      </c>
      <c r="Y4" s="288" t="s">
        <v>53</v>
      </c>
      <c r="Z4" s="288" t="s">
        <v>53</v>
      </c>
      <c r="AA4" s="288" t="s">
        <v>45</v>
      </c>
      <c r="AB4" s="288" t="s">
        <v>45</v>
      </c>
      <c r="AC4" s="288" t="s">
        <v>45</v>
      </c>
      <c r="AD4" s="288" t="s">
        <v>43</v>
      </c>
      <c r="AE4" s="288" t="s">
        <v>232</v>
      </c>
      <c r="AF4" s="288" t="s">
        <v>53</v>
      </c>
      <c r="AG4" s="287"/>
      <c r="AH4" s="287"/>
    </row>
    <row r="5">
      <c r="A5" s="290" t="s">
        <v>233</v>
      </c>
      <c r="B5" s="288" t="s">
        <v>65</v>
      </c>
      <c r="C5" s="287" t="s">
        <v>47</v>
      </c>
      <c r="D5" s="287" t="s">
        <v>47</v>
      </c>
      <c r="E5" s="288" t="s">
        <v>53</v>
      </c>
      <c r="F5" s="288" t="s">
        <v>53</v>
      </c>
      <c r="G5" s="288" t="s">
        <v>47</v>
      </c>
      <c r="H5" s="288" t="s">
        <v>47</v>
      </c>
      <c r="I5" s="288" t="s">
        <v>43</v>
      </c>
      <c r="J5" s="288" t="s">
        <v>43</v>
      </c>
      <c r="K5" s="288" t="s">
        <v>43</v>
      </c>
      <c r="L5" s="288" t="s">
        <v>53</v>
      </c>
      <c r="M5" s="288" t="s">
        <v>53</v>
      </c>
      <c r="N5" s="288" t="s">
        <v>47</v>
      </c>
      <c r="O5" s="288" t="s">
        <v>47</v>
      </c>
      <c r="P5" s="288" t="s">
        <v>47</v>
      </c>
      <c r="Q5" s="288" t="s">
        <v>43</v>
      </c>
      <c r="R5" s="288" t="s">
        <v>43</v>
      </c>
      <c r="S5" s="288" t="s">
        <v>53</v>
      </c>
      <c r="T5" s="288" t="s">
        <v>53</v>
      </c>
      <c r="U5" s="288" t="s">
        <v>47</v>
      </c>
      <c r="V5" s="288" t="s">
        <v>47</v>
      </c>
      <c r="W5" s="288" t="s">
        <v>43</v>
      </c>
      <c r="X5" s="288" t="s">
        <v>43</v>
      </c>
      <c r="Y5" s="288" t="s">
        <v>43</v>
      </c>
      <c r="Z5" s="288" t="s">
        <v>53</v>
      </c>
      <c r="AA5" s="288" t="s">
        <v>53</v>
      </c>
      <c r="AB5" s="288" t="s">
        <v>49</v>
      </c>
      <c r="AC5" s="288" t="s">
        <v>49</v>
      </c>
      <c r="AD5" s="288" t="s">
        <v>48</v>
      </c>
      <c r="AE5" s="288" t="s">
        <v>48</v>
      </c>
      <c r="AF5" s="288" t="s">
        <v>43</v>
      </c>
      <c r="AG5" s="287"/>
      <c r="AH5" s="287"/>
    </row>
    <row r="6">
      <c r="A6" s="290" t="s">
        <v>234</v>
      </c>
      <c r="B6" s="288" t="s">
        <v>68</v>
      </c>
      <c r="C6" s="287" t="s">
        <v>46</v>
      </c>
      <c r="D6" s="287" t="s">
        <v>46</v>
      </c>
      <c r="E6" s="288" t="s">
        <v>53</v>
      </c>
      <c r="F6" s="288" t="s">
        <v>53</v>
      </c>
      <c r="G6" s="288" t="s">
        <v>47</v>
      </c>
      <c r="H6" s="287" t="s">
        <v>47</v>
      </c>
      <c r="I6" s="287" t="s">
        <v>47</v>
      </c>
      <c r="J6" s="288" t="s">
        <v>47</v>
      </c>
      <c r="K6" s="288" t="s">
        <v>46</v>
      </c>
      <c r="L6" s="288" t="s">
        <v>53</v>
      </c>
      <c r="M6" s="288" t="s">
        <v>53</v>
      </c>
      <c r="N6" s="288" t="s">
        <v>47</v>
      </c>
      <c r="O6" s="288" t="s">
        <v>46</v>
      </c>
      <c r="P6" s="288" t="s">
        <v>49</v>
      </c>
      <c r="Q6" s="288" t="s">
        <v>48</v>
      </c>
      <c r="R6" s="288" t="s">
        <v>48</v>
      </c>
      <c r="S6" s="288" t="s">
        <v>53</v>
      </c>
      <c r="T6" s="288" t="s">
        <v>53</v>
      </c>
      <c r="U6" s="288" t="s">
        <v>47</v>
      </c>
      <c r="V6" s="288" t="s">
        <v>47</v>
      </c>
      <c r="W6" s="288" t="s">
        <v>46</v>
      </c>
      <c r="X6" s="288" t="s">
        <v>46</v>
      </c>
      <c r="Y6" s="288" t="s">
        <v>46</v>
      </c>
      <c r="Z6" s="288" t="s">
        <v>53</v>
      </c>
      <c r="AA6" s="288" t="s">
        <v>53</v>
      </c>
      <c r="AB6" s="288" t="s">
        <v>47</v>
      </c>
      <c r="AC6" s="288" t="s">
        <v>46</v>
      </c>
      <c r="AD6" s="288" t="s">
        <v>46</v>
      </c>
      <c r="AE6" s="288" t="s">
        <v>46</v>
      </c>
      <c r="AF6" s="288" t="s">
        <v>46</v>
      </c>
      <c r="AG6" s="287"/>
      <c r="AH6" s="287"/>
    </row>
    <row r="7">
      <c r="A7" s="290" t="s">
        <v>235</v>
      </c>
      <c r="B7" s="288" t="s">
        <v>71</v>
      </c>
      <c r="C7" s="288" t="s">
        <v>43</v>
      </c>
      <c r="D7" s="288" t="s">
        <v>53</v>
      </c>
      <c r="E7" s="288" t="s">
        <v>53</v>
      </c>
      <c r="F7" s="288" t="s">
        <v>49</v>
      </c>
      <c r="G7" s="288" t="s">
        <v>49</v>
      </c>
      <c r="H7" s="288" t="s">
        <v>48</v>
      </c>
      <c r="I7" s="288" t="s">
        <v>46</v>
      </c>
      <c r="J7" s="287" t="s">
        <v>45</v>
      </c>
      <c r="K7" s="288" t="s">
        <v>53</v>
      </c>
      <c r="L7" s="288" t="s">
        <v>53</v>
      </c>
      <c r="M7" s="288" t="s">
        <v>44</v>
      </c>
      <c r="N7" s="288" t="s">
        <v>44</v>
      </c>
      <c r="O7" s="288" t="s">
        <v>48</v>
      </c>
      <c r="P7" s="288" t="s">
        <v>44</v>
      </c>
      <c r="Q7" s="288" t="s">
        <v>43</v>
      </c>
      <c r="R7" s="288" t="s">
        <v>53</v>
      </c>
      <c r="S7" s="288" t="s">
        <v>53</v>
      </c>
      <c r="T7" s="288" t="s">
        <v>46</v>
      </c>
      <c r="U7" s="288" t="s">
        <v>45</v>
      </c>
      <c r="V7" s="288" t="s">
        <v>48</v>
      </c>
      <c r="W7" s="288" t="s">
        <v>48</v>
      </c>
      <c r="X7" s="288" t="s">
        <v>48</v>
      </c>
      <c r="Y7" s="288" t="s">
        <v>53</v>
      </c>
      <c r="Z7" s="288" t="s">
        <v>53</v>
      </c>
      <c r="AA7" s="288" t="s">
        <v>47</v>
      </c>
      <c r="AB7" s="288" t="s">
        <v>46</v>
      </c>
      <c r="AC7" s="288" t="s">
        <v>48</v>
      </c>
      <c r="AD7" s="288" t="s">
        <v>45</v>
      </c>
      <c r="AE7" s="287" t="s">
        <v>45</v>
      </c>
      <c r="AF7" s="288" t="s">
        <v>53</v>
      </c>
      <c r="AG7" s="287"/>
      <c r="AH7" s="287"/>
    </row>
    <row r="8">
      <c r="A8" s="290" t="s">
        <v>236</v>
      </c>
      <c r="B8" s="288" t="s">
        <v>74</v>
      </c>
      <c r="C8" s="288" t="s">
        <v>47</v>
      </c>
      <c r="D8" s="288" t="s">
        <v>43</v>
      </c>
      <c r="E8" s="288" t="s">
        <v>53</v>
      </c>
      <c r="F8" s="288" t="s">
        <v>53</v>
      </c>
      <c r="G8" s="288" t="s">
        <v>46</v>
      </c>
      <c r="H8" s="288" t="s">
        <v>49</v>
      </c>
      <c r="I8" s="288" t="s">
        <v>45</v>
      </c>
      <c r="J8" s="288" t="s">
        <v>45</v>
      </c>
      <c r="K8" s="288" t="s">
        <v>43</v>
      </c>
      <c r="L8" s="288" t="s">
        <v>53</v>
      </c>
      <c r="M8" s="288" t="s">
        <v>53</v>
      </c>
      <c r="N8" s="288" t="s">
        <v>49</v>
      </c>
      <c r="O8" s="288" t="s">
        <v>49</v>
      </c>
      <c r="P8" s="288" t="s">
        <v>46</v>
      </c>
      <c r="Q8" s="288" t="s">
        <v>47</v>
      </c>
      <c r="R8" s="288" t="s">
        <v>44</v>
      </c>
      <c r="S8" s="288" t="s">
        <v>53</v>
      </c>
      <c r="T8" s="288" t="s">
        <v>53</v>
      </c>
      <c r="U8" s="288" t="s">
        <v>49</v>
      </c>
      <c r="V8" s="288" t="s">
        <v>45</v>
      </c>
      <c r="W8" s="288" t="s">
        <v>45</v>
      </c>
      <c r="X8" s="288" t="s">
        <v>45</v>
      </c>
      <c r="Y8" s="288" t="s">
        <v>44</v>
      </c>
      <c r="Z8" s="288" t="s">
        <v>53</v>
      </c>
      <c r="AA8" s="288" t="s">
        <v>53</v>
      </c>
      <c r="AB8" s="288" t="s">
        <v>46</v>
      </c>
      <c r="AC8" s="288" t="s">
        <v>49</v>
      </c>
      <c r="AD8" s="288" t="s">
        <v>47</v>
      </c>
      <c r="AE8" s="288" t="s">
        <v>44</v>
      </c>
      <c r="AF8" s="288" t="s">
        <v>49</v>
      </c>
      <c r="AG8" s="287"/>
      <c r="AH8" s="287"/>
    </row>
    <row r="9">
      <c r="A9" s="290" t="s">
        <v>237</v>
      </c>
      <c r="B9" s="288" t="s">
        <v>77</v>
      </c>
      <c r="C9" s="288" t="s">
        <v>49</v>
      </c>
      <c r="D9" s="288" t="s">
        <v>53</v>
      </c>
      <c r="E9" s="288" t="s">
        <v>53</v>
      </c>
      <c r="F9" s="288" t="s">
        <v>47</v>
      </c>
      <c r="G9" s="288" t="s">
        <v>45</v>
      </c>
      <c r="H9" s="288" t="s">
        <v>44</v>
      </c>
      <c r="I9" s="288" t="s">
        <v>49</v>
      </c>
      <c r="J9" s="288" t="s">
        <v>49</v>
      </c>
      <c r="K9" s="288" t="s">
        <v>53</v>
      </c>
      <c r="L9" s="288" t="s">
        <v>53</v>
      </c>
      <c r="M9" s="288" t="s">
        <v>47</v>
      </c>
      <c r="N9" s="288" t="s">
        <v>47</v>
      </c>
      <c r="O9" s="288" t="s">
        <v>45</v>
      </c>
      <c r="P9" s="288" t="s">
        <v>44</v>
      </c>
      <c r="Q9" s="288" t="s">
        <v>48</v>
      </c>
      <c r="R9" s="288" t="s">
        <v>53</v>
      </c>
      <c r="S9" s="288" t="s">
        <v>53</v>
      </c>
      <c r="T9" s="288" t="s">
        <v>46</v>
      </c>
      <c r="U9" s="288" t="s">
        <v>46</v>
      </c>
      <c r="V9" s="288" t="s">
        <v>45</v>
      </c>
      <c r="W9" s="288" t="s">
        <v>44</v>
      </c>
      <c r="X9" s="288" t="s">
        <v>43</v>
      </c>
      <c r="Y9" s="288" t="s">
        <v>53</v>
      </c>
      <c r="Z9" s="288" t="s">
        <v>53</v>
      </c>
      <c r="AA9" s="288" t="s">
        <v>47</v>
      </c>
      <c r="AB9" s="288" t="s">
        <v>43</v>
      </c>
      <c r="AC9" s="288" t="s">
        <v>48</v>
      </c>
      <c r="AD9" s="288" t="s">
        <v>45</v>
      </c>
      <c r="AE9" s="288" t="s">
        <v>43</v>
      </c>
      <c r="AF9" s="288" t="s">
        <v>53</v>
      </c>
      <c r="AG9" s="287"/>
      <c r="AH9" s="287"/>
    </row>
    <row r="10">
      <c r="A10" s="290" t="s">
        <v>238</v>
      </c>
      <c r="B10" s="288" t="s">
        <v>80</v>
      </c>
      <c r="C10" s="288" t="s">
        <v>49</v>
      </c>
      <c r="D10" s="288" t="s">
        <v>43</v>
      </c>
      <c r="E10" s="288" t="s">
        <v>53</v>
      </c>
      <c r="F10" s="288" t="s">
        <v>53</v>
      </c>
      <c r="G10" s="288" t="s">
        <v>47</v>
      </c>
      <c r="H10" s="288" t="s">
        <v>47</v>
      </c>
      <c r="I10" s="288" t="s">
        <v>47</v>
      </c>
      <c r="J10" s="287" t="s">
        <v>43</v>
      </c>
      <c r="K10" s="287" t="s">
        <v>43</v>
      </c>
      <c r="L10" s="288" t="s">
        <v>53</v>
      </c>
      <c r="M10" s="288" t="s">
        <v>53</v>
      </c>
      <c r="N10" s="288" t="s">
        <v>47</v>
      </c>
      <c r="O10" s="288" t="s">
        <v>47</v>
      </c>
      <c r="P10" s="288" t="s">
        <v>43</v>
      </c>
      <c r="Q10" s="288" t="s">
        <v>43</v>
      </c>
      <c r="R10" s="288" t="s">
        <v>43</v>
      </c>
      <c r="S10" s="288" t="s">
        <v>53</v>
      </c>
      <c r="T10" s="288" t="s">
        <v>53</v>
      </c>
      <c r="U10" s="288" t="s">
        <v>47</v>
      </c>
      <c r="V10" s="288" t="s">
        <v>47</v>
      </c>
      <c r="W10" s="288" t="s">
        <v>47</v>
      </c>
      <c r="X10" s="288" t="s">
        <v>43</v>
      </c>
      <c r="Y10" s="288" t="s">
        <v>43</v>
      </c>
      <c r="Z10" s="288" t="s">
        <v>53</v>
      </c>
      <c r="AA10" s="288" t="s">
        <v>53</v>
      </c>
      <c r="AB10" s="288" t="s">
        <v>47</v>
      </c>
      <c r="AC10" s="288" t="s">
        <v>47</v>
      </c>
      <c r="AD10" s="288" t="s">
        <v>43</v>
      </c>
      <c r="AE10" s="288" t="s">
        <v>43</v>
      </c>
      <c r="AF10" s="288" t="s">
        <v>43</v>
      </c>
      <c r="AG10" s="287"/>
      <c r="AH10" s="287"/>
    </row>
    <row r="11">
      <c r="A11" s="290" t="s">
        <v>239</v>
      </c>
      <c r="B11" s="288" t="s">
        <v>83</v>
      </c>
      <c r="C11" s="288" t="s">
        <v>43</v>
      </c>
      <c r="D11" s="288" t="s">
        <v>53</v>
      </c>
      <c r="E11" s="288" t="s">
        <v>53</v>
      </c>
      <c r="F11" s="288" t="s">
        <v>47</v>
      </c>
      <c r="G11" s="288" t="s">
        <v>45</v>
      </c>
      <c r="H11" s="288" t="s">
        <v>45</v>
      </c>
      <c r="I11" s="288" t="s">
        <v>43</v>
      </c>
      <c r="J11" s="288" t="s">
        <v>43</v>
      </c>
      <c r="K11" s="288" t="s">
        <v>53</v>
      </c>
      <c r="L11" s="288" t="s">
        <v>53</v>
      </c>
      <c r="M11" s="288" t="s">
        <v>46</v>
      </c>
      <c r="N11" s="288" t="s">
        <v>46</v>
      </c>
      <c r="O11" s="288" t="s">
        <v>45</v>
      </c>
      <c r="P11" s="288" t="s">
        <v>45</v>
      </c>
      <c r="Q11" s="288" t="s">
        <v>44</v>
      </c>
      <c r="R11" s="288" t="s">
        <v>53</v>
      </c>
      <c r="S11" s="288" t="s">
        <v>53</v>
      </c>
      <c r="T11" s="288" t="s">
        <v>49</v>
      </c>
      <c r="U11" s="288" t="s">
        <v>49</v>
      </c>
      <c r="V11" s="288" t="s">
        <v>49</v>
      </c>
      <c r="W11" s="288" t="s">
        <v>48</v>
      </c>
      <c r="X11" s="288" t="s">
        <v>48</v>
      </c>
      <c r="Y11" s="288" t="s">
        <v>53</v>
      </c>
      <c r="Z11" s="288" t="s">
        <v>53</v>
      </c>
      <c r="AA11" s="288" t="s">
        <v>46</v>
      </c>
      <c r="AB11" s="288" t="s">
        <v>46</v>
      </c>
      <c r="AC11" s="288" t="s">
        <v>47</v>
      </c>
      <c r="AD11" s="288" t="s">
        <v>44</v>
      </c>
      <c r="AE11" s="288" t="s">
        <v>43</v>
      </c>
      <c r="AF11" s="288" t="s">
        <v>53</v>
      </c>
      <c r="AG11" s="287"/>
      <c r="AH11" s="287"/>
    </row>
    <row r="12">
      <c r="A12" s="290" t="s">
        <v>240</v>
      </c>
      <c r="B12" s="288" t="s">
        <v>86</v>
      </c>
      <c r="C12" s="288" t="s">
        <v>45</v>
      </c>
      <c r="D12" s="288" t="s">
        <v>43</v>
      </c>
      <c r="E12" s="288" t="s">
        <v>53</v>
      </c>
      <c r="F12" s="288" t="s">
        <v>53</v>
      </c>
      <c r="G12" s="288" t="s">
        <v>48</v>
      </c>
      <c r="H12" s="288" t="s">
        <v>48</v>
      </c>
      <c r="I12" s="288" t="s">
        <v>48</v>
      </c>
      <c r="J12" s="288" t="s">
        <v>47</v>
      </c>
      <c r="K12" s="288" t="s">
        <v>43</v>
      </c>
      <c r="L12" s="288" t="s">
        <v>53</v>
      </c>
      <c r="M12" s="288" t="s">
        <v>53</v>
      </c>
      <c r="N12" s="288" t="s">
        <v>45</v>
      </c>
      <c r="O12" s="288" t="s">
        <v>45</v>
      </c>
      <c r="P12" s="288" t="s">
        <v>45</v>
      </c>
      <c r="Q12" s="288" t="s">
        <v>44</v>
      </c>
      <c r="R12" s="288" t="s">
        <v>48</v>
      </c>
      <c r="S12" s="288" t="s">
        <v>53</v>
      </c>
      <c r="T12" s="288" t="s">
        <v>53</v>
      </c>
      <c r="U12" s="288" t="s">
        <v>47</v>
      </c>
      <c r="V12" s="288" t="s">
        <v>47</v>
      </c>
      <c r="W12" s="288" t="s">
        <v>45</v>
      </c>
      <c r="X12" s="288" t="s">
        <v>44</v>
      </c>
      <c r="Y12" s="288" t="s">
        <v>43</v>
      </c>
      <c r="Z12" s="288" t="s">
        <v>53</v>
      </c>
      <c r="AA12" s="288" t="s">
        <v>53</v>
      </c>
      <c r="AB12" s="288" t="s">
        <v>47</v>
      </c>
      <c r="AC12" s="288" t="s">
        <v>47</v>
      </c>
      <c r="AD12" s="288" t="s">
        <v>47</v>
      </c>
      <c r="AE12" s="288" t="s">
        <v>48</v>
      </c>
      <c r="AF12" s="288" t="s">
        <v>48</v>
      </c>
      <c r="AG12" s="287"/>
      <c r="AH12" s="287"/>
    </row>
    <row r="13">
      <c r="A13" s="290" t="s">
        <v>241</v>
      </c>
      <c r="B13" s="288" t="s">
        <v>89</v>
      </c>
      <c r="C13" s="288" t="s">
        <v>44</v>
      </c>
      <c r="D13" s="288" t="s">
        <v>44</v>
      </c>
      <c r="E13" s="288" t="s">
        <v>43</v>
      </c>
      <c r="F13" s="288" t="s">
        <v>53</v>
      </c>
      <c r="G13" s="288" t="s">
        <v>53</v>
      </c>
      <c r="H13" s="288" t="s">
        <v>45</v>
      </c>
      <c r="I13" s="288" t="s">
        <v>45</v>
      </c>
      <c r="J13" s="288" t="s">
        <v>43</v>
      </c>
      <c r="K13" s="288" t="s">
        <v>48</v>
      </c>
      <c r="L13" s="288" t="s">
        <v>48</v>
      </c>
      <c r="M13" s="288" t="s">
        <v>53</v>
      </c>
      <c r="N13" s="288" t="s">
        <v>53</v>
      </c>
      <c r="O13" s="288" t="s">
        <v>45</v>
      </c>
      <c r="P13" s="288" t="s">
        <v>45</v>
      </c>
      <c r="Q13" s="288" t="s">
        <v>45</v>
      </c>
      <c r="R13" s="288" t="s">
        <v>44</v>
      </c>
      <c r="S13" s="288" t="s">
        <v>43</v>
      </c>
      <c r="T13" s="288" t="s">
        <v>53</v>
      </c>
      <c r="U13" s="288" t="s">
        <v>53</v>
      </c>
      <c r="V13" s="288" t="s">
        <v>45</v>
      </c>
      <c r="W13" s="288" t="s">
        <v>45</v>
      </c>
      <c r="X13" s="288" t="s">
        <v>44</v>
      </c>
      <c r="Y13" s="288" t="s">
        <v>43</v>
      </c>
      <c r="Z13" s="287" t="s">
        <v>43</v>
      </c>
      <c r="AA13" s="288" t="s">
        <v>53</v>
      </c>
      <c r="AB13" s="288" t="s">
        <v>53</v>
      </c>
      <c r="AC13" s="288" t="s">
        <v>48</v>
      </c>
      <c r="AD13" s="288" t="s">
        <v>45</v>
      </c>
      <c r="AE13" s="288" t="s">
        <v>45</v>
      </c>
      <c r="AF13" s="288" t="s">
        <v>45</v>
      </c>
      <c r="AG13" s="287"/>
      <c r="AH13" s="287"/>
    </row>
    <row r="14">
      <c r="A14" s="290" t="s">
        <v>242</v>
      </c>
      <c r="B14" s="288" t="s">
        <v>92</v>
      </c>
      <c r="C14" s="288" t="s">
        <v>49</v>
      </c>
      <c r="D14" s="288" t="s">
        <v>49</v>
      </c>
      <c r="E14" s="288" t="s">
        <v>49</v>
      </c>
      <c r="F14" s="288" t="s">
        <v>49</v>
      </c>
      <c r="G14" s="288" t="s">
        <v>49</v>
      </c>
      <c r="H14" s="288" t="s">
        <v>53</v>
      </c>
      <c r="I14" s="288" t="s">
        <v>53</v>
      </c>
      <c r="J14" s="288" t="s">
        <v>46</v>
      </c>
      <c r="K14" s="288" t="s">
        <v>46</v>
      </c>
      <c r="L14" s="288" t="s">
        <v>45</v>
      </c>
      <c r="M14" s="288" t="s">
        <v>44</v>
      </c>
      <c r="N14" s="288" t="s">
        <v>43</v>
      </c>
      <c r="O14" s="288" t="s">
        <v>53</v>
      </c>
      <c r="P14" s="288" t="s">
        <v>53</v>
      </c>
      <c r="Q14" s="288" t="s">
        <v>46</v>
      </c>
      <c r="R14" s="288" t="s">
        <v>46</v>
      </c>
      <c r="S14" s="288" t="s">
        <v>45</v>
      </c>
      <c r="T14" s="288" t="s">
        <v>43</v>
      </c>
      <c r="U14" s="288" t="s">
        <v>49</v>
      </c>
      <c r="V14" s="288" t="s">
        <v>53</v>
      </c>
      <c r="W14" s="288" t="s">
        <v>53</v>
      </c>
      <c r="X14" s="288" t="s">
        <v>47</v>
      </c>
      <c r="Y14" s="288" t="s">
        <v>47</v>
      </c>
      <c r="Z14" s="288" t="s">
        <v>44</v>
      </c>
      <c r="AA14" s="288" t="s">
        <v>49</v>
      </c>
      <c r="AB14" s="288" t="s">
        <v>43</v>
      </c>
      <c r="AC14" s="288" t="s">
        <v>53</v>
      </c>
      <c r="AD14" s="288" t="s">
        <v>53</v>
      </c>
      <c r="AE14" s="288" t="s">
        <v>47</v>
      </c>
      <c r="AF14" s="288" t="s">
        <v>47</v>
      </c>
      <c r="AG14" s="287"/>
      <c r="AH14" s="287"/>
    </row>
    <row r="15">
      <c r="A15" s="290" t="s">
        <v>243</v>
      </c>
      <c r="B15" s="288" t="s">
        <v>95</v>
      </c>
      <c r="C15" s="288" t="s">
        <v>53</v>
      </c>
      <c r="D15" s="288" t="s">
        <v>53</v>
      </c>
      <c r="E15" s="288" t="s">
        <v>47</v>
      </c>
      <c r="F15" s="288" t="s">
        <v>46</v>
      </c>
      <c r="G15" s="288" t="s">
        <v>44</v>
      </c>
      <c r="H15" s="288" t="s">
        <v>43</v>
      </c>
      <c r="I15" s="288" t="s">
        <v>43</v>
      </c>
      <c r="J15" s="288" t="s">
        <v>53</v>
      </c>
      <c r="K15" s="288" t="s">
        <v>53</v>
      </c>
      <c r="L15" s="288" t="s">
        <v>48</v>
      </c>
      <c r="M15" s="288" t="s">
        <v>45</v>
      </c>
      <c r="N15" s="288" t="s">
        <v>45</v>
      </c>
      <c r="O15" s="288" t="s">
        <v>45</v>
      </c>
      <c r="P15" s="288" t="s">
        <v>44</v>
      </c>
      <c r="Q15" s="288" t="s">
        <v>53</v>
      </c>
      <c r="R15" s="288" t="s">
        <v>53</v>
      </c>
      <c r="S15" s="288" t="s">
        <v>48</v>
      </c>
      <c r="T15" s="288" t="s">
        <v>47</v>
      </c>
      <c r="U15" s="288" t="s">
        <v>45</v>
      </c>
      <c r="V15" s="288" t="s">
        <v>45</v>
      </c>
      <c r="W15" s="288" t="s">
        <v>44</v>
      </c>
      <c r="X15" s="288" t="s">
        <v>53</v>
      </c>
      <c r="Y15" s="288" t="s">
        <v>53</v>
      </c>
      <c r="Z15" s="288" t="s">
        <v>47</v>
      </c>
      <c r="AA15" s="288" t="s">
        <v>47</v>
      </c>
      <c r="AB15" s="288" t="s">
        <v>47</v>
      </c>
      <c r="AC15" s="288" t="s">
        <v>48</v>
      </c>
      <c r="AD15" s="288" t="s">
        <v>48</v>
      </c>
      <c r="AE15" s="288" t="s">
        <v>53</v>
      </c>
      <c r="AF15" s="288" t="s">
        <v>53</v>
      </c>
      <c r="AG15" s="287"/>
      <c r="AH15" s="287"/>
    </row>
    <row r="16">
      <c r="A16" s="290" t="s">
        <v>244</v>
      </c>
      <c r="B16" s="288" t="s">
        <v>98</v>
      </c>
      <c r="C16" s="288" t="s">
        <v>43</v>
      </c>
      <c r="D16" s="288" t="s">
        <v>43</v>
      </c>
      <c r="E16" s="288" t="s">
        <v>53</v>
      </c>
      <c r="F16" s="288" t="s">
        <v>53</v>
      </c>
      <c r="G16" s="288" t="s">
        <v>47</v>
      </c>
      <c r="H16" s="288" t="s">
        <v>47</v>
      </c>
      <c r="I16" s="288" t="s">
        <v>44</v>
      </c>
      <c r="J16" s="288" t="s">
        <v>44</v>
      </c>
      <c r="K16" s="288" t="s">
        <v>43</v>
      </c>
      <c r="L16" s="288" t="s">
        <v>53</v>
      </c>
      <c r="M16" s="288" t="s">
        <v>53</v>
      </c>
      <c r="N16" s="288" t="s">
        <v>47</v>
      </c>
      <c r="O16" s="288" t="s">
        <v>47</v>
      </c>
      <c r="P16" s="288" t="s">
        <v>45</v>
      </c>
      <c r="Q16" s="288" t="s">
        <v>45</v>
      </c>
      <c r="R16" s="288" t="s">
        <v>43</v>
      </c>
      <c r="S16" s="288" t="s">
        <v>53</v>
      </c>
      <c r="T16" s="288" t="s">
        <v>53</v>
      </c>
      <c r="U16" s="288" t="s">
        <v>47</v>
      </c>
      <c r="V16" s="288" t="s">
        <v>46</v>
      </c>
      <c r="W16" s="288" t="s">
        <v>45</v>
      </c>
      <c r="X16" s="288" t="s">
        <v>45</v>
      </c>
      <c r="Y16" s="288" t="s">
        <v>43</v>
      </c>
      <c r="Z16" s="288" t="s">
        <v>53</v>
      </c>
      <c r="AA16" s="288" t="s">
        <v>53</v>
      </c>
      <c r="AB16" s="288" t="s">
        <v>47</v>
      </c>
      <c r="AC16" s="288" t="s">
        <v>46</v>
      </c>
      <c r="AD16" s="288" t="s">
        <v>46</v>
      </c>
      <c r="AE16" s="288" t="s">
        <v>44</v>
      </c>
      <c r="AF16" s="288" t="s">
        <v>43</v>
      </c>
      <c r="AG16" s="287"/>
      <c r="AH16" s="287"/>
    </row>
    <row r="17">
      <c r="A17" s="290" t="s">
        <v>245</v>
      </c>
      <c r="B17" s="288" t="s">
        <v>101</v>
      </c>
      <c r="C17" s="288" t="s">
        <v>53</v>
      </c>
      <c r="D17" s="288" t="s">
        <v>53</v>
      </c>
      <c r="E17" s="288" t="s">
        <v>47</v>
      </c>
      <c r="F17" s="288" t="s">
        <v>47</v>
      </c>
      <c r="G17" s="288" t="s">
        <v>45</v>
      </c>
      <c r="H17" s="288" t="s">
        <v>45</v>
      </c>
      <c r="I17" s="288" t="s">
        <v>48</v>
      </c>
      <c r="J17" s="288" t="s">
        <v>53</v>
      </c>
      <c r="K17" s="288" t="s">
        <v>53</v>
      </c>
      <c r="L17" s="288" t="s">
        <v>48</v>
      </c>
      <c r="M17" s="288" t="s">
        <v>47</v>
      </c>
      <c r="N17" s="288" t="s">
        <v>45</v>
      </c>
      <c r="O17" s="288" t="s">
        <v>43</v>
      </c>
      <c r="P17" s="288" t="s">
        <v>43</v>
      </c>
      <c r="Q17" s="288" t="s">
        <v>53</v>
      </c>
      <c r="R17" s="288" t="s">
        <v>53</v>
      </c>
      <c r="S17" s="288" t="s">
        <v>47</v>
      </c>
      <c r="T17" s="288" t="s">
        <v>47</v>
      </c>
      <c r="U17" s="288" t="s">
        <v>45</v>
      </c>
      <c r="V17" s="288" t="s">
        <v>43</v>
      </c>
      <c r="W17" s="288" t="s">
        <v>43</v>
      </c>
      <c r="X17" s="288" t="s">
        <v>53</v>
      </c>
      <c r="Y17" s="288" t="s">
        <v>53</v>
      </c>
      <c r="Z17" s="288" t="s">
        <v>48</v>
      </c>
      <c r="AA17" s="288" t="s">
        <v>47</v>
      </c>
      <c r="AB17" s="288" t="s">
        <v>45</v>
      </c>
      <c r="AC17" s="288" t="s">
        <v>45</v>
      </c>
      <c r="AD17" s="288" t="s">
        <v>45</v>
      </c>
      <c r="AE17" s="288" t="s">
        <v>53</v>
      </c>
      <c r="AF17" s="288" t="s">
        <v>53</v>
      </c>
      <c r="AG17" s="287"/>
      <c r="AH17" s="287"/>
    </row>
    <row r="18">
      <c r="A18" s="290" t="s">
        <v>246</v>
      </c>
      <c r="B18" s="288" t="s">
        <v>104</v>
      </c>
      <c r="C18" s="288" t="s">
        <v>53</v>
      </c>
      <c r="D18" s="288" t="s">
        <v>47</v>
      </c>
      <c r="E18" s="288" t="s">
        <v>47</v>
      </c>
      <c r="F18" s="288" t="s">
        <v>46</v>
      </c>
      <c r="G18" s="288" t="s">
        <v>45</v>
      </c>
      <c r="H18" s="288" t="s">
        <v>43</v>
      </c>
      <c r="I18" s="288" t="s">
        <v>53</v>
      </c>
      <c r="J18" s="288" t="s">
        <v>53</v>
      </c>
      <c r="K18" s="288" t="s">
        <v>47</v>
      </c>
      <c r="L18" s="288" t="s">
        <v>47</v>
      </c>
      <c r="M18" s="288" t="s">
        <v>48</v>
      </c>
      <c r="N18" s="288" t="s">
        <v>46</v>
      </c>
      <c r="O18" s="288" t="s">
        <v>44</v>
      </c>
      <c r="P18" s="288" t="s">
        <v>53</v>
      </c>
      <c r="Q18" s="288" t="s">
        <v>53</v>
      </c>
      <c r="R18" s="288" t="s">
        <v>47</v>
      </c>
      <c r="S18" s="288" t="s">
        <v>46</v>
      </c>
      <c r="T18" s="288" t="s">
        <v>48</v>
      </c>
      <c r="U18" s="288" t="s">
        <v>45</v>
      </c>
      <c r="V18" s="288" t="s">
        <v>44</v>
      </c>
      <c r="W18" s="288" t="s">
        <v>53</v>
      </c>
      <c r="X18" s="288" t="s">
        <v>53</v>
      </c>
      <c r="Y18" s="288" t="s">
        <v>47</v>
      </c>
      <c r="Z18" s="288" t="s">
        <v>46</v>
      </c>
      <c r="AA18" s="288" t="s">
        <v>46</v>
      </c>
      <c r="AB18" s="288" t="s">
        <v>44</v>
      </c>
      <c r="AC18" s="288" t="s">
        <v>43</v>
      </c>
      <c r="AD18" s="288" t="s">
        <v>53</v>
      </c>
      <c r="AE18" s="288" t="s">
        <v>53</v>
      </c>
      <c r="AF18" s="287" t="s">
        <v>47</v>
      </c>
      <c r="AG18" s="287"/>
      <c r="AH18" s="287"/>
    </row>
    <row r="19">
      <c r="A19" s="290" t="s">
        <v>247</v>
      </c>
      <c r="B19" s="288" t="s">
        <v>107</v>
      </c>
      <c r="C19" s="288" t="s">
        <v>43</v>
      </c>
      <c r="D19" s="288" t="s">
        <v>53</v>
      </c>
      <c r="E19" s="288" t="s">
        <v>43</v>
      </c>
      <c r="F19" s="288" t="s">
        <v>43</v>
      </c>
      <c r="G19" s="288" t="s">
        <v>53</v>
      </c>
      <c r="H19" s="288" t="s">
        <v>43</v>
      </c>
      <c r="I19" s="288" t="s">
        <v>43</v>
      </c>
      <c r="J19" s="288" t="s">
        <v>43</v>
      </c>
      <c r="K19" s="288" t="s">
        <v>53</v>
      </c>
      <c r="L19" s="287" t="s">
        <v>43</v>
      </c>
      <c r="M19" s="287" t="s">
        <v>43</v>
      </c>
      <c r="N19" s="288" t="s">
        <v>53</v>
      </c>
      <c r="O19" s="288" t="s">
        <v>43</v>
      </c>
      <c r="P19" s="288" t="s">
        <v>43</v>
      </c>
      <c r="Q19" s="288" t="s">
        <v>43</v>
      </c>
      <c r="R19" s="288" t="s">
        <v>53</v>
      </c>
      <c r="S19" s="288" t="s">
        <v>43</v>
      </c>
      <c r="T19" s="288" t="s">
        <v>43</v>
      </c>
      <c r="U19" s="288" t="s">
        <v>53</v>
      </c>
      <c r="V19" s="288" t="s">
        <v>43</v>
      </c>
      <c r="W19" s="288" t="s">
        <v>43</v>
      </c>
      <c r="X19" s="288" t="s">
        <v>43</v>
      </c>
      <c r="Y19" s="288" t="s">
        <v>53</v>
      </c>
      <c r="Z19" s="288" t="s">
        <v>43</v>
      </c>
      <c r="AA19" s="288" t="s">
        <v>43</v>
      </c>
      <c r="AB19" s="288" t="s">
        <v>53</v>
      </c>
      <c r="AC19" s="288" t="s">
        <v>43</v>
      </c>
      <c r="AD19" s="288" t="s">
        <v>43</v>
      </c>
      <c r="AE19" s="288" t="s">
        <v>43</v>
      </c>
      <c r="AF19" s="288" t="s">
        <v>53</v>
      </c>
      <c r="AG19" s="287"/>
      <c r="AH19" s="287"/>
    </row>
    <row r="20">
      <c r="A20" s="290" t="s">
        <v>248</v>
      </c>
      <c r="B20" s="288" t="s">
        <v>110</v>
      </c>
      <c r="C20" s="288" t="s">
        <v>53</v>
      </c>
      <c r="D20" s="288" t="s">
        <v>49</v>
      </c>
      <c r="E20" s="288" t="s">
        <v>47</v>
      </c>
      <c r="F20" s="288" t="s">
        <v>46</v>
      </c>
      <c r="G20" s="288" t="s">
        <v>45</v>
      </c>
      <c r="H20" s="288" t="s">
        <v>44</v>
      </c>
      <c r="I20" s="288" t="s">
        <v>53</v>
      </c>
      <c r="J20" s="288" t="s">
        <v>53</v>
      </c>
      <c r="K20" s="288" t="s">
        <v>47</v>
      </c>
      <c r="L20" s="288" t="s">
        <v>46</v>
      </c>
      <c r="M20" s="288" t="s">
        <v>46</v>
      </c>
      <c r="N20" s="288" t="s">
        <v>44</v>
      </c>
      <c r="O20" s="288" t="s">
        <v>49</v>
      </c>
      <c r="P20" s="288" t="s">
        <v>53</v>
      </c>
      <c r="Q20" s="288" t="s">
        <v>53</v>
      </c>
      <c r="R20" s="288" t="s">
        <v>47</v>
      </c>
      <c r="S20" s="288" t="s">
        <v>46</v>
      </c>
      <c r="T20" s="288" t="s">
        <v>44</v>
      </c>
      <c r="U20" s="288" t="s">
        <v>43</v>
      </c>
      <c r="V20" s="288" t="s">
        <v>49</v>
      </c>
      <c r="W20" s="288" t="s">
        <v>53</v>
      </c>
      <c r="X20" s="288" t="s">
        <v>53</v>
      </c>
      <c r="Y20" s="288" t="s">
        <v>47</v>
      </c>
      <c r="Z20" s="288" t="s">
        <v>46</v>
      </c>
      <c r="AA20" s="288" t="s">
        <v>46</v>
      </c>
      <c r="AB20" s="288" t="s">
        <v>45</v>
      </c>
      <c r="AC20" s="288" t="s">
        <v>43</v>
      </c>
      <c r="AD20" s="288" t="s">
        <v>53</v>
      </c>
      <c r="AE20" s="288" t="s">
        <v>53</v>
      </c>
      <c r="AF20" s="287" t="s">
        <v>47</v>
      </c>
      <c r="AG20" s="287"/>
      <c r="AH20" s="287"/>
    </row>
    <row r="21" ht="15.75" customHeight="1">
      <c r="A21" s="290" t="s">
        <v>249</v>
      </c>
      <c r="B21" s="288" t="s">
        <v>113</v>
      </c>
      <c r="C21" s="288" t="s">
        <v>53</v>
      </c>
      <c r="D21" s="288" t="s">
        <v>53</v>
      </c>
      <c r="E21" s="288" t="s">
        <v>49</v>
      </c>
      <c r="F21" s="288" t="s">
        <v>45</v>
      </c>
      <c r="G21" s="288" t="s">
        <v>43</v>
      </c>
      <c r="H21" s="288" t="s">
        <v>49</v>
      </c>
      <c r="I21" s="288" t="s">
        <v>49</v>
      </c>
      <c r="J21" s="288" t="s">
        <v>53</v>
      </c>
      <c r="K21" s="288" t="s">
        <v>53</v>
      </c>
      <c r="L21" s="288" t="s">
        <v>49</v>
      </c>
      <c r="M21" s="287" t="s">
        <v>45</v>
      </c>
      <c r="N21" s="287" t="s">
        <v>43</v>
      </c>
      <c r="O21" s="287" t="s">
        <v>43</v>
      </c>
      <c r="P21" s="288" t="s">
        <v>48</v>
      </c>
      <c r="Q21" s="288" t="s">
        <v>53</v>
      </c>
      <c r="R21" s="288" t="s">
        <v>53</v>
      </c>
      <c r="S21" s="287" t="s">
        <v>47</v>
      </c>
      <c r="T21" s="287" t="s">
        <v>47</v>
      </c>
      <c r="U21" s="287" t="s">
        <v>44</v>
      </c>
      <c r="V21" s="287" t="s">
        <v>43</v>
      </c>
      <c r="W21" s="288" t="s">
        <v>48</v>
      </c>
      <c r="X21" s="288" t="s">
        <v>53</v>
      </c>
      <c r="Y21" s="288" t="s">
        <v>53</v>
      </c>
      <c r="Z21" s="287" t="s">
        <v>47</v>
      </c>
      <c r="AA21" s="288" t="s">
        <v>45</v>
      </c>
      <c r="AB21" s="288" t="s">
        <v>45</v>
      </c>
      <c r="AC21" s="287" t="s">
        <v>45</v>
      </c>
      <c r="AD21" s="287" t="s">
        <v>43</v>
      </c>
      <c r="AE21" s="288" t="s">
        <v>53</v>
      </c>
      <c r="AF21" s="288" t="s">
        <v>53</v>
      </c>
      <c r="AG21" s="287"/>
      <c r="AH21" s="287"/>
    </row>
    <row r="22" ht="15.75" customHeight="1">
      <c r="A22" s="290" t="s">
        <v>250</v>
      </c>
      <c r="B22" s="288" t="s">
        <v>116</v>
      </c>
      <c r="C22" s="287" t="s">
        <v>47</v>
      </c>
      <c r="D22" s="287" t="s">
        <v>45</v>
      </c>
      <c r="E22" s="287" t="s">
        <v>45</v>
      </c>
      <c r="F22" s="287" t="s">
        <v>43</v>
      </c>
      <c r="G22" s="288" t="s">
        <v>53</v>
      </c>
      <c r="H22" s="288" t="s">
        <v>53</v>
      </c>
      <c r="I22" s="288" t="s">
        <v>44</v>
      </c>
      <c r="J22" s="288" t="s">
        <v>49</v>
      </c>
      <c r="K22" s="288" t="s">
        <v>49</v>
      </c>
      <c r="L22" s="288" t="s">
        <v>49</v>
      </c>
      <c r="M22" s="288" t="s">
        <v>49</v>
      </c>
      <c r="N22" s="288" t="s">
        <v>53</v>
      </c>
      <c r="O22" s="288" t="s">
        <v>53</v>
      </c>
      <c r="P22" s="288" t="s">
        <v>45</v>
      </c>
      <c r="Q22" s="288" t="s">
        <v>45</v>
      </c>
      <c r="R22" s="288" t="s">
        <v>45</v>
      </c>
      <c r="S22" s="288" t="s">
        <v>44</v>
      </c>
      <c r="T22" s="288" t="s">
        <v>43</v>
      </c>
      <c r="U22" s="288" t="s">
        <v>53</v>
      </c>
      <c r="V22" s="288" t="s">
        <v>53</v>
      </c>
      <c r="W22" s="288" t="s">
        <v>49</v>
      </c>
      <c r="X22" s="288" t="s">
        <v>45</v>
      </c>
      <c r="Y22" s="288" t="s">
        <v>45</v>
      </c>
      <c r="Z22" s="288" t="s">
        <v>43</v>
      </c>
      <c r="AA22" s="288" t="s">
        <v>43</v>
      </c>
      <c r="AB22" s="288" t="s">
        <v>53</v>
      </c>
      <c r="AC22" s="288" t="s">
        <v>53</v>
      </c>
      <c r="AD22" s="288" t="s">
        <v>49</v>
      </c>
      <c r="AE22" s="288" t="s">
        <v>47</v>
      </c>
      <c r="AF22" s="288" t="s">
        <v>46</v>
      </c>
      <c r="AG22" s="287"/>
      <c r="AH22" s="287"/>
    </row>
    <row r="23" ht="15.75" customHeight="1">
      <c r="A23" s="290" t="s">
        <v>251</v>
      </c>
      <c r="B23" s="288" t="s">
        <v>119</v>
      </c>
      <c r="C23" s="288" t="s">
        <v>53</v>
      </c>
      <c r="D23" s="288" t="s">
        <v>53</v>
      </c>
      <c r="E23" s="288" t="s">
        <v>49</v>
      </c>
      <c r="F23" s="288" t="s">
        <v>49</v>
      </c>
      <c r="G23" s="288" t="s">
        <v>47</v>
      </c>
      <c r="H23" s="288" t="s">
        <v>43</v>
      </c>
      <c r="I23" s="288" t="s">
        <v>43</v>
      </c>
      <c r="J23" s="288" t="s">
        <v>53</v>
      </c>
      <c r="K23" s="288" t="s">
        <v>53</v>
      </c>
      <c r="L23" s="288" t="s">
        <v>47</v>
      </c>
      <c r="M23" s="288" t="s">
        <v>47</v>
      </c>
      <c r="N23" s="288" t="s">
        <v>43</v>
      </c>
      <c r="O23" s="288" t="s">
        <v>43</v>
      </c>
      <c r="P23" s="288" t="s">
        <v>49</v>
      </c>
      <c r="Q23" s="288" t="s">
        <v>53</v>
      </c>
      <c r="R23" s="288" t="s">
        <v>53</v>
      </c>
      <c r="S23" s="288" t="s">
        <v>48</v>
      </c>
      <c r="T23" s="288" t="s">
        <v>47</v>
      </c>
      <c r="U23" s="288" t="s">
        <v>43</v>
      </c>
      <c r="V23" s="288" t="s">
        <v>43</v>
      </c>
      <c r="W23" s="288" t="s">
        <v>43</v>
      </c>
      <c r="X23" s="288" t="s">
        <v>53</v>
      </c>
      <c r="Y23" s="288" t="s">
        <v>53</v>
      </c>
      <c r="Z23" s="288" t="s">
        <v>47</v>
      </c>
      <c r="AA23" s="288" t="s">
        <v>47</v>
      </c>
      <c r="AB23" s="288" t="s">
        <v>43</v>
      </c>
      <c r="AC23" s="288" t="s">
        <v>43</v>
      </c>
      <c r="AD23" s="288" t="s">
        <v>48</v>
      </c>
      <c r="AE23" s="288" t="s">
        <v>53</v>
      </c>
      <c r="AF23" s="288" t="s">
        <v>53</v>
      </c>
      <c r="AG23" s="287"/>
      <c r="AH23" s="287"/>
    </row>
    <row r="24" ht="15.75" customHeight="1">
      <c r="A24" s="290" t="s">
        <v>252</v>
      </c>
      <c r="B24" s="288" t="s">
        <v>122</v>
      </c>
      <c r="C24" s="287" t="s">
        <v>46</v>
      </c>
      <c r="D24" s="287" t="s">
        <v>45</v>
      </c>
      <c r="E24" s="287" t="s">
        <v>45</v>
      </c>
      <c r="F24" s="288" t="s">
        <v>44</v>
      </c>
      <c r="G24" s="288" t="s">
        <v>53</v>
      </c>
      <c r="H24" s="288" t="s">
        <v>53</v>
      </c>
      <c r="I24" s="288" t="s">
        <v>47</v>
      </c>
      <c r="J24" s="287" t="s">
        <v>46</v>
      </c>
      <c r="K24" s="287" t="s">
        <v>45</v>
      </c>
      <c r="L24" s="288" t="s">
        <v>44</v>
      </c>
      <c r="M24" s="288" t="s">
        <v>43</v>
      </c>
      <c r="N24" s="288" t="s">
        <v>53</v>
      </c>
      <c r="O24" s="288" t="s">
        <v>53</v>
      </c>
      <c r="P24" s="288" t="s">
        <v>47</v>
      </c>
      <c r="Q24" s="288" t="s">
        <v>45</v>
      </c>
      <c r="R24" s="288" t="s">
        <v>43</v>
      </c>
      <c r="S24" s="288" t="s">
        <v>43</v>
      </c>
      <c r="T24" s="288" t="s">
        <v>48</v>
      </c>
      <c r="U24" s="288" t="s">
        <v>53</v>
      </c>
      <c r="V24" s="288" t="s">
        <v>53</v>
      </c>
      <c r="W24" s="288" t="s">
        <v>48</v>
      </c>
      <c r="X24" s="288" t="s">
        <v>48</v>
      </c>
      <c r="Y24" s="288" t="s">
        <v>48</v>
      </c>
      <c r="Z24" s="288" t="s">
        <v>45</v>
      </c>
      <c r="AA24" s="288" t="s">
        <v>43</v>
      </c>
      <c r="AB24" s="288" t="s">
        <v>53</v>
      </c>
      <c r="AC24" s="288" t="s">
        <v>53</v>
      </c>
      <c r="AD24" s="288" t="s">
        <v>48</v>
      </c>
      <c r="AE24" s="288" t="s">
        <v>48</v>
      </c>
      <c r="AF24" s="288" t="s">
        <v>47</v>
      </c>
      <c r="AG24" s="287"/>
      <c r="AH24" s="287"/>
    </row>
    <row r="25" ht="15.75" customHeight="1">
      <c r="A25" s="290" t="s">
        <v>253</v>
      </c>
      <c r="B25" s="288" t="s">
        <v>125</v>
      </c>
      <c r="C25" s="287" t="s">
        <v>46</v>
      </c>
      <c r="D25" s="287" t="s">
        <v>45</v>
      </c>
      <c r="E25" s="287" t="s">
        <v>43</v>
      </c>
      <c r="F25" s="287" t="s">
        <v>43</v>
      </c>
      <c r="G25" s="288" t="s">
        <v>53</v>
      </c>
      <c r="H25" s="288" t="s">
        <v>53</v>
      </c>
      <c r="I25" s="288" t="s">
        <v>46</v>
      </c>
      <c r="J25" s="287" t="s">
        <v>45</v>
      </c>
      <c r="K25" s="287" t="s">
        <v>45</v>
      </c>
      <c r="L25" s="287" t="s">
        <v>43</v>
      </c>
      <c r="M25" s="287" t="s">
        <v>43</v>
      </c>
      <c r="N25" s="288" t="s">
        <v>53</v>
      </c>
      <c r="O25" s="288" t="s">
        <v>53</v>
      </c>
      <c r="P25" s="288" t="s">
        <v>47</v>
      </c>
      <c r="Q25" s="287" t="s">
        <v>47</v>
      </c>
      <c r="R25" s="287" t="s">
        <v>47</v>
      </c>
      <c r="S25" s="288" t="s">
        <v>44</v>
      </c>
      <c r="T25" s="288" t="s">
        <v>43</v>
      </c>
      <c r="U25" s="288" t="s">
        <v>53</v>
      </c>
      <c r="V25" s="288" t="s">
        <v>53</v>
      </c>
      <c r="W25" s="288" t="s">
        <v>47</v>
      </c>
      <c r="X25" s="288" t="s">
        <v>47</v>
      </c>
      <c r="Y25" s="288" t="s">
        <v>47</v>
      </c>
      <c r="Z25" s="288" t="s">
        <v>45</v>
      </c>
      <c r="AA25" s="288" t="s">
        <v>49</v>
      </c>
      <c r="AB25" s="288" t="s">
        <v>53</v>
      </c>
      <c r="AC25" s="288" t="s">
        <v>53</v>
      </c>
      <c r="AD25" s="288" t="s">
        <v>47</v>
      </c>
      <c r="AE25" s="288" t="s">
        <v>45</v>
      </c>
      <c r="AF25" s="288" t="s">
        <v>44</v>
      </c>
      <c r="AG25" s="287"/>
      <c r="AH25" s="287"/>
    </row>
    <row r="26" ht="15.75" customHeight="1">
      <c r="A26" s="290" t="s">
        <v>254</v>
      </c>
      <c r="B26" s="288" t="s">
        <v>128</v>
      </c>
      <c r="C26" s="288" t="s">
        <v>53</v>
      </c>
      <c r="D26" s="288" t="s">
        <v>53</v>
      </c>
      <c r="E26" s="288" t="s">
        <v>46</v>
      </c>
      <c r="F26" s="288" t="s">
        <v>45</v>
      </c>
      <c r="G26" s="288" t="s">
        <v>49</v>
      </c>
      <c r="H26" s="288" t="s">
        <v>45</v>
      </c>
      <c r="I26" s="288" t="s">
        <v>43</v>
      </c>
      <c r="J26" s="288" t="s">
        <v>53</v>
      </c>
      <c r="K26" s="288" t="s">
        <v>53</v>
      </c>
      <c r="L26" s="288" t="s">
        <v>47</v>
      </c>
      <c r="M26" s="288" t="s">
        <v>49</v>
      </c>
      <c r="N26" s="288" t="s">
        <v>49</v>
      </c>
      <c r="O26" s="288" t="s">
        <v>44</v>
      </c>
      <c r="P26" s="288" t="s">
        <v>43</v>
      </c>
      <c r="Q26" s="288" t="s">
        <v>53</v>
      </c>
      <c r="R26" s="288" t="s">
        <v>53</v>
      </c>
      <c r="S26" s="288" t="s">
        <v>47</v>
      </c>
      <c r="T26" s="288" t="s">
        <v>45</v>
      </c>
      <c r="U26" s="288" t="s">
        <v>49</v>
      </c>
      <c r="V26" s="288" t="s">
        <v>44</v>
      </c>
      <c r="W26" s="288" t="s">
        <v>43</v>
      </c>
      <c r="X26" s="288" t="s">
        <v>53</v>
      </c>
      <c r="Y26" s="288" t="s">
        <v>53</v>
      </c>
      <c r="Z26" s="288" t="s">
        <v>47</v>
      </c>
      <c r="AA26" s="287" t="s">
        <v>45</v>
      </c>
      <c r="AB26" s="288" t="s">
        <v>49</v>
      </c>
      <c r="AC26" s="288" t="s">
        <v>44</v>
      </c>
      <c r="AD26" s="288" t="s">
        <v>43</v>
      </c>
      <c r="AE26" s="288" t="s">
        <v>53</v>
      </c>
      <c r="AF26" s="288" t="s">
        <v>53</v>
      </c>
      <c r="AG26" s="287"/>
      <c r="AH26" s="287"/>
    </row>
    <row r="27" ht="15.75" customHeight="1">
      <c r="A27" s="290" t="s">
        <v>255</v>
      </c>
      <c r="B27" s="288" t="s">
        <v>131</v>
      </c>
      <c r="C27" s="288" t="s">
        <v>45</v>
      </c>
      <c r="D27" s="288" t="s">
        <v>44</v>
      </c>
      <c r="E27" s="288" t="s">
        <v>43</v>
      </c>
      <c r="F27" s="288" t="s">
        <v>53</v>
      </c>
      <c r="G27" s="288" t="s">
        <v>53</v>
      </c>
      <c r="H27" s="288" t="s">
        <v>45</v>
      </c>
      <c r="I27" s="288" t="s">
        <v>45</v>
      </c>
      <c r="J27" s="288" t="s">
        <v>45</v>
      </c>
      <c r="K27" s="288" t="s">
        <v>44</v>
      </c>
      <c r="L27" s="288" t="s">
        <v>43</v>
      </c>
      <c r="M27" s="288" t="s">
        <v>53</v>
      </c>
      <c r="N27" s="288" t="s">
        <v>53</v>
      </c>
      <c r="O27" s="288" t="s">
        <v>49</v>
      </c>
      <c r="P27" s="288" t="s">
        <v>49</v>
      </c>
      <c r="Q27" s="288" t="s">
        <v>45</v>
      </c>
      <c r="R27" s="288" t="s">
        <v>45</v>
      </c>
      <c r="S27" s="287" t="s">
        <v>43</v>
      </c>
      <c r="T27" s="288" t="s">
        <v>53</v>
      </c>
      <c r="U27" s="288" t="s">
        <v>53</v>
      </c>
      <c r="V27" s="288" t="s">
        <v>49</v>
      </c>
      <c r="W27" s="288" t="s">
        <v>45</v>
      </c>
      <c r="X27" s="288" t="s">
        <v>45</v>
      </c>
      <c r="Y27" s="288" t="s">
        <v>49</v>
      </c>
      <c r="Z27" s="288" t="s">
        <v>49</v>
      </c>
      <c r="AA27" s="288" t="s">
        <v>53</v>
      </c>
      <c r="AB27" s="288" t="s">
        <v>53</v>
      </c>
      <c r="AC27" s="288" t="s">
        <v>45</v>
      </c>
      <c r="AD27" s="288" t="s">
        <v>45</v>
      </c>
      <c r="AE27" s="288" t="s">
        <v>45</v>
      </c>
      <c r="AF27" s="288" t="s">
        <v>43</v>
      </c>
      <c r="AG27" s="287"/>
      <c r="AH27" s="287"/>
    </row>
    <row r="28" ht="15.75" customHeight="1">
      <c r="A28" s="290" t="s">
        <v>256</v>
      </c>
      <c r="B28" s="288" t="s">
        <v>134</v>
      </c>
      <c r="C28" s="288" t="s">
        <v>49</v>
      </c>
      <c r="D28" s="288" t="s">
        <v>53</v>
      </c>
      <c r="E28" s="288" t="s">
        <v>53</v>
      </c>
      <c r="F28" s="288" t="s">
        <v>47</v>
      </c>
      <c r="G28" s="288" t="s">
        <v>46</v>
      </c>
      <c r="H28" s="288" t="s">
        <v>48</v>
      </c>
      <c r="I28" s="288" t="s">
        <v>48</v>
      </c>
      <c r="J28" s="288" t="s">
        <v>48</v>
      </c>
      <c r="K28" s="288" t="s">
        <v>53</v>
      </c>
      <c r="L28" s="288" t="s">
        <v>53</v>
      </c>
      <c r="M28" s="288" t="s">
        <v>46</v>
      </c>
      <c r="N28" s="288" t="s">
        <v>46</v>
      </c>
      <c r="O28" s="288" t="s">
        <v>45</v>
      </c>
      <c r="P28" s="288" t="s">
        <v>43</v>
      </c>
      <c r="Q28" s="288" t="s">
        <v>43</v>
      </c>
      <c r="R28" s="288" t="s">
        <v>53</v>
      </c>
      <c r="S28" s="288" t="s">
        <v>53</v>
      </c>
      <c r="T28" s="288" t="s">
        <v>47</v>
      </c>
      <c r="U28" s="288" t="s">
        <v>46</v>
      </c>
      <c r="V28" s="288" t="s">
        <v>46</v>
      </c>
      <c r="W28" s="288" t="s">
        <v>46</v>
      </c>
      <c r="X28" s="288" t="s">
        <v>43</v>
      </c>
      <c r="Y28" s="288" t="s">
        <v>53</v>
      </c>
      <c r="Z28" s="288" t="s">
        <v>53</v>
      </c>
      <c r="AA28" s="288" t="s">
        <v>45</v>
      </c>
      <c r="AB28" s="288" t="s">
        <v>45</v>
      </c>
      <c r="AC28" s="288" t="s">
        <v>44</v>
      </c>
      <c r="AD28" s="288" t="s">
        <v>43</v>
      </c>
      <c r="AE28" s="288" t="s">
        <v>43</v>
      </c>
      <c r="AF28" s="288" t="s">
        <v>53</v>
      </c>
      <c r="AG28" s="287"/>
      <c r="AH28" s="287"/>
    </row>
    <row r="29" ht="15.75" customHeight="1">
      <c r="A29" s="290" t="s">
        <v>257</v>
      </c>
      <c r="B29" s="288" t="s">
        <v>137</v>
      </c>
      <c r="C29" s="288" t="s">
        <v>45</v>
      </c>
      <c r="D29" s="288" t="s">
        <v>44</v>
      </c>
      <c r="E29" s="288" t="s">
        <v>43</v>
      </c>
      <c r="F29" s="288" t="s">
        <v>53</v>
      </c>
      <c r="G29" s="288" t="s">
        <v>53</v>
      </c>
      <c r="H29" s="288" t="s">
        <v>49</v>
      </c>
      <c r="I29" s="288" t="s">
        <v>45</v>
      </c>
      <c r="J29" s="288" t="s">
        <v>45</v>
      </c>
      <c r="K29" s="288" t="s">
        <v>44</v>
      </c>
      <c r="L29" s="288" t="s">
        <v>43</v>
      </c>
      <c r="M29" s="288" t="s">
        <v>53</v>
      </c>
      <c r="N29" s="288" t="s">
        <v>53</v>
      </c>
      <c r="O29" s="288" t="s">
        <v>49</v>
      </c>
      <c r="P29" s="288" t="s">
        <v>49</v>
      </c>
      <c r="Q29" s="288" t="s">
        <v>45</v>
      </c>
      <c r="R29" s="288" t="s">
        <v>45</v>
      </c>
      <c r="S29" s="287" t="s">
        <v>43</v>
      </c>
      <c r="T29" s="288" t="s">
        <v>53</v>
      </c>
      <c r="U29" s="288" t="s">
        <v>53</v>
      </c>
      <c r="V29" s="288" t="s">
        <v>45</v>
      </c>
      <c r="W29" s="288" t="s">
        <v>45</v>
      </c>
      <c r="X29" s="288" t="s">
        <v>44</v>
      </c>
      <c r="Y29" s="288" t="s">
        <v>49</v>
      </c>
      <c r="Z29" s="288" t="s">
        <v>49</v>
      </c>
      <c r="AA29" s="288" t="s">
        <v>53</v>
      </c>
      <c r="AB29" s="288" t="s">
        <v>53</v>
      </c>
      <c r="AC29" s="288" t="s">
        <v>45</v>
      </c>
      <c r="AD29" s="288" t="s">
        <v>45</v>
      </c>
      <c r="AE29" s="288" t="s">
        <v>45</v>
      </c>
      <c r="AF29" s="288" t="s">
        <v>44</v>
      </c>
      <c r="AG29" s="287"/>
      <c r="AH29" s="287"/>
    </row>
    <row r="30" ht="15.75" customHeight="1">
      <c r="A30" s="290" t="s">
        <v>258</v>
      </c>
      <c r="B30" s="288" t="s">
        <v>140</v>
      </c>
      <c r="C30" s="288" t="s">
        <v>45</v>
      </c>
      <c r="D30" s="288" t="s">
        <v>45</v>
      </c>
      <c r="E30" s="288" t="s">
        <v>45</v>
      </c>
      <c r="F30" s="288" t="s">
        <v>53</v>
      </c>
      <c r="G30" s="288" t="s">
        <v>53</v>
      </c>
      <c r="H30" s="288" t="s">
        <v>46</v>
      </c>
      <c r="I30" s="288" t="s">
        <v>46</v>
      </c>
      <c r="J30" s="288" t="s">
        <v>45</v>
      </c>
      <c r="K30" s="288" t="s">
        <v>45</v>
      </c>
      <c r="L30" s="288" t="s">
        <v>45</v>
      </c>
      <c r="M30" s="288" t="s">
        <v>53</v>
      </c>
      <c r="N30" s="288" t="s">
        <v>53</v>
      </c>
      <c r="O30" s="288" t="s">
        <v>46</v>
      </c>
      <c r="P30" s="288" t="s">
        <v>46</v>
      </c>
      <c r="Q30" s="288" t="s">
        <v>47</v>
      </c>
      <c r="R30" s="288" t="s">
        <v>44</v>
      </c>
      <c r="S30" s="288" t="s">
        <v>44</v>
      </c>
      <c r="T30" s="288" t="s">
        <v>53</v>
      </c>
      <c r="U30" s="288" t="s">
        <v>53</v>
      </c>
      <c r="V30" s="288" t="s">
        <v>46</v>
      </c>
      <c r="W30" s="288" t="s">
        <v>46</v>
      </c>
      <c r="X30" s="288" t="s">
        <v>47</v>
      </c>
      <c r="Y30" s="288" t="s">
        <v>45</v>
      </c>
      <c r="Z30" s="288" t="s">
        <v>43</v>
      </c>
      <c r="AA30" s="288" t="s">
        <v>53</v>
      </c>
      <c r="AB30" s="288" t="s">
        <v>53</v>
      </c>
      <c r="AC30" s="288" t="s">
        <v>47</v>
      </c>
      <c r="AD30" s="288" t="s">
        <v>46</v>
      </c>
      <c r="AE30" s="288" t="s">
        <v>47</v>
      </c>
      <c r="AF30" s="288" t="s">
        <v>44</v>
      </c>
      <c r="AG30" s="287"/>
      <c r="AH30" s="287"/>
    </row>
    <row r="31" ht="15.75" customHeight="1">
      <c r="A31" s="290" t="s">
        <v>259</v>
      </c>
      <c r="B31" s="288" t="s">
        <v>143</v>
      </c>
      <c r="C31" s="288" t="s">
        <v>49</v>
      </c>
      <c r="D31" s="288" t="s">
        <v>49</v>
      </c>
      <c r="E31" s="288" t="s">
        <v>49</v>
      </c>
      <c r="F31" s="288" t="s">
        <v>48</v>
      </c>
      <c r="G31" s="288" t="s">
        <v>53</v>
      </c>
      <c r="H31" s="288" t="s">
        <v>53</v>
      </c>
      <c r="I31" s="288" t="s">
        <v>48</v>
      </c>
      <c r="J31" s="288" t="s">
        <v>48</v>
      </c>
      <c r="K31" s="288" t="s">
        <v>48</v>
      </c>
      <c r="L31" s="288" t="s">
        <v>48</v>
      </c>
      <c r="M31" s="288" t="s">
        <v>48</v>
      </c>
      <c r="N31" s="288" t="s">
        <v>53</v>
      </c>
      <c r="O31" s="288" t="s">
        <v>53</v>
      </c>
      <c r="P31" s="288" t="s">
        <v>47</v>
      </c>
      <c r="Q31" s="288" t="s">
        <v>47</v>
      </c>
      <c r="R31" s="288" t="s">
        <v>47</v>
      </c>
      <c r="S31" s="288" t="s">
        <v>47</v>
      </c>
      <c r="T31" s="288" t="s">
        <v>47</v>
      </c>
      <c r="U31" s="288" t="s">
        <v>53</v>
      </c>
      <c r="V31" s="288" t="s">
        <v>53</v>
      </c>
      <c r="W31" s="288" t="s">
        <v>47</v>
      </c>
      <c r="X31" s="288" t="s">
        <v>47</v>
      </c>
      <c r="Y31" s="288" t="s">
        <v>47</v>
      </c>
      <c r="Z31" s="288" t="s">
        <v>47</v>
      </c>
      <c r="AA31" s="288" t="s">
        <v>47</v>
      </c>
      <c r="AB31" s="288" t="s">
        <v>53</v>
      </c>
      <c r="AC31" s="288" t="s">
        <v>53</v>
      </c>
      <c r="AD31" s="288" t="s">
        <v>47</v>
      </c>
      <c r="AE31" s="288" t="s">
        <v>47</v>
      </c>
      <c r="AF31" s="288" t="s">
        <v>47</v>
      </c>
      <c r="AG31" s="287"/>
      <c r="AH31" s="287"/>
    </row>
    <row r="32" ht="15.75" customHeight="1">
      <c r="A32" s="290" t="s">
        <v>260</v>
      </c>
      <c r="B32" s="288" t="s">
        <v>146</v>
      </c>
      <c r="C32" s="288" t="s">
        <v>53</v>
      </c>
      <c r="D32" s="288" t="s">
        <v>47</v>
      </c>
      <c r="E32" s="288" t="s">
        <v>45</v>
      </c>
      <c r="F32" s="288" t="s">
        <v>45</v>
      </c>
      <c r="G32" s="288" t="s">
        <v>44</v>
      </c>
      <c r="H32" s="288" t="s">
        <v>44</v>
      </c>
      <c r="I32" s="288" t="s">
        <v>53</v>
      </c>
      <c r="J32" s="288" t="s">
        <v>53</v>
      </c>
      <c r="K32" s="288" t="s">
        <v>47</v>
      </c>
      <c r="L32" s="288" t="s">
        <v>46</v>
      </c>
      <c r="M32" s="288" t="s">
        <v>45</v>
      </c>
      <c r="N32" s="288" t="s">
        <v>44</v>
      </c>
      <c r="O32" s="288" t="s">
        <v>44</v>
      </c>
      <c r="P32" s="288" t="s">
        <v>53</v>
      </c>
      <c r="Q32" s="288" t="s">
        <v>53</v>
      </c>
      <c r="R32" s="288" t="s">
        <v>47</v>
      </c>
      <c r="S32" s="288" t="s">
        <v>47</v>
      </c>
      <c r="T32" s="288" t="s">
        <v>45</v>
      </c>
      <c r="U32" s="288" t="s">
        <v>44</v>
      </c>
      <c r="V32" s="288" t="s">
        <v>44</v>
      </c>
      <c r="W32" s="288" t="s">
        <v>53</v>
      </c>
      <c r="X32" s="288" t="s">
        <v>53</v>
      </c>
      <c r="Y32" s="288" t="s">
        <v>47</v>
      </c>
      <c r="Z32" s="288" t="s">
        <v>45</v>
      </c>
      <c r="AA32" s="288" t="s">
        <v>44</v>
      </c>
      <c r="AB32" s="288" t="s">
        <v>43</v>
      </c>
      <c r="AC32" s="288" t="s">
        <v>44</v>
      </c>
      <c r="AD32" s="288" t="s">
        <v>53</v>
      </c>
      <c r="AE32" s="288" t="s">
        <v>53</v>
      </c>
      <c r="AF32" s="288" t="s">
        <v>47</v>
      </c>
      <c r="AG32" s="287"/>
      <c r="AH32" s="287"/>
    </row>
    <row r="33" ht="15.75" customHeight="1">
      <c r="A33" s="290" t="s">
        <v>261</v>
      </c>
      <c r="B33" s="288" t="s">
        <v>150</v>
      </c>
      <c r="C33" s="288" t="s">
        <v>45</v>
      </c>
      <c r="D33" s="288" t="s">
        <v>45</v>
      </c>
      <c r="E33" s="287" t="s">
        <v>44</v>
      </c>
      <c r="F33" s="287" t="s">
        <v>43</v>
      </c>
      <c r="G33" s="288" t="s">
        <v>53</v>
      </c>
      <c r="H33" s="288" t="s">
        <v>53</v>
      </c>
      <c r="I33" s="288" t="s">
        <v>47</v>
      </c>
      <c r="J33" s="288" t="s">
        <v>47</v>
      </c>
      <c r="K33" s="288" t="s">
        <v>45</v>
      </c>
      <c r="L33" s="288" t="s">
        <v>45</v>
      </c>
      <c r="M33" s="288" t="s">
        <v>43</v>
      </c>
      <c r="N33" s="288" t="s">
        <v>53</v>
      </c>
      <c r="O33" s="288" t="s">
        <v>53</v>
      </c>
      <c r="P33" s="288" t="s">
        <v>48</v>
      </c>
      <c r="Q33" s="288" t="s">
        <v>45</v>
      </c>
      <c r="R33" s="288" t="s">
        <v>45</v>
      </c>
      <c r="S33" s="288" t="s">
        <v>45</v>
      </c>
      <c r="T33" s="288" t="s">
        <v>43</v>
      </c>
      <c r="U33" s="288" t="s">
        <v>53</v>
      </c>
      <c r="V33" s="288" t="s">
        <v>53</v>
      </c>
      <c r="W33" s="288" t="s">
        <v>47</v>
      </c>
      <c r="X33" s="288" t="s">
        <v>45</v>
      </c>
      <c r="Y33" s="288" t="s">
        <v>45</v>
      </c>
      <c r="Z33" s="288" t="s">
        <v>44</v>
      </c>
      <c r="AA33" s="288" t="s">
        <v>43</v>
      </c>
      <c r="AB33" s="288" t="s">
        <v>53</v>
      </c>
      <c r="AC33" s="288" t="s">
        <v>53</v>
      </c>
      <c r="AD33" s="288" t="s">
        <v>48</v>
      </c>
      <c r="AE33" s="288" t="s">
        <v>45</v>
      </c>
      <c r="AF33" s="288" t="s">
        <v>45</v>
      </c>
      <c r="AG33" s="287"/>
      <c r="AH33" s="287"/>
    </row>
    <row r="34" ht="15.75" customHeight="1">
      <c r="A34" s="290" t="s">
        <v>262</v>
      </c>
      <c r="B34" s="288" t="s">
        <v>153</v>
      </c>
      <c r="C34" s="288" t="s">
        <v>45</v>
      </c>
      <c r="D34" s="288" t="s">
        <v>45</v>
      </c>
      <c r="E34" s="288" t="s">
        <v>44</v>
      </c>
      <c r="F34" s="288" t="s">
        <v>43</v>
      </c>
      <c r="G34" s="288" t="s">
        <v>53</v>
      </c>
      <c r="H34" s="288" t="s">
        <v>53</v>
      </c>
      <c r="I34" s="288" t="s">
        <v>49</v>
      </c>
      <c r="J34" s="288" t="s">
        <v>49</v>
      </c>
      <c r="K34" s="288" t="s">
        <v>45</v>
      </c>
      <c r="L34" s="288" t="s">
        <v>44</v>
      </c>
      <c r="M34" s="288" t="s">
        <v>49</v>
      </c>
      <c r="N34" s="288" t="s">
        <v>53</v>
      </c>
      <c r="O34" s="288" t="s">
        <v>53</v>
      </c>
      <c r="P34" s="288" t="s">
        <v>47</v>
      </c>
      <c r="Q34" s="288" t="s">
        <v>47</v>
      </c>
      <c r="R34" s="288" t="s">
        <v>45</v>
      </c>
      <c r="S34" s="288" t="s">
        <v>45</v>
      </c>
      <c r="T34" s="288" t="s">
        <v>49</v>
      </c>
      <c r="U34" s="288" t="s">
        <v>53</v>
      </c>
      <c r="V34" s="288" t="s">
        <v>53</v>
      </c>
      <c r="W34" s="288" t="s">
        <v>47</v>
      </c>
      <c r="X34" s="288" t="s">
        <v>47</v>
      </c>
      <c r="Y34" s="288" t="s">
        <v>45</v>
      </c>
      <c r="Z34" s="288" t="s">
        <v>44</v>
      </c>
      <c r="AA34" s="288" t="s">
        <v>43</v>
      </c>
      <c r="AB34" s="288" t="s">
        <v>53</v>
      </c>
      <c r="AC34" s="288" t="s">
        <v>53</v>
      </c>
      <c r="AD34" s="288" t="s">
        <v>47</v>
      </c>
      <c r="AE34" s="288" t="s">
        <v>46</v>
      </c>
      <c r="AF34" s="288" t="s">
        <v>45</v>
      </c>
      <c r="AG34" s="287"/>
      <c r="AH34" s="287"/>
    </row>
    <row r="35" ht="15.75" customHeight="1">
      <c r="A35" s="290" t="s">
        <v>263</v>
      </c>
      <c r="B35" s="288" t="s">
        <v>156</v>
      </c>
      <c r="C35" s="288" t="s">
        <v>43</v>
      </c>
      <c r="D35" s="288" t="s">
        <v>43</v>
      </c>
      <c r="E35" s="288" t="s">
        <v>43</v>
      </c>
      <c r="F35" s="288" t="s">
        <v>53</v>
      </c>
      <c r="G35" s="288" t="s">
        <v>53</v>
      </c>
      <c r="H35" s="288" t="s">
        <v>47</v>
      </c>
      <c r="I35" s="287" t="s">
        <v>47</v>
      </c>
      <c r="J35" s="287" t="s">
        <v>47</v>
      </c>
      <c r="K35" s="287" t="s">
        <v>43</v>
      </c>
      <c r="L35" s="287" t="s">
        <v>43</v>
      </c>
      <c r="M35" s="288" t="s">
        <v>53</v>
      </c>
      <c r="N35" s="288" t="s">
        <v>53</v>
      </c>
      <c r="O35" s="288" t="s">
        <v>47</v>
      </c>
      <c r="P35" s="288" t="s">
        <v>47</v>
      </c>
      <c r="Q35" s="288" t="s">
        <v>43</v>
      </c>
      <c r="R35" s="288" t="s">
        <v>43</v>
      </c>
      <c r="S35" s="287" t="s">
        <v>43</v>
      </c>
      <c r="T35" s="288" t="s">
        <v>53</v>
      </c>
      <c r="U35" s="288" t="s">
        <v>53</v>
      </c>
      <c r="V35" s="288" t="s">
        <v>47</v>
      </c>
      <c r="W35" s="288" t="s">
        <v>47</v>
      </c>
      <c r="X35" s="288" t="s">
        <v>47</v>
      </c>
      <c r="Y35" s="288" t="s">
        <v>43</v>
      </c>
      <c r="Z35" s="288" t="s">
        <v>43</v>
      </c>
      <c r="AA35" s="288" t="s">
        <v>53</v>
      </c>
      <c r="AB35" s="288" t="s">
        <v>53</v>
      </c>
      <c r="AC35" s="288" t="s">
        <v>47</v>
      </c>
      <c r="AD35" s="288" t="s">
        <v>47</v>
      </c>
      <c r="AE35" s="288" t="s">
        <v>47</v>
      </c>
      <c r="AF35" s="288" t="s">
        <v>43</v>
      </c>
      <c r="AG35" s="287"/>
      <c r="AH35" s="287"/>
    </row>
    <row r="36" ht="15.75" customHeight="1">
      <c r="A36" s="290" t="s">
        <v>264</v>
      </c>
      <c r="B36" s="288" t="s">
        <v>159</v>
      </c>
      <c r="C36" s="288" t="s">
        <v>47</v>
      </c>
      <c r="D36" s="288" t="s">
        <v>46</v>
      </c>
      <c r="E36" s="288" t="s">
        <v>44</v>
      </c>
      <c r="F36" s="288" t="s">
        <v>43</v>
      </c>
      <c r="G36" s="288" t="s">
        <v>49</v>
      </c>
      <c r="H36" s="288" t="s">
        <v>53</v>
      </c>
      <c r="I36" s="288" t="s">
        <v>53</v>
      </c>
      <c r="J36" s="288" t="s">
        <v>46</v>
      </c>
      <c r="K36" s="288" t="s">
        <v>46</v>
      </c>
      <c r="L36" s="288" t="s">
        <v>45</v>
      </c>
      <c r="M36" s="288" t="s">
        <v>43</v>
      </c>
      <c r="N36" s="288" t="s">
        <v>49</v>
      </c>
      <c r="O36" s="288" t="s">
        <v>53</v>
      </c>
      <c r="P36" s="288" t="s">
        <v>53</v>
      </c>
      <c r="Q36" s="288" t="s">
        <v>47</v>
      </c>
      <c r="R36" s="288" t="s">
        <v>46</v>
      </c>
      <c r="S36" s="288" t="s">
        <v>45</v>
      </c>
      <c r="T36" s="288" t="s">
        <v>44</v>
      </c>
      <c r="U36" s="288" t="s">
        <v>44</v>
      </c>
      <c r="V36" s="288" t="s">
        <v>53</v>
      </c>
      <c r="W36" s="288" t="s">
        <v>53</v>
      </c>
      <c r="X36" s="288" t="s">
        <v>45</v>
      </c>
      <c r="Y36" s="288" t="s">
        <v>45</v>
      </c>
      <c r="Z36" s="288" t="s">
        <v>49</v>
      </c>
      <c r="AA36" s="288" t="s">
        <v>49</v>
      </c>
      <c r="AB36" s="288" t="s">
        <v>48</v>
      </c>
      <c r="AC36" s="288" t="s">
        <v>53</v>
      </c>
      <c r="AD36" s="288" t="s">
        <v>53</v>
      </c>
      <c r="AE36" s="288" t="s">
        <v>46</v>
      </c>
      <c r="AF36" s="288" t="s">
        <v>45</v>
      </c>
      <c r="AG36" s="287"/>
      <c r="AH36" s="287"/>
    </row>
    <row r="37" ht="15.75" customHeight="1">
      <c r="A37" s="290" t="s">
        <v>265</v>
      </c>
      <c r="B37" s="288" t="s">
        <v>162</v>
      </c>
      <c r="C37" s="288" t="s">
        <v>44</v>
      </c>
      <c r="D37" s="287" t="s">
        <v>43</v>
      </c>
      <c r="E37" s="288" t="s">
        <v>49</v>
      </c>
      <c r="F37" s="288" t="s">
        <v>53</v>
      </c>
      <c r="G37" s="288" t="s">
        <v>53</v>
      </c>
      <c r="H37" s="288" t="s">
        <v>46</v>
      </c>
      <c r="I37" s="288" t="s">
        <v>45</v>
      </c>
      <c r="J37" s="288" t="s">
        <v>44</v>
      </c>
      <c r="K37" s="288" t="s">
        <v>44</v>
      </c>
      <c r="L37" s="287" t="s">
        <v>43</v>
      </c>
      <c r="M37" s="288" t="s">
        <v>53</v>
      </c>
      <c r="N37" s="288" t="s">
        <v>53</v>
      </c>
      <c r="O37" s="288" t="s">
        <v>46</v>
      </c>
      <c r="P37" s="288" t="s">
        <v>46</v>
      </c>
      <c r="Q37" s="288" t="s">
        <v>46</v>
      </c>
      <c r="R37" s="288" t="s">
        <v>45</v>
      </c>
      <c r="S37" s="288" t="s">
        <v>49</v>
      </c>
      <c r="T37" s="288" t="s">
        <v>53</v>
      </c>
      <c r="U37" s="288" t="s">
        <v>53</v>
      </c>
      <c r="V37" s="288" t="s">
        <v>49</v>
      </c>
      <c r="W37" s="288" t="s">
        <v>45</v>
      </c>
      <c r="X37" s="288" t="s">
        <v>45</v>
      </c>
      <c r="Y37" s="288" t="s">
        <v>44</v>
      </c>
      <c r="Z37" s="287" t="s">
        <v>43</v>
      </c>
      <c r="AA37" s="288" t="s">
        <v>53</v>
      </c>
      <c r="AB37" s="288" t="s">
        <v>53</v>
      </c>
      <c r="AC37" s="288" t="s">
        <v>46</v>
      </c>
      <c r="AD37" s="288" t="s">
        <v>45</v>
      </c>
      <c r="AE37" s="288" t="s">
        <v>43</v>
      </c>
      <c r="AF37" s="288" t="s">
        <v>43</v>
      </c>
      <c r="AG37" s="287"/>
      <c r="AH37" s="287"/>
    </row>
    <row r="38" ht="15.75" customHeight="1">
      <c r="A38" s="290" t="s">
        <v>266</v>
      </c>
      <c r="B38" s="288" t="s">
        <v>165</v>
      </c>
      <c r="C38" s="288" t="s">
        <v>45</v>
      </c>
      <c r="D38" s="288" t="s">
        <v>45</v>
      </c>
      <c r="E38" s="288" t="s">
        <v>45</v>
      </c>
      <c r="F38" s="288" t="s">
        <v>44</v>
      </c>
      <c r="G38" s="288" t="s">
        <v>43</v>
      </c>
      <c r="H38" s="288" t="s">
        <v>53</v>
      </c>
      <c r="I38" s="288" t="s">
        <v>53</v>
      </c>
      <c r="J38" s="288" t="s">
        <v>45</v>
      </c>
      <c r="K38" s="288" t="s">
        <v>45</v>
      </c>
      <c r="L38" s="288" t="s">
        <v>45</v>
      </c>
      <c r="M38" s="288" t="s">
        <v>45</v>
      </c>
      <c r="N38" s="288" t="s">
        <v>43</v>
      </c>
      <c r="O38" s="288" t="s">
        <v>53</v>
      </c>
      <c r="P38" s="288" t="s">
        <v>53</v>
      </c>
      <c r="Q38" s="288" t="s">
        <v>46</v>
      </c>
      <c r="R38" s="288" t="s">
        <v>43</v>
      </c>
      <c r="S38" s="288" t="s">
        <v>49</v>
      </c>
      <c r="T38" s="288" t="s">
        <v>45</v>
      </c>
      <c r="U38" s="288" t="s">
        <v>43</v>
      </c>
      <c r="V38" s="288" t="s">
        <v>53</v>
      </c>
      <c r="W38" s="288" t="s">
        <v>53</v>
      </c>
      <c r="X38" s="288" t="s">
        <v>46</v>
      </c>
      <c r="Y38" s="288" t="s">
        <v>45</v>
      </c>
      <c r="Z38" s="288" t="s">
        <v>45</v>
      </c>
      <c r="AA38" s="288" t="s">
        <v>43</v>
      </c>
      <c r="AB38" s="288" t="s">
        <v>43</v>
      </c>
      <c r="AC38" s="288" t="s">
        <v>53</v>
      </c>
      <c r="AD38" s="288" t="s">
        <v>53</v>
      </c>
      <c r="AE38" s="288" t="s">
        <v>47</v>
      </c>
      <c r="AF38" s="288" t="s">
        <v>46</v>
      </c>
      <c r="AG38" s="287"/>
      <c r="AH38" s="287"/>
    </row>
    <row r="39" ht="15.75" customHeight="1">
      <c r="A39" s="290" t="s">
        <v>267</v>
      </c>
      <c r="B39" s="288" t="s">
        <v>168</v>
      </c>
      <c r="C39" s="288" t="s">
        <v>53</v>
      </c>
      <c r="D39" s="288" t="s">
        <v>53</v>
      </c>
      <c r="E39" s="288" t="s">
        <v>46</v>
      </c>
      <c r="F39" s="288" t="s">
        <v>45</v>
      </c>
      <c r="G39" s="288" t="s">
        <v>43</v>
      </c>
      <c r="H39" s="288" t="s">
        <v>43</v>
      </c>
      <c r="I39" s="288" t="s">
        <v>43</v>
      </c>
      <c r="J39" s="288" t="s">
        <v>53</v>
      </c>
      <c r="K39" s="288" t="s">
        <v>53</v>
      </c>
      <c r="L39" s="288" t="s">
        <v>46</v>
      </c>
      <c r="M39" s="288" t="s">
        <v>45</v>
      </c>
      <c r="N39" s="288" t="s">
        <v>45</v>
      </c>
      <c r="O39" s="288" t="s">
        <v>49</v>
      </c>
      <c r="P39" s="288" t="s">
        <v>43</v>
      </c>
      <c r="Q39" s="288" t="s">
        <v>53</v>
      </c>
      <c r="R39" s="288" t="s">
        <v>53</v>
      </c>
      <c r="S39" s="288" t="s">
        <v>46</v>
      </c>
      <c r="T39" s="288" t="s">
        <v>45</v>
      </c>
      <c r="U39" s="288" t="s">
        <v>45</v>
      </c>
      <c r="V39" s="288" t="s">
        <v>45</v>
      </c>
      <c r="W39" s="288" t="s">
        <v>43</v>
      </c>
      <c r="X39" s="288" t="s">
        <v>53</v>
      </c>
      <c r="Y39" s="288" t="s">
        <v>53</v>
      </c>
      <c r="Z39" s="288" t="s">
        <v>46</v>
      </c>
      <c r="AA39" s="288" t="s">
        <v>45</v>
      </c>
      <c r="AB39" s="288" t="s">
        <v>45</v>
      </c>
      <c r="AC39" s="288" t="s">
        <v>45</v>
      </c>
      <c r="AD39" s="288" t="s">
        <v>44</v>
      </c>
      <c r="AE39" s="288" t="s">
        <v>53</v>
      </c>
      <c r="AF39" s="288" t="s">
        <v>53</v>
      </c>
      <c r="AG39" s="287"/>
      <c r="AH39" s="287"/>
    </row>
    <row r="40" ht="15.75" customHeight="1">
      <c r="A40" s="290" t="s">
        <v>268</v>
      </c>
      <c r="B40" s="288" t="s">
        <v>171</v>
      </c>
      <c r="C40" s="288" t="s">
        <v>53</v>
      </c>
      <c r="D40" s="288" t="s">
        <v>47</v>
      </c>
      <c r="E40" s="287" t="s">
        <v>47</v>
      </c>
      <c r="F40" s="287" t="s">
        <v>45</v>
      </c>
      <c r="G40" s="287" t="s">
        <v>45</v>
      </c>
      <c r="H40" s="287" t="s">
        <v>43</v>
      </c>
      <c r="I40" s="288" t="s">
        <v>53</v>
      </c>
      <c r="J40" s="288" t="s">
        <v>53</v>
      </c>
      <c r="K40" s="288" t="s">
        <v>49</v>
      </c>
      <c r="L40" s="287" t="s">
        <v>47</v>
      </c>
      <c r="M40" s="287" t="s">
        <v>45</v>
      </c>
      <c r="N40" s="287" t="s">
        <v>45</v>
      </c>
      <c r="O40" s="287" t="s">
        <v>43</v>
      </c>
      <c r="P40" s="288" t="s">
        <v>53</v>
      </c>
      <c r="Q40" s="288" t="s">
        <v>53</v>
      </c>
      <c r="R40" s="288" t="s">
        <v>47</v>
      </c>
      <c r="S40" s="287" t="s">
        <v>45</v>
      </c>
      <c r="T40" s="287" t="s">
        <v>45</v>
      </c>
      <c r="U40" s="287" t="s">
        <v>45</v>
      </c>
      <c r="V40" s="287" t="s">
        <v>43</v>
      </c>
      <c r="W40" s="288" t="s">
        <v>53</v>
      </c>
      <c r="X40" s="288" t="s">
        <v>53</v>
      </c>
      <c r="Y40" s="288" t="s">
        <v>46</v>
      </c>
      <c r="Z40" s="287" t="s">
        <v>45</v>
      </c>
      <c r="AA40" s="287" t="s">
        <v>44</v>
      </c>
      <c r="AB40" s="288" t="s">
        <v>44</v>
      </c>
      <c r="AC40" s="288" t="s">
        <v>43</v>
      </c>
      <c r="AD40" s="288" t="s">
        <v>53</v>
      </c>
      <c r="AE40" s="288" t="s">
        <v>53</v>
      </c>
      <c r="AF40" s="288" t="s">
        <v>47</v>
      </c>
      <c r="AG40" s="287"/>
      <c r="AH40" s="287"/>
    </row>
    <row r="41" ht="15.75" customHeight="1">
      <c r="A41" s="290" t="s">
        <v>269</v>
      </c>
      <c r="B41" s="288" t="s">
        <v>174</v>
      </c>
      <c r="C41" s="288" t="s">
        <v>53</v>
      </c>
      <c r="D41" s="288" t="s">
        <v>47</v>
      </c>
      <c r="E41" s="288" t="s">
        <v>46</v>
      </c>
      <c r="F41" s="288" t="s">
        <v>45</v>
      </c>
      <c r="G41" s="288" t="s">
        <v>43</v>
      </c>
      <c r="H41" s="288" t="s">
        <v>49</v>
      </c>
      <c r="I41" s="288" t="s">
        <v>53</v>
      </c>
      <c r="J41" s="288" t="s">
        <v>53</v>
      </c>
      <c r="K41" s="288" t="s">
        <v>47</v>
      </c>
      <c r="L41" s="288" t="s">
        <v>45</v>
      </c>
      <c r="M41" s="288" t="s">
        <v>44</v>
      </c>
      <c r="N41" s="288" t="s">
        <v>43</v>
      </c>
      <c r="O41" s="288" t="s">
        <v>49</v>
      </c>
      <c r="P41" s="288" t="s">
        <v>53</v>
      </c>
      <c r="Q41" s="288" t="s">
        <v>53</v>
      </c>
      <c r="R41" s="288" t="s">
        <v>45</v>
      </c>
      <c r="S41" s="288" t="s">
        <v>45</v>
      </c>
      <c r="T41" s="288" t="s">
        <v>43</v>
      </c>
      <c r="U41" s="288" t="s">
        <v>49</v>
      </c>
      <c r="V41" s="288" t="s">
        <v>49</v>
      </c>
      <c r="W41" s="288" t="s">
        <v>53</v>
      </c>
      <c r="X41" s="288" t="s">
        <v>53</v>
      </c>
      <c r="Y41" s="287" t="s">
        <v>45</v>
      </c>
      <c r="Z41" s="288" t="s">
        <v>45</v>
      </c>
      <c r="AA41" s="288" t="s">
        <v>44</v>
      </c>
      <c r="AB41" s="288" t="s">
        <v>43</v>
      </c>
      <c r="AC41" s="288" t="s">
        <v>49</v>
      </c>
      <c r="AD41" s="288" t="s">
        <v>53</v>
      </c>
      <c r="AE41" s="288" t="s">
        <v>53</v>
      </c>
      <c r="AF41" s="288" t="s">
        <v>45</v>
      </c>
      <c r="AG41" s="287"/>
      <c r="AH41" s="287"/>
    </row>
    <row r="42" ht="15.75" customHeight="1">
      <c r="A42" s="290" t="s">
        <v>270</v>
      </c>
      <c r="B42" s="288" t="s">
        <v>177</v>
      </c>
      <c r="C42" s="288" t="s">
        <v>47</v>
      </c>
      <c r="D42" s="288" t="s">
        <v>47</v>
      </c>
      <c r="E42" s="288" t="s">
        <v>45</v>
      </c>
      <c r="F42" s="288" t="s">
        <v>44</v>
      </c>
      <c r="G42" s="288" t="s">
        <v>43</v>
      </c>
      <c r="H42" s="288" t="s">
        <v>53</v>
      </c>
      <c r="I42" s="288" t="s">
        <v>53</v>
      </c>
      <c r="J42" s="288" t="s">
        <v>47</v>
      </c>
      <c r="K42" s="288" t="s">
        <v>45</v>
      </c>
      <c r="L42" s="288" t="s">
        <v>44</v>
      </c>
      <c r="M42" s="288" t="s">
        <v>49</v>
      </c>
      <c r="N42" s="288" t="s">
        <v>49</v>
      </c>
      <c r="O42" s="288" t="s">
        <v>53</v>
      </c>
      <c r="P42" s="288" t="s">
        <v>53</v>
      </c>
      <c r="Q42" s="288" t="s">
        <v>49</v>
      </c>
      <c r="R42" s="288" t="s">
        <v>49</v>
      </c>
      <c r="S42" s="288" t="s">
        <v>49</v>
      </c>
      <c r="T42" s="288" t="s">
        <v>49</v>
      </c>
      <c r="U42" s="288" t="s">
        <v>43</v>
      </c>
      <c r="V42" s="288" t="s">
        <v>53</v>
      </c>
      <c r="W42" s="288" t="s">
        <v>53</v>
      </c>
      <c r="X42" s="287" t="s">
        <v>46</v>
      </c>
      <c r="Y42" s="287" t="s">
        <v>44</v>
      </c>
      <c r="Z42" s="288" t="s">
        <v>48</v>
      </c>
      <c r="AA42" s="288" t="s">
        <v>48</v>
      </c>
      <c r="AB42" s="288" t="s">
        <v>48</v>
      </c>
      <c r="AC42" s="288" t="s">
        <v>53</v>
      </c>
      <c r="AD42" s="288" t="s">
        <v>53</v>
      </c>
      <c r="AE42" s="288" t="s">
        <v>45</v>
      </c>
      <c r="AF42" s="288" t="s">
        <v>45</v>
      </c>
      <c r="AG42" s="287"/>
      <c r="AH42" s="287"/>
    </row>
    <row r="43" ht="15.75" customHeight="1">
      <c r="A43" s="289" t="s">
        <v>271</v>
      </c>
      <c r="B43" s="288" t="s">
        <v>180</v>
      </c>
      <c r="C43" s="288" t="s">
        <v>53</v>
      </c>
      <c r="D43" s="288" t="s">
        <v>49</v>
      </c>
      <c r="E43" s="288" t="s">
        <v>49</v>
      </c>
      <c r="F43" s="288" t="s">
        <v>49</v>
      </c>
      <c r="G43" s="287" t="s">
        <v>44</v>
      </c>
      <c r="H43" s="287" t="s">
        <v>43</v>
      </c>
      <c r="I43" s="288" t="s">
        <v>53</v>
      </c>
      <c r="J43" s="288" t="s">
        <v>53</v>
      </c>
      <c r="K43" s="288" t="s">
        <v>47</v>
      </c>
      <c r="L43" s="287" t="s">
        <v>47</v>
      </c>
      <c r="M43" s="288" t="s">
        <v>45</v>
      </c>
      <c r="N43" s="287" t="s">
        <v>45</v>
      </c>
      <c r="O43" s="287" t="s">
        <v>43</v>
      </c>
      <c r="P43" s="288" t="s">
        <v>53</v>
      </c>
      <c r="Q43" s="288" t="s">
        <v>53</v>
      </c>
      <c r="R43" s="288" t="s">
        <v>47</v>
      </c>
      <c r="S43" s="287" t="s">
        <v>47</v>
      </c>
      <c r="T43" s="287" t="s">
        <v>45</v>
      </c>
      <c r="U43" s="288" t="s">
        <v>43</v>
      </c>
      <c r="V43" s="288" t="s">
        <v>43</v>
      </c>
      <c r="W43" s="288" t="s">
        <v>53</v>
      </c>
      <c r="X43" s="288" t="s">
        <v>53</v>
      </c>
      <c r="Y43" s="287" t="s">
        <v>47</v>
      </c>
      <c r="Z43" s="288" t="s">
        <v>47</v>
      </c>
      <c r="AA43" s="288" t="s">
        <v>45</v>
      </c>
      <c r="AB43" s="287" t="s">
        <v>44</v>
      </c>
      <c r="AC43" s="288" t="s">
        <v>43</v>
      </c>
      <c r="AD43" s="288" t="s">
        <v>53</v>
      </c>
      <c r="AE43" s="288" t="s">
        <v>53</v>
      </c>
      <c r="AF43" s="288" t="s">
        <v>49</v>
      </c>
      <c r="AG43" s="287"/>
      <c r="AH43" s="287"/>
    </row>
    <row r="44" ht="15.75" customHeight="1">
      <c r="A44" s="289" t="s">
        <v>272</v>
      </c>
      <c r="B44" s="288" t="s">
        <v>273</v>
      </c>
      <c r="C44" s="288" t="s">
        <v>47</v>
      </c>
      <c r="D44" s="288" t="s">
        <v>46</v>
      </c>
      <c r="E44" s="287" t="s">
        <v>45</v>
      </c>
      <c r="F44" s="287" t="s">
        <v>45</v>
      </c>
      <c r="G44" s="287" t="s">
        <v>43</v>
      </c>
      <c r="H44" s="288" t="s">
        <v>53</v>
      </c>
      <c r="I44" s="288" t="s">
        <v>53</v>
      </c>
      <c r="J44" s="288" t="s">
        <v>47</v>
      </c>
      <c r="K44" s="288" t="s">
        <v>47</v>
      </c>
      <c r="L44" s="287" t="s">
        <v>45</v>
      </c>
      <c r="M44" s="287" t="s">
        <v>43</v>
      </c>
      <c r="N44" s="287" t="s">
        <v>43</v>
      </c>
      <c r="O44" s="288" t="s">
        <v>53</v>
      </c>
      <c r="P44" s="288" t="s">
        <v>53</v>
      </c>
      <c r="Q44" s="288" t="s">
        <v>47</v>
      </c>
      <c r="R44" s="288" t="s">
        <v>46</v>
      </c>
      <c r="S44" s="287" t="s">
        <v>45</v>
      </c>
      <c r="T44" s="287" t="s">
        <v>44</v>
      </c>
      <c r="U44" s="288" t="s">
        <v>43</v>
      </c>
      <c r="V44" s="288" t="s">
        <v>53</v>
      </c>
      <c r="W44" s="288" t="s">
        <v>53</v>
      </c>
      <c r="X44" s="287" t="s">
        <v>47</v>
      </c>
      <c r="Y44" s="287" t="s">
        <v>46</v>
      </c>
      <c r="Z44" s="288" t="s">
        <v>45</v>
      </c>
      <c r="AA44" s="288" t="s">
        <v>48</v>
      </c>
      <c r="AB44" s="288" t="s">
        <v>48</v>
      </c>
      <c r="AC44" s="288" t="s">
        <v>53</v>
      </c>
      <c r="AD44" s="288" t="s">
        <v>53</v>
      </c>
      <c r="AE44" s="288" t="s">
        <v>47</v>
      </c>
      <c r="AF44" s="288" t="s">
        <v>45</v>
      </c>
      <c r="AG44" s="287"/>
      <c r="AH44" s="287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291" t="str">
        <f t="array" ref="A1:AE11">'ORIGIN MONTH 7'!B48:AF58</f>
        <v>Shift</v>
      </c>
      <c r="B1" s="292" t="s">
        <v>8</v>
      </c>
      <c r="C1" s="293" t="s">
        <v>9</v>
      </c>
      <c r="D1" s="294" t="s">
        <v>10</v>
      </c>
      <c r="E1" s="292" t="s">
        <v>11</v>
      </c>
      <c r="F1" s="293" t="s">
        <v>12</v>
      </c>
      <c r="G1" s="293" t="s">
        <v>13</v>
      </c>
      <c r="H1" s="293" t="s">
        <v>7</v>
      </c>
      <c r="I1" s="293" t="s">
        <v>8</v>
      </c>
      <c r="J1" s="293" t="s">
        <v>9</v>
      </c>
      <c r="K1" s="294" t="s">
        <v>10</v>
      </c>
      <c r="L1" s="292" t="s">
        <v>11</v>
      </c>
      <c r="M1" s="293" t="s">
        <v>12</v>
      </c>
      <c r="N1" s="293" t="s">
        <v>13</v>
      </c>
      <c r="O1" s="293" t="s">
        <v>7</v>
      </c>
      <c r="P1" s="293" t="s">
        <v>8</v>
      </c>
      <c r="Q1" s="293" t="s">
        <v>9</v>
      </c>
      <c r="R1" s="294" t="s">
        <v>10</v>
      </c>
      <c r="S1" s="292" t="s">
        <v>11</v>
      </c>
      <c r="T1" s="293" t="s">
        <v>12</v>
      </c>
      <c r="U1" s="293" t="s">
        <v>13</v>
      </c>
      <c r="V1" s="293" t="s">
        <v>7</v>
      </c>
      <c r="W1" s="293" t="s">
        <v>8</v>
      </c>
      <c r="X1" s="293" t="s">
        <v>9</v>
      </c>
      <c r="Y1" s="294" t="s">
        <v>10</v>
      </c>
      <c r="Z1" s="292" t="s">
        <v>11</v>
      </c>
      <c r="AA1" s="293" t="s">
        <v>12</v>
      </c>
      <c r="AB1" s="293" t="s">
        <v>13</v>
      </c>
      <c r="AC1" s="293" t="s">
        <v>7</v>
      </c>
      <c r="AD1" s="293" t="s">
        <v>8</v>
      </c>
      <c r="AE1" s="294" t="s">
        <v>9</v>
      </c>
    </row>
    <row r="2">
      <c r="A2" s="295" t="s">
        <v>275</v>
      </c>
      <c r="B2" s="296" t="s">
        <v>14</v>
      </c>
      <c r="C2" s="288" t="s">
        <v>15</v>
      </c>
      <c r="D2" s="297" t="s">
        <v>16</v>
      </c>
      <c r="E2" s="296" t="s">
        <v>228</v>
      </c>
      <c r="F2" s="288" t="s">
        <v>229</v>
      </c>
      <c r="G2" s="288" t="s">
        <v>17</v>
      </c>
      <c r="H2" s="288" t="s">
        <v>18</v>
      </c>
      <c r="I2" s="288" t="s">
        <v>19</v>
      </c>
      <c r="J2" s="288" t="s">
        <v>20</v>
      </c>
      <c r="K2" s="297" t="s">
        <v>21</v>
      </c>
      <c r="L2" s="296" t="s">
        <v>22</v>
      </c>
      <c r="M2" s="288" t="s">
        <v>23</v>
      </c>
      <c r="N2" s="288" t="s">
        <v>24</v>
      </c>
      <c r="O2" s="288" t="s">
        <v>25</v>
      </c>
      <c r="P2" s="288" t="s">
        <v>26</v>
      </c>
      <c r="Q2" s="288" t="s">
        <v>27</v>
      </c>
      <c r="R2" s="297" t="s">
        <v>28</v>
      </c>
      <c r="S2" s="296" t="s">
        <v>29</v>
      </c>
      <c r="T2" s="288" t="s">
        <v>30</v>
      </c>
      <c r="U2" s="288" t="s">
        <v>31</v>
      </c>
      <c r="V2" s="288" t="s">
        <v>32</v>
      </c>
      <c r="W2" s="288" t="s">
        <v>33</v>
      </c>
      <c r="X2" s="288" t="s">
        <v>34</v>
      </c>
      <c r="Y2" s="297" t="s">
        <v>35</v>
      </c>
      <c r="Z2" s="296" t="s">
        <v>36</v>
      </c>
      <c r="AA2" s="288" t="s">
        <v>37</v>
      </c>
      <c r="AB2" s="288" t="s">
        <v>38</v>
      </c>
      <c r="AC2" s="288" t="s">
        <v>39</v>
      </c>
      <c r="AD2" s="288" t="s">
        <v>40</v>
      </c>
      <c r="AE2" s="297" t="s">
        <v>41</v>
      </c>
    </row>
    <row r="3">
      <c r="A3" s="295" t="s">
        <v>47</v>
      </c>
      <c r="B3" s="298">
        <v>6.0</v>
      </c>
      <c r="C3" s="287">
        <v>6.0</v>
      </c>
      <c r="D3" s="299">
        <v>5.0</v>
      </c>
      <c r="E3" s="298">
        <v>5.0</v>
      </c>
      <c r="F3" s="287">
        <v>5.0</v>
      </c>
      <c r="G3" s="287">
        <v>5.0</v>
      </c>
      <c r="H3" s="287">
        <v>5.0</v>
      </c>
      <c r="I3" s="287">
        <v>6.0</v>
      </c>
      <c r="J3" s="287">
        <v>6.0</v>
      </c>
      <c r="K3" s="299">
        <v>5.0</v>
      </c>
      <c r="L3" s="298">
        <v>5.0</v>
      </c>
      <c r="M3" s="287">
        <v>6.0</v>
      </c>
      <c r="N3" s="287">
        <v>5.0</v>
      </c>
      <c r="O3" s="287">
        <v>5.0</v>
      </c>
      <c r="P3" s="287">
        <v>6.0</v>
      </c>
      <c r="Q3" s="287">
        <v>6.0</v>
      </c>
      <c r="R3" s="299">
        <v>5.0</v>
      </c>
      <c r="S3" s="298">
        <v>5.0</v>
      </c>
      <c r="T3" s="287">
        <v>5.0</v>
      </c>
      <c r="U3" s="287">
        <v>5.0</v>
      </c>
      <c r="V3" s="287">
        <v>5.0</v>
      </c>
      <c r="W3" s="287">
        <v>6.0</v>
      </c>
      <c r="X3" s="287">
        <v>6.0</v>
      </c>
      <c r="Y3" s="299">
        <v>5.0</v>
      </c>
      <c r="Z3" s="298">
        <v>5.0</v>
      </c>
      <c r="AA3" s="287">
        <v>5.0</v>
      </c>
      <c r="AB3" s="287">
        <v>5.0</v>
      </c>
      <c r="AC3" s="287">
        <v>5.0</v>
      </c>
      <c r="AD3" s="287">
        <v>6.0</v>
      </c>
      <c r="AE3" s="299">
        <v>6.0</v>
      </c>
    </row>
    <row r="4">
      <c r="A4" s="295" t="s">
        <v>46</v>
      </c>
      <c r="B4" s="298">
        <v>3.0</v>
      </c>
      <c r="C4" s="287">
        <v>3.0</v>
      </c>
      <c r="D4" s="299">
        <v>3.0</v>
      </c>
      <c r="E4" s="298">
        <v>3.0</v>
      </c>
      <c r="F4" s="287">
        <v>3.0</v>
      </c>
      <c r="G4" s="287">
        <v>3.0</v>
      </c>
      <c r="H4" s="287">
        <v>3.0</v>
      </c>
      <c r="I4" s="287">
        <v>3.0</v>
      </c>
      <c r="J4" s="287">
        <v>3.0</v>
      </c>
      <c r="K4" s="299">
        <v>3.0</v>
      </c>
      <c r="L4" s="298">
        <v>3.0</v>
      </c>
      <c r="M4" s="287">
        <v>3.0</v>
      </c>
      <c r="N4" s="287">
        <v>3.0</v>
      </c>
      <c r="O4" s="287">
        <v>3.0</v>
      </c>
      <c r="P4" s="287">
        <v>3.0</v>
      </c>
      <c r="Q4" s="287">
        <v>3.0</v>
      </c>
      <c r="R4" s="299">
        <v>3.0</v>
      </c>
      <c r="S4" s="298">
        <v>3.0</v>
      </c>
      <c r="T4" s="287">
        <v>3.0</v>
      </c>
      <c r="U4" s="287">
        <v>3.0</v>
      </c>
      <c r="V4" s="287">
        <v>3.0</v>
      </c>
      <c r="W4" s="287">
        <v>3.0</v>
      </c>
      <c r="X4" s="287">
        <v>3.0</v>
      </c>
      <c r="Y4" s="299">
        <v>3.0</v>
      </c>
      <c r="Z4" s="298">
        <v>3.0</v>
      </c>
      <c r="AA4" s="287">
        <v>3.0</v>
      </c>
      <c r="AB4" s="287">
        <v>3.0</v>
      </c>
      <c r="AC4" s="287">
        <v>3.0</v>
      </c>
      <c r="AD4" s="287">
        <v>3.0</v>
      </c>
      <c r="AE4" s="299">
        <v>3.0</v>
      </c>
    </row>
    <row r="5">
      <c r="A5" s="295" t="s">
        <v>45</v>
      </c>
      <c r="B5" s="298">
        <v>7.0</v>
      </c>
      <c r="C5" s="287">
        <v>7.0</v>
      </c>
      <c r="D5" s="299">
        <v>7.0</v>
      </c>
      <c r="E5" s="298">
        <v>7.0</v>
      </c>
      <c r="F5" s="287">
        <v>7.0</v>
      </c>
      <c r="G5" s="287">
        <v>6.0</v>
      </c>
      <c r="H5" s="287">
        <v>6.0</v>
      </c>
      <c r="I5" s="287">
        <v>7.0</v>
      </c>
      <c r="J5" s="287">
        <v>7.0</v>
      </c>
      <c r="K5" s="299">
        <v>7.0</v>
      </c>
      <c r="L5" s="298">
        <v>7.0</v>
      </c>
      <c r="M5" s="287">
        <v>7.0</v>
      </c>
      <c r="N5" s="287">
        <v>7.0</v>
      </c>
      <c r="O5" s="287">
        <v>7.0</v>
      </c>
      <c r="P5" s="287">
        <v>7.0</v>
      </c>
      <c r="Q5" s="287">
        <v>7.0</v>
      </c>
      <c r="R5" s="299">
        <v>7.0</v>
      </c>
      <c r="S5" s="298">
        <v>7.0</v>
      </c>
      <c r="T5" s="287">
        <v>7.0</v>
      </c>
      <c r="U5" s="287">
        <v>7.0</v>
      </c>
      <c r="V5" s="287">
        <v>7.0</v>
      </c>
      <c r="W5" s="287">
        <v>7.0</v>
      </c>
      <c r="X5" s="287">
        <v>7.0</v>
      </c>
      <c r="Y5" s="299">
        <v>7.0</v>
      </c>
      <c r="Z5" s="298">
        <v>7.0</v>
      </c>
      <c r="AA5" s="287">
        <v>7.0</v>
      </c>
      <c r="AB5" s="287">
        <v>7.0</v>
      </c>
      <c r="AC5" s="287">
        <v>7.0</v>
      </c>
      <c r="AD5" s="287">
        <v>7.0</v>
      </c>
      <c r="AE5" s="299">
        <v>7.0</v>
      </c>
    </row>
    <row r="6">
      <c r="A6" s="295" t="s">
        <v>44</v>
      </c>
      <c r="B6" s="298">
        <v>3.0</v>
      </c>
      <c r="C6" s="287">
        <v>3.0</v>
      </c>
      <c r="D6" s="299">
        <v>3.0</v>
      </c>
      <c r="E6" s="298">
        <v>3.0</v>
      </c>
      <c r="F6" s="287">
        <v>3.0</v>
      </c>
      <c r="G6" s="287">
        <v>3.0</v>
      </c>
      <c r="H6" s="287">
        <v>3.0</v>
      </c>
      <c r="I6" s="287">
        <v>3.0</v>
      </c>
      <c r="J6" s="287">
        <v>3.0</v>
      </c>
      <c r="K6" s="299">
        <v>3.0</v>
      </c>
      <c r="L6" s="298">
        <v>3.0</v>
      </c>
      <c r="M6" s="287">
        <v>3.0</v>
      </c>
      <c r="N6" s="287">
        <v>3.0</v>
      </c>
      <c r="O6" s="287">
        <v>3.0</v>
      </c>
      <c r="P6" s="287">
        <v>4.0</v>
      </c>
      <c r="Q6" s="287">
        <v>3.0</v>
      </c>
      <c r="R6" s="299">
        <v>3.0</v>
      </c>
      <c r="S6" s="298">
        <v>3.0</v>
      </c>
      <c r="T6" s="287">
        <v>3.0</v>
      </c>
      <c r="U6" s="287">
        <v>3.0</v>
      </c>
      <c r="V6" s="287">
        <v>3.0</v>
      </c>
      <c r="W6" s="287">
        <v>3.0</v>
      </c>
      <c r="X6" s="287">
        <v>3.0</v>
      </c>
      <c r="Y6" s="299">
        <v>3.0</v>
      </c>
      <c r="Z6" s="298">
        <v>3.0</v>
      </c>
      <c r="AA6" s="287">
        <v>3.0</v>
      </c>
      <c r="AB6" s="287">
        <v>3.0</v>
      </c>
      <c r="AC6" s="287">
        <v>3.0</v>
      </c>
      <c r="AD6" s="287">
        <v>3.0</v>
      </c>
      <c r="AE6" s="299">
        <v>3.0</v>
      </c>
    </row>
    <row r="7">
      <c r="A7" s="295" t="s">
        <v>43</v>
      </c>
      <c r="B7" s="298">
        <v>6.0</v>
      </c>
      <c r="C7" s="287">
        <v>6.0</v>
      </c>
      <c r="D7" s="299">
        <v>6.0</v>
      </c>
      <c r="E7" s="298">
        <v>6.0</v>
      </c>
      <c r="F7" s="287">
        <v>6.0</v>
      </c>
      <c r="G7" s="287">
        <v>7.0</v>
      </c>
      <c r="H7" s="287">
        <v>7.0</v>
      </c>
      <c r="I7" s="287">
        <v>6.0</v>
      </c>
      <c r="J7" s="287">
        <v>6.0</v>
      </c>
      <c r="K7" s="299">
        <v>6.0</v>
      </c>
      <c r="L7" s="298">
        <v>6.0</v>
      </c>
      <c r="M7" s="287">
        <v>6.0</v>
      </c>
      <c r="N7" s="287">
        <v>6.0</v>
      </c>
      <c r="O7" s="287">
        <v>6.0</v>
      </c>
      <c r="P7" s="287">
        <v>6.0</v>
      </c>
      <c r="Q7" s="287">
        <v>6.0</v>
      </c>
      <c r="R7" s="299">
        <v>6.0</v>
      </c>
      <c r="S7" s="298">
        <v>6.0</v>
      </c>
      <c r="T7" s="287">
        <v>6.0</v>
      </c>
      <c r="U7" s="287">
        <v>6.0</v>
      </c>
      <c r="V7" s="287">
        <v>6.0</v>
      </c>
      <c r="W7" s="287">
        <v>6.0</v>
      </c>
      <c r="X7" s="287">
        <v>6.0</v>
      </c>
      <c r="Y7" s="299">
        <v>6.0</v>
      </c>
      <c r="Z7" s="298">
        <v>6.0</v>
      </c>
      <c r="AA7" s="287">
        <v>6.0</v>
      </c>
      <c r="AB7" s="287">
        <v>6.0</v>
      </c>
      <c r="AC7" s="287">
        <v>6.0</v>
      </c>
      <c r="AD7" s="287">
        <v>6.0</v>
      </c>
      <c r="AE7" s="299">
        <v>6.0</v>
      </c>
    </row>
    <row r="8">
      <c r="A8" s="295" t="s">
        <v>53</v>
      </c>
      <c r="B8" s="298">
        <v>12.0</v>
      </c>
      <c r="C8" s="287">
        <v>13.0</v>
      </c>
      <c r="D8" s="299">
        <v>12.0</v>
      </c>
      <c r="E8" s="298">
        <v>12.0</v>
      </c>
      <c r="F8" s="287">
        <v>13.0</v>
      </c>
      <c r="G8" s="287">
        <v>11.0</v>
      </c>
      <c r="H8" s="287">
        <v>11.0</v>
      </c>
      <c r="I8" s="287">
        <v>12.0</v>
      </c>
      <c r="J8" s="287">
        <v>13.0</v>
      </c>
      <c r="K8" s="299">
        <v>12.0</v>
      </c>
      <c r="L8" s="298">
        <v>12.0</v>
      </c>
      <c r="M8" s="287">
        <v>13.0</v>
      </c>
      <c r="N8" s="287">
        <v>11.0</v>
      </c>
      <c r="O8" s="287">
        <v>11.0</v>
      </c>
      <c r="P8" s="287">
        <v>12.0</v>
      </c>
      <c r="Q8" s="287">
        <v>13.0</v>
      </c>
      <c r="R8" s="299">
        <v>12.0</v>
      </c>
      <c r="S8" s="298">
        <v>12.0</v>
      </c>
      <c r="T8" s="287">
        <v>13.0</v>
      </c>
      <c r="U8" s="287">
        <v>11.0</v>
      </c>
      <c r="V8" s="287">
        <v>11.0</v>
      </c>
      <c r="W8" s="287">
        <v>12.0</v>
      </c>
      <c r="X8" s="287">
        <v>13.0</v>
      </c>
      <c r="Y8" s="299">
        <v>12.0</v>
      </c>
      <c r="Z8" s="298">
        <v>12.0</v>
      </c>
      <c r="AA8" s="287">
        <v>13.0</v>
      </c>
      <c r="AB8" s="287">
        <v>11.0</v>
      </c>
      <c r="AC8" s="287">
        <v>11.0</v>
      </c>
      <c r="AD8" s="287">
        <v>12.0</v>
      </c>
      <c r="AE8" s="299">
        <v>13.0</v>
      </c>
    </row>
    <row r="9">
      <c r="A9" s="295" t="s">
        <v>48</v>
      </c>
      <c r="B9" s="298">
        <v>0.0</v>
      </c>
      <c r="C9" s="287">
        <v>0.0</v>
      </c>
      <c r="D9" s="299">
        <v>0.0</v>
      </c>
      <c r="E9" s="298">
        <v>1.0</v>
      </c>
      <c r="F9" s="287">
        <v>1.0</v>
      </c>
      <c r="G9" s="287">
        <v>3.0</v>
      </c>
      <c r="H9" s="287">
        <v>4.0</v>
      </c>
      <c r="I9" s="287">
        <v>2.0</v>
      </c>
      <c r="J9" s="287">
        <v>2.0</v>
      </c>
      <c r="K9" s="299">
        <v>4.0</v>
      </c>
      <c r="L9" s="298">
        <v>2.0</v>
      </c>
      <c r="M9" s="287">
        <v>0.0</v>
      </c>
      <c r="N9" s="287">
        <v>1.0</v>
      </c>
      <c r="O9" s="287">
        <v>2.0</v>
      </c>
      <c r="P9" s="287">
        <v>2.0</v>
      </c>
      <c r="Q9" s="287">
        <v>2.0</v>
      </c>
      <c r="R9" s="299">
        <v>2.0</v>
      </c>
      <c r="S9" s="298">
        <v>2.0</v>
      </c>
      <c r="T9" s="287">
        <v>0.0</v>
      </c>
      <c r="U9" s="287">
        <v>2.0</v>
      </c>
      <c r="V9" s="287">
        <v>5.0</v>
      </c>
      <c r="W9" s="287">
        <v>4.0</v>
      </c>
      <c r="X9" s="287">
        <v>1.0</v>
      </c>
      <c r="Y9" s="299">
        <v>2.0</v>
      </c>
      <c r="Z9" s="298">
        <v>2.0</v>
      </c>
      <c r="AA9" s="287">
        <v>3.0</v>
      </c>
      <c r="AB9" s="287">
        <v>4.0</v>
      </c>
      <c r="AC9" s="287">
        <v>5.0</v>
      </c>
      <c r="AD9" s="287">
        <v>3.0</v>
      </c>
      <c r="AE9" s="299">
        <v>1.0</v>
      </c>
    </row>
    <row r="10">
      <c r="A10" s="295" t="s">
        <v>49</v>
      </c>
      <c r="B10" s="298">
        <v>5.0</v>
      </c>
      <c r="C10" s="287">
        <v>4.0</v>
      </c>
      <c r="D10" s="299">
        <v>6.0</v>
      </c>
      <c r="E10" s="298">
        <v>5.0</v>
      </c>
      <c r="F10" s="287">
        <v>4.0</v>
      </c>
      <c r="G10" s="287">
        <v>4.0</v>
      </c>
      <c r="H10" s="287">
        <v>3.0</v>
      </c>
      <c r="I10" s="287">
        <v>3.0</v>
      </c>
      <c r="J10" s="287">
        <v>2.0</v>
      </c>
      <c r="K10" s="299">
        <v>2.0</v>
      </c>
      <c r="L10" s="298">
        <v>4.0</v>
      </c>
      <c r="M10" s="287">
        <v>4.0</v>
      </c>
      <c r="N10" s="287">
        <v>6.0</v>
      </c>
      <c r="O10" s="287">
        <v>4.0</v>
      </c>
      <c r="P10" s="287">
        <v>1.0</v>
      </c>
      <c r="Q10" s="287">
        <v>1.0</v>
      </c>
      <c r="R10" s="299">
        <v>3.0</v>
      </c>
      <c r="S10" s="298">
        <v>3.0</v>
      </c>
      <c r="T10" s="287">
        <v>5.0</v>
      </c>
      <c r="U10" s="287">
        <v>5.0</v>
      </c>
      <c r="V10" s="287">
        <v>1.0</v>
      </c>
      <c r="W10" s="287">
        <v>0.0</v>
      </c>
      <c r="X10" s="287">
        <v>2.0</v>
      </c>
      <c r="Y10" s="299">
        <v>3.0</v>
      </c>
      <c r="Z10" s="298">
        <v>3.0</v>
      </c>
      <c r="AA10" s="287">
        <v>2.0</v>
      </c>
      <c r="AB10" s="287">
        <v>3.0</v>
      </c>
      <c r="AC10" s="287">
        <v>1.0</v>
      </c>
      <c r="AD10" s="287">
        <v>0.0</v>
      </c>
      <c r="AE10" s="299">
        <v>2.0</v>
      </c>
    </row>
    <row r="11">
      <c r="A11" s="300" t="s">
        <v>183</v>
      </c>
      <c r="B11" s="301">
        <v>25.0</v>
      </c>
      <c r="C11" s="302">
        <v>25.0</v>
      </c>
      <c r="D11" s="303">
        <v>24.0</v>
      </c>
      <c r="E11" s="304">
        <v>24.0</v>
      </c>
      <c r="F11" s="305">
        <v>24.0</v>
      </c>
      <c r="G11" s="305">
        <v>24.0</v>
      </c>
      <c r="H11" s="305">
        <v>24.0</v>
      </c>
      <c r="I11" s="302">
        <v>25.0</v>
      </c>
      <c r="J11" s="302">
        <v>25.0</v>
      </c>
      <c r="K11" s="303">
        <v>24.0</v>
      </c>
      <c r="L11" s="304">
        <v>24.0</v>
      </c>
      <c r="M11" s="305">
        <v>25.0</v>
      </c>
      <c r="N11" s="305">
        <v>24.0</v>
      </c>
      <c r="O11" s="305">
        <v>24.0</v>
      </c>
      <c r="P11" s="302">
        <v>26.0</v>
      </c>
      <c r="Q11" s="302">
        <v>25.0</v>
      </c>
      <c r="R11" s="303">
        <v>24.0</v>
      </c>
      <c r="S11" s="304">
        <v>24.0</v>
      </c>
      <c r="T11" s="305">
        <v>24.0</v>
      </c>
      <c r="U11" s="305">
        <v>24.0</v>
      </c>
      <c r="V11" s="305">
        <v>24.0</v>
      </c>
      <c r="W11" s="302">
        <v>25.0</v>
      </c>
      <c r="X11" s="302">
        <v>25.0</v>
      </c>
      <c r="Y11" s="303">
        <v>24.0</v>
      </c>
      <c r="Z11" s="304">
        <v>24.0</v>
      </c>
      <c r="AA11" s="305">
        <v>24.0</v>
      </c>
      <c r="AB11" s="305">
        <v>24.0</v>
      </c>
      <c r="AC11" s="305">
        <v>24.0</v>
      </c>
      <c r="AD11" s="302">
        <v>25.0</v>
      </c>
      <c r="AE11" s="306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07" t="s">
        <v>276</v>
      </c>
      <c r="C1" s="307" t="s">
        <v>277</v>
      </c>
    </row>
    <row r="2">
      <c r="A2" s="163" t="s">
        <v>67</v>
      </c>
      <c r="B2" s="166">
        <v>46272.0</v>
      </c>
      <c r="C2" s="163" t="s">
        <v>278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287" t="str">
        <f t="array" ref="A1:AF44">'ORIGIN MONTH 7'!A3:AF46</f>
        <v>E .NAME</v>
      </c>
      <c r="B1" s="288" t="s">
        <v>5</v>
      </c>
      <c r="C1" s="288" t="s">
        <v>8</v>
      </c>
      <c r="D1" s="288" t="s">
        <v>9</v>
      </c>
      <c r="E1" s="288" t="s">
        <v>10</v>
      </c>
      <c r="F1" s="288" t="s">
        <v>11</v>
      </c>
      <c r="G1" s="288" t="s">
        <v>12</v>
      </c>
      <c r="H1" s="288" t="s">
        <v>13</v>
      </c>
      <c r="I1" s="288" t="s">
        <v>7</v>
      </c>
      <c r="J1" s="288" t="s">
        <v>8</v>
      </c>
      <c r="K1" s="288" t="s">
        <v>9</v>
      </c>
      <c r="L1" s="288" t="s">
        <v>10</v>
      </c>
      <c r="M1" s="288" t="s">
        <v>11</v>
      </c>
      <c r="N1" s="288" t="s">
        <v>12</v>
      </c>
      <c r="O1" s="288" t="s">
        <v>13</v>
      </c>
      <c r="P1" s="288" t="s">
        <v>7</v>
      </c>
      <c r="Q1" s="288" t="s">
        <v>8</v>
      </c>
      <c r="R1" s="288" t="s">
        <v>9</v>
      </c>
      <c r="S1" s="288" t="s">
        <v>10</v>
      </c>
      <c r="T1" s="288" t="s">
        <v>11</v>
      </c>
      <c r="U1" s="288" t="s">
        <v>12</v>
      </c>
      <c r="V1" s="288" t="s">
        <v>13</v>
      </c>
      <c r="W1" s="288" t="s">
        <v>7</v>
      </c>
      <c r="X1" s="288" t="s">
        <v>8</v>
      </c>
      <c r="Y1" s="288" t="s">
        <v>9</v>
      </c>
      <c r="Z1" s="288" t="s">
        <v>10</v>
      </c>
      <c r="AA1" s="288" t="s">
        <v>11</v>
      </c>
      <c r="AB1" s="288" t="s">
        <v>12</v>
      </c>
      <c r="AC1" s="288" t="s">
        <v>13</v>
      </c>
      <c r="AD1" s="288" t="s">
        <v>7</v>
      </c>
      <c r="AE1" s="288" t="s">
        <v>8</v>
      </c>
      <c r="AF1" s="288" t="s">
        <v>9</v>
      </c>
      <c r="AG1" s="289"/>
      <c r="AH1" s="289"/>
    </row>
    <row r="2">
      <c r="A2" s="287"/>
      <c r="B2" s="288"/>
      <c r="C2" s="288" t="s">
        <v>14</v>
      </c>
      <c r="D2" s="288" t="s">
        <v>15</v>
      </c>
      <c r="E2" s="288" t="s">
        <v>16</v>
      </c>
      <c r="F2" s="288" t="s">
        <v>228</v>
      </c>
      <c r="G2" s="288" t="s">
        <v>229</v>
      </c>
      <c r="H2" s="288" t="s">
        <v>17</v>
      </c>
      <c r="I2" s="288" t="s">
        <v>18</v>
      </c>
      <c r="J2" s="288" t="s">
        <v>19</v>
      </c>
      <c r="K2" s="288" t="s">
        <v>20</v>
      </c>
      <c r="L2" s="288" t="s">
        <v>21</v>
      </c>
      <c r="M2" s="288" t="s">
        <v>22</v>
      </c>
      <c r="N2" s="288" t="s">
        <v>23</v>
      </c>
      <c r="O2" s="288" t="s">
        <v>24</v>
      </c>
      <c r="P2" s="288" t="s">
        <v>25</v>
      </c>
      <c r="Q2" s="288" t="s">
        <v>26</v>
      </c>
      <c r="R2" s="288" t="s">
        <v>27</v>
      </c>
      <c r="S2" s="288" t="s">
        <v>28</v>
      </c>
      <c r="T2" s="288" t="s">
        <v>29</v>
      </c>
      <c r="U2" s="288" t="s">
        <v>30</v>
      </c>
      <c r="V2" s="288" t="s">
        <v>31</v>
      </c>
      <c r="W2" s="288" t="s">
        <v>32</v>
      </c>
      <c r="X2" s="288" t="s">
        <v>33</v>
      </c>
      <c r="Y2" s="288" t="s">
        <v>34</v>
      </c>
      <c r="Z2" s="288" t="s">
        <v>35</v>
      </c>
      <c r="AA2" s="288" t="s">
        <v>36</v>
      </c>
      <c r="AB2" s="288" t="s">
        <v>37</v>
      </c>
      <c r="AC2" s="288" t="s">
        <v>38</v>
      </c>
      <c r="AD2" s="288" t="s">
        <v>39</v>
      </c>
      <c r="AE2" s="288" t="s">
        <v>40</v>
      </c>
      <c r="AF2" s="288" t="s">
        <v>41</v>
      </c>
      <c r="AG2" s="289"/>
      <c r="AH2" s="289"/>
    </row>
    <row r="3">
      <c r="A3" s="290" t="s">
        <v>230</v>
      </c>
      <c r="B3" s="288" t="s">
        <v>59</v>
      </c>
      <c r="C3" s="288" t="s">
        <v>43</v>
      </c>
      <c r="D3" s="288" t="s">
        <v>53</v>
      </c>
      <c r="E3" s="288" t="s">
        <v>53</v>
      </c>
      <c r="F3" s="288" t="s">
        <v>47</v>
      </c>
      <c r="G3" s="288" t="s">
        <v>46</v>
      </c>
      <c r="H3" s="288" t="s">
        <v>46</v>
      </c>
      <c r="I3" s="288" t="s">
        <v>45</v>
      </c>
      <c r="J3" s="288" t="s">
        <v>43</v>
      </c>
      <c r="K3" s="288" t="s">
        <v>53</v>
      </c>
      <c r="L3" s="288" t="s">
        <v>53</v>
      </c>
      <c r="M3" s="288" t="s">
        <v>47</v>
      </c>
      <c r="N3" s="288" t="s">
        <v>45</v>
      </c>
      <c r="O3" s="288" t="s">
        <v>45</v>
      </c>
      <c r="P3" s="288" t="s">
        <v>45</v>
      </c>
      <c r="Q3" s="288" t="s">
        <v>44</v>
      </c>
      <c r="R3" s="288" t="s">
        <v>53</v>
      </c>
      <c r="S3" s="288" t="s">
        <v>53</v>
      </c>
      <c r="T3" s="288" t="s">
        <v>45</v>
      </c>
      <c r="U3" s="288" t="s">
        <v>45</v>
      </c>
      <c r="V3" s="288" t="s">
        <v>48</v>
      </c>
      <c r="W3" s="288" t="s">
        <v>48</v>
      </c>
      <c r="X3" s="288" t="s">
        <v>48</v>
      </c>
      <c r="Y3" s="288" t="s">
        <v>53</v>
      </c>
      <c r="Z3" s="288" t="s">
        <v>53</v>
      </c>
      <c r="AA3" s="288" t="s">
        <v>45</v>
      </c>
      <c r="AB3" s="288" t="s">
        <v>45</v>
      </c>
      <c r="AC3" s="288" t="s">
        <v>45</v>
      </c>
      <c r="AD3" s="288" t="s">
        <v>44</v>
      </c>
      <c r="AE3" s="288" t="s">
        <v>44</v>
      </c>
      <c r="AF3" s="288" t="s">
        <v>53</v>
      </c>
      <c r="AG3" s="287"/>
      <c r="AH3" s="287"/>
    </row>
    <row r="4">
      <c r="A4" s="290" t="s">
        <v>231</v>
      </c>
      <c r="B4" s="288" t="s">
        <v>62</v>
      </c>
      <c r="C4" s="288" t="s">
        <v>44</v>
      </c>
      <c r="D4" s="288" t="s">
        <v>53</v>
      </c>
      <c r="E4" s="288" t="s">
        <v>53</v>
      </c>
      <c r="F4" s="288" t="s">
        <v>49</v>
      </c>
      <c r="G4" s="288" t="s">
        <v>45</v>
      </c>
      <c r="H4" s="288" t="s">
        <v>45</v>
      </c>
      <c r="I4" s="288" t="s">
        <v>44</v>
      </c>
      <c r="J4" s="287" t="s">
        <v>44</v>
      </c>
      <c r="K4" s="288" t="s">
        <v>53</v>
      </c>
      <c r="L4" s="288" t="s">
        <v>53</v>
      </c>
      <c r="M4" s="288" t="s">
        <v>47</v>
      </c>
      <c r="N4" s="288" t="s">
        <v>47</v>
      </c>
      <c r="O4" s="288" t="s">
        <v>47</v>
      </c>
      <c r="P4" s="288" t="s">
        <v>45</v>
      </c>
      <c r="Q4" s="288" t="s">
        <v>44</v>
      </c>
      <c r="R4" s="288" t="s">
        <v>53</v>
      </c>
      <c r="S4" s="288" t="s">
        <v>53</v>
      </c>
      <c r="T4" s="288" t="s">
        <v>46</v>
      </c>
      <c r="U4" s="288" t="s">
        <v>46</v>
      </c>
      <c r="V4" s="288" t="s">
        <v>45</v>
      </c>
      <c r="W4" s="288" t="s">
        <v>44</v>
      </c>
      <c r="X4" s="288" t="s">
        <v>43</v>
      </c>
      <c r="Y4" s="288" t="s">
        <v>53</v>
      </c>
      <c r="Z4" s="288" t="s">
        <v>53</v>
      </c>
      <c r="AA4" s="288" t="s">
        <v>45</v>
      </c>
      <c r="AB4" s="288" t="s">
        <v>45</v>
      </c>
      <c r="AC4" s="288" t="s">
        <v>45</v>
      </c>
      <c r="AD4" s="288" t="s">
        <v>43</v>
      </c>
      <c r="AE4" s="288" t="s">
        <v>232</v>
      </c>
      <c r="AF4" s="288" t="s">
        <v>53</v>
      </c>
      <c r="AG4" s="287"/>
      <c r="AH4" s="287"/>
    </row>
    <row r="5">
      <c r="A5" s="290" t="s">
        <v>233</v>
      </c>
      <c r="B5" s="288" t="s">
        <v>65</v>
      </c>
      <c r="C5" s="287" t="s">
        <v>47</v>
      </c>
      <c r="D5" s="287" t="s">
        <v>47</v>
      </c>
      <c r="E5" s="288" t="s">
        <v>53</v>
      </c>
      <c r="F5" s="288" t="s">
        <v>53</v>
      </c>
      <c r="G5" s="288" t="s">
        <v>47</v>
      </c>
      <c r="H5" s="288" t="s">
        <v>47</v>
      </c>
      <c r="I5" s="288" t="s">
        <v>43</v>
      </c>
      <c r="J5" s="288" t="s">
        <v>43</v>
      </c>
      <c r="K5" s="288" t="s">
        <v>43</v>
      </c>
      <c r="L5" s="288" t="s">
        <v>53</v>
      </c>
      <c r="M5" s="288" t="s">
        <v>53</v>
      </c>
      <c r="N5" s="288" t="s">
        <v>47</v>
      </c>
      <c r="O5" s="288" t="s">
        <v>47</v>
      </c>
      <c r="P5" s="288" t="s">
        <v>47</v>
      </c>
      <c r="Q5" s="288" t="s">
        <v>43</v>
      </c>
      <c r="R5" s="288" t="s">
        <v>43</v>
      </c>
      <c r="S5" s="288" t="s">
        <v>53</v>
      </c>
      <c r="T5" s="288" t="s">
        <v>53</v>
      </c>
      <c r="U5" s="288" t="s">
        <v>47</v>
      </c>
      <c r="V5" s="288" t="s">
        <v>47</v>
      </c>
      <c r="W5" s="288" t="s">
        <v>43</v>
      </c>
      <c r="X5" s="288" t="s">
        <v>43</v>
      </c>
      <c r="Y5" s="288" t="s">
        <v>43</v>
      </c>
      <c r="Z5" s="288" t="s">
        <v>53</v>
      </c>
      <c r="AA5" s="288" t="s">
        <v>53</v>
      </c>
      <c r="AB5" s="288" t="s">
        <v>49</v>
      </c>
      <c r="AC5" s="288" t="s">
        <v>49</v>
      </c>
      <c r="AD5" s="288" t="s">
        <v>48</v>
      </c>
      <c r="AE5" s="288" t="s">
        <v>48</v>
      </c>
      <c r="AF5" s="288" t="s">
        <v>43</v>
      </c>
      <c r="AG5" s="287"/>
      <c r="AH5" s="287"/>
    </row>
    <row r="6">
      <c r="A6" s="290" t="s">
        <v>234</v>
      </c>
      <c r="B6" s="288" t="s">
        <v>68</v>
      </c>
      <c r="C6" s="287" t="s">
        <v>46</v>
      </c>
      <c r="D6" s="287" t="s">
        <v>46</v>
      </c>
      <c r="E6" s="288" t="s">
        <v>53</v>
      </c>
      <c r="F6" s="288" t="s">
        <v>53</v>
      </c>
      <c r="G6" s="288" t="s">
        <v>47</v>
      </c>
      <c r="H6" s="287" t="s">
        <v>47</v>
      </c>
      <c r="I6" s="287" t="s">
        <v>47</v>
      </c>
      <c r="J6" s="288" t="s">
        <v>47</v>
      </c>
      <c r="K6" s="288" t="s">
        <v>46</v>
      </c>
      <c r="L6" s="288" t="s">
        <v>53</v>
      </c>
      <c r="M6" s="288" t="s">
        <v>53</v>
      </c>
      <c r="N6" s="288" t="s">
        <v>47</v>
      </c>
      <c r="O6" s="288" t="s">
        <v>46</v>
      </c>
      <c r="P6" s="288" t="s">
        <v>49</v>
      </c>
      <c r="Q6" s="288" t="s">
        <v>48</v>
      </c>
      <c r="R6" s="288" t="s">
        <v>48</v>
      </c>
      <c r="S6" s="288" t="s">
        <v>53</v>
      </c>
      <c r="T6" s="288" t="s">
        <v>53</v>
      </c>
      <c r="U6" s="288" t="s">
        <v>47</v>
      </c>
      <c r="V6" s="288" t="s">
        <v>47</v>
      </c>
      <c r="W6" s="288" t="s">
        <v>46</v>
      </c>
      <c r="X6" s="288" t="s">
        <v>46</v>
      </c>
      <c r="Y6" s="288" t="s">
        <v>46</v>
      </c>
      <c r="Z6" s="288" t="s">
        <v>53</v>
      </c>
      <c r="AA6" s="288" t="s">
        <v>53</v>
      </c>
      <c r="AB6" s="288" t="s">
        <v>47</v>
      </c>
      <c r="AC6" s="288" t="s">
        <v>46</v>
      </c>
      <c r="AD6" s="288" t="s">
        <v>46</v>
      </c>
      <c r="AE6" s="288" t="s">
        <v>46</v>
      </c>
      <c r="AF6" s="288" t="s">
        <v>46</v>
      </c>
      <c r="AG6" s="287"/>
      <c r="AH6" s="287"/>
    </row>
    <row r="7">
      <c r="A7" s="290" t="s">
        <v>235</v>
      </c>
      <c r="B7" s="288" t="s">
        <v>71</v>
      </c>
      <c r="C7" s="288" t="s">
        <v>43</v>
      </c>
      <c r="D7" s="288" t="s">
        <v>53</v>
      </c>
      <c r="E7" s="288" t="s">
        <v>53</v>
      </c>
      <c r="F7" s="288" t="s">
        <v>49</v>
      </c>
      <c r="G7" s="288" t="s">
        <v>49</v>
      </c>
      <c r="H7" s="288" t="s">
        <v>48</v>
      </c>
      <c r="I7" s="288" t="s">
        <v>46</v>
      </c>
      <c r="J7" s="287" t="s">
        <v>45</v>
      </c>
      <c r="K7" s="288" t="s">
        <v>53</v>
      </c>
      <c r="L7" s="288" t="s">
        <v>53</v>
      </c>
      <c r="M7" s="288" t="s">
        <v>44</v>
      </c>
      <c r="N7" s="288" t="s">
        <v>44</v>
      </c>
      <c r="O7" s="288" t="s">
        <v>48</v>
      </c>
      <c r="P7" s="288" t="s">
        <v>44</v>
      </c>
      <c r="Q7" s="288" t="s">
        <v>43</v>
      </c>
      <c r="R7" s="288" t="s">
        <v>53</v>
      </c>
      <c r="S7" s="288" t="s">
        <v>53</v>
      </c>
      <c r="T7" s="288" t="s">
        <v>46</v>
      </c>
      <c r="U7" s="288" t="s">
        <v>45</v>
      </c>
      <c r="V7" s="288" t="s">
        <v>48</v>
      </c>
      <c r="W7" s="288" t="s">
        <v>48</v>
      </c>
      <c r="X7" s="288" t="s">
        <v>48</v>
      </c>
      <c r="Y7" s="288" t="s">
        <v>53</v>
      </c>
      <c r="Z7" s="288" t="s">
        <v>53</v>
      </c>
      <c r="AA7" s="288" t="s">
        <v>47</v>
      </c>
      <c r="AB7" s="288" t="s">
        <v>46</v>
      </c>
      <c r="AC7" s="288" t="s">
        <v>48</v>
      </c>
      <c r="AD7" s="288" t="s">
        <v>45</v>
      </c>
      <c r="AE7" s="287" t="s">
        <v>45</v>
      </c>
      <c r="AF7" s="288" t="s">
        <v>53</v>
      </c>
      <c r="AG7" s="287"/>
      <c r="AH7" s="287"/>
    </row>
    <row r="8">
      <c r="A8" s="290" t="s">
        <v>236</v>
      </c>
      <c r="B8" s="288" t="s">
        <v>74</v>
      </c>
      <c r="C8" s="288" t="s">
        <v>47</v>
      </c>
      <c r="D8" s="288" t="s">
        <v>43</v>
      </c>
      <c r="E8" s="288" t="s">
        <v>53</v>
      </c>
      <c r="F8" s="288" t="s">
        <v>53</v>
      </c>
      <c r="G8" s="288" t="s">
        <v>46</v>
      </c>
      <c r="H8" s="288" t="s">
        <v>49</v>
      </c>
      <c r="I8" s="288" t="s">
        <v>45</v>
      </c>
      <c r="J8" s="288" t="s">
        <v>45</v>
      </c>
      <c r="K8" s="288" t="s">
        <v>43</v>
      </c>
      <c r="L8" s="288" t="s">
        <v>53</v>
      </c>
      <c r="M8" s="288" t="s">
        <v>53</v>
      </c>
      <c r="N8" s="288" t="s">
        <v>49</v>
      </c>
      <c r="O8" s="288" t="s">
        <v>49</v>
      </c>
      <c r="P8" s="288" t="s">
        <v>46</v>
      </c>
      <c r="Q8" s="288" t="s">
        <v>47</v>
      </c>
      <c r="R8" s="288" t="s">
        <v>44</v>
      </c>
      <c r="S8" s="288" t="s">
        <v>53</v>
      </c>
      <c r="T8" s="288" t="s">
        <v>53</v>
      </c>
      <c r="U8" s="288" t="s">
        <v>49</v>
      </c>
      <c r="V8" s="288" t="s">
        <v>45</v>
      </c>
      <c r="W8" s="288" t="s">
        <v>45</v>
      </c>
      <c r="X8" s="288" t="s">
        <v>45</v>
      </c>
      <c r="Y8" s="288" t="s">
        <v>44</v>
      </c>
      <c r="Z8" s="288" t="s">
        <v>53</v>
      </c>
      <c r="AA8" s="288" t="s">
        <v>53</v>
      </c>
      <c r="AB8" s="288" t="s">
        <v>46</v>
      </c>
      <c r="AC8" s="288" t="s">
        <v>49</v>
      </c>
      <c r="AD8" s="288" t="s">
        <v>47</v>
      </c>
      <c r="AE8" s="288" t="s">
        <v>44</v>
      </c>
      <c r="AF8" s="288" t="s">
        <v>49</v>
      </c>
      <c r="AG8" s="287"/>
      <c r="AH8" s="287"/>
    </row>
    <row r="9">
      <c r="A9" s="290" t="s">
        <v>237</v>
      </c>
      <c r="B9" s="288" t="s">
        <v>77</v>
      </c>
      <c r="C9" s="288" t="s">
        <v>49</v>
      </c>
      <c r="D9" s="288" t="s">
        <v>53</v>
      </c>
      <c r="E9" s="288" t="s">
        <v>53</v>
      </c>
      <c r="F9" s="288" t="s">
        <v>47</v>
      </c>
      <c r="G9" s="288" t="s">
        <v>45</v>
      </c>
      <c r="H9" s="288" t="s">
        <v>44</v>
      </c>
      <c r="I9" s="288" t="s">
        <v>49</v>
      </c>
      <c r="J9" s="288" t="s">
        <v>49</v>
      </c>
      <c r="K9" s="288" t="s">
        <v>53</v>
      </c>
      <c r="L9" s="288" t="s">
        <v>53</v>
      </c>
      <c r="M9" s="288" t="s">
        <v>47</v>
      </c>
      <c r="N9" s="288" t="s">
        <v>47</v>
      </c>
      <c r="O9" s="288" t="s">
        <v>45</v>
      </c>
      <c r="P9" s="288" t="s">
        <v>44</v>
      </c>
      <c r="Q9" s="288" t="s">
        <v>48</v>
      </c>
      <c r="R9" s="288" t="s">
        <v>53</v>
      </c>
      <c r="S9" s="288" t="s">
        <v>53</v>
      </c>
      <c r="T9" s="288" t="s">
        <v>46</v>
      </c>
      <c r="U9" s="288" t="s">
        <v>46</v>
      </c>
      <c r="V9" s="288" t="s">
        <v>45</v>
      </c>
      <c r="W9" s="288" t="s">
        <v>44</v>
      </c>
      <c r="X9" s="288" t="s">
        <v>43</v>
      </c>
      <c r="Y9" s="288" t="s">
        <v>53</v>
      </c>
      <c r="Z9" s="288" t="s">
        <v>53</v>
      </c>
      <c r="AA9" s="288" t="s">
        <v>47</v>
      </c>
      <c r="AB9" s="288" t="s">
        <v>43</v>
      </c>
      <c r="AC9" s="288" t="s">
        <v>48</v>
      </c>
      <c r="AD9" s="288" t="s">
        <v>45</v>
      </c>
      <c r="AE9" s="288" t="s">
        <v>43</v>
      </c>
      <c r="AF9" s="288" t="s">
        <v>53</v>
      </c>
      <c r="AG9" s="287"/>
      <c r="AH9" s="287"/>
    </row>
    <row r="10">
      <c r="A10" s="290" t="s">
        <v>238</v>
      </c>
      <c r="B10" s="288" t="s">
        <v>80</v>
      </c>
      <c r="C10" s="288" t="s">
        <v>49</v>
      </c>
      <c r="D10" s="288" t="s">
        <v>43</v>
      </c>
      <c r="E10" s="288" t="s">
        <v>53</v>
      </c>
      <c r="F10" s="288" t="s">
        <v>53</v>
      </c>
      <c r="G10" s="288" t="s">
        <v>47</v>
      </c>
      <c r="H10" s="288" t="s">
        <v>47</v>
      </c>
      <c r="I10" s="288" t="s">
        <v>47</v>
      </c>
      <c r="J10" s="287" t="s">
        <v>43</v>
      </c>
      <c r="K10" s="287" t="s">
        <v>43</v>
      </c>
      <c r="L10" s="288" t="s">
        <v>53</v>
      </c>
      <c r="M10" s="288" t="s">
        <v>53</v>
      </c>
      <c r="N10" s="288" t="s">
        <v>47</v>
      </c>
      <c r="O10" s="288" t="s">
        <v>47</v>
      </c>
      <c r="P10" s="288" t="s">
        <v>43</v>
      </c>
      <c r="Q10" s="288" t="s">
        <v>43</v>
      </c>
      <c r="R10" s="288" t="s">
        <v>43</v>
      </c>
      <c r="S10" s="288" t="s">
        <v>53</v>
      </c>
      <c r="T10" s="288" t="s">
        <v>53</v>
      </c>
      <c r="U10" s="288" t="s">
        <v>47</v>
      </c>
      <c r="V10" s="288" t="s">
        <v>47</v>
      </c>
      <c r="W10" s="288" t="s">
        <v>47</v>
      </c>
      <c r="X10" s="288" t="s">
        <v>43</v>
      </c>
      <c r="Y10" s="288" t="s">
        <v>43</v>
      </c>
      <c r="Z10" s="288" t="s">
        <v>53</v>
      </c>
      <c r="AA10" s="288" t="s">
        <v>53</v>
      </c>
      <c r="AB10" s="288" t="s">
        <v>47</v>
      </c>
      <c r="AC10" s="288" t="s">
        <v>47</v>
      </c>
      <c r="AD10" s="288" t="s">
        <v>43</v>
      </c>
      <c r="AE10" s="288" t="s">
        <v>43</v>
      </c>
      <c r="AF10" s="288" t="s">
        <v>43</v>
      </c>
      <c r="AG10" s="287"/>
      <c r="AH10" s="287"/>
    </row>
    <row r="11">
      <c r="A11" s="290" t="s">
        <v>239</v>
      </c>
      <c r="B11" s="288" t="s">
        <v>83</v>
      </c>
      <c r="C11" s="288" t="s">
        <v>43</v>
      </c>
      <c r="D11" s="288" t="s">
        <v>53</v>
      </c>
      <c r="E11" s="288" t="s">
        <v>53</v>
      </c>
      <c r="F11" s="288" t="s">
        <v>47</v>
      </c>
      <c r="G11" s="288" t="s">
        <v>45</v>
      </c>
      <c r="H11" s="288" t="s">
        <v>45</v>
      </c>
      <c r="I11" s="288" t="s">
        <v>43</v>
      </c>
      <c r="J11" s="288" t="s">
        <v>43</v>
      </c>
      <c r="K11" s="288" t="s">
        <v>53</v>
      </c>
      <c r="L11" s="288" t="s">
        <v>53</v>
      </c>
      <c r="M11" s="288" t="s">
        <v>46</v>
      </c>
      <c r="N11" s="288" t="s">
        <v>46</v>
      </c>
      <c r="O11" s="288" t="s">
        <v>45</v>
      </c>
      <c r="P11" s="288" t="s">
        <v>45</v>
      </c>
      <c r="Q11" s="288" t="s">
        <v>44</v>
      </c>
      <c r="R11" s="288" t="s">
        <v>53</v>
      </c>
      <c r="S11" s="288" t="s">
        <v>53</v>
      </c>
      <c r="T11" s="288" t="s">
        <v>49</v>
      </c>
      <c r="U11" s="288" t="s">
        <v>49</v>
      </c>
      <c r="V11" s="288" t="s">
        <v>49</v>
      </c>
      <c r="W11" s="288" t="s">
        <v>48</v>
      </c>
      <c r="X11" s="288" t="s">
        <v>48</v>
      </c>
      <c r="Y11" s="288" t="s">
        <v>53</v>
      </c>
      <c r="Z11" s="288" t="s">
        <v>53</v>
      </c>
      <c r="AA11" s="288" t="s">
        <v>46</v>
      </c>
      <c r="AB11" s="288" t="s">
        <v>46</v>
      </c>
      <c r="AC11" s="288" t="s">
        <v>47</v>
      </c>
      <c r="AD11" s="288" t="s">
        <v>44</v>
      </c>
      <c r="AE11" s="288" t="s">
        <v>43</v>
      </c>
      <c r="AF11" s="288" t="s">
        <v>53</v>
      </c>
      <c r="AG11" s="287"/>
      <c r="AH11" s="287"/>
    </row>
    <row r="12">
      <c r="A12" s="290" t="s">
        <v>240</v>
      </c>
      <c r="B12" s="288" t="s">
        <v>86</v>
      </c>
      <c r="C12" s="288" t="s">
        <v>45</v>
      </c>
      <c r="D12" s="288" t="s">
        <v>43</v>
      </c>
      <c r="E12" s="288" t="s">
        <v>53</v>
      </c>
      <c r="F12" s="288" t="s">
        <v>53</v>
      </c>
      <c r="G12" s="288" t="s">
        <v>48</v>
      </c>
      <c r="H12" s="288" t="s">
        <v>48</v>
      </c>
      <c r="I12" s="288" t="s">
        <v>48</v>
      </c>
      <c r="J12" s="288" t="s">
        <v>47</v>
      </c>
      <c r="K12" s="288" t="s">
        <v>43</v>
      </c>
      <c r="L12" s="288" t="s">
        <v>53</v>
      </c>
      <c r="M12" s="288" t="s">
        <v>53</v>
      </c>
      <c r="N12" s="288" t="s">
        <v>45</v>
      </c>
      <c r="O12" s="288" t="s">
        <v>45</v>
      </c>
      <c r="P12" s="288" t="s">
        <v>45</v>
      </c>
      <c r="Q12" s="288" t="s">
        <v>44</v>
      </c>
      <c r="R12" s="288" t="s">
        <v>48</v>
      </c>
      <c r="S12" s="288" t="s">
        <v>53</v>
      </c>
      <c r="T12" s="288" t="s">
        <v>53</v>
      </c>
      <c r="U12" s="288" t="s">
        <v>47</v>
      </c>
      <c r="V12" s="288" t="s">
        <v>47</v>
      </c>
      <c r="W12" s="288" t="s">
        <v>45</v>
      </c>
      <c r="X12" s="288" t="s">
        <v>44</v>
      </c>
      <c r="Y12" s="288" t="s">
        <v>43</v>
      </c>
      <c r="Z12" s="288" t="s">
        <v>53</v>
      </c>
      <c r="AA12" s="288" t="s">
        <v>53</v>
      </c>
      <c r="AB12" s="288" t="s">
        <v>47</v>
      </c>
      <c r="AC12" s="288" t="s">
        <v>47</v>
      </c>
      <c r="AD12" s="288" t="s">
        <v>47</v>
      </c>
      <c r="AE12" s="288" t="s">
        <v>48</v>
      </c>
      <c r="AF12" s="288" t="s">
        <v>48</v>
      </c>
      <c r="AG12" s="287"/>
      <c r="AH12" s="287"/>
    </row>
    <row r="13">
      <c r="A13" s="290" t="s">
        <v>241</v>
      </c>
      <c r="B13" s="288" t="s">
        <v>89</v>
      </c>
      <c r="C13" s="288" t="s">
        <v>44</v>
      </c>
      <c r="D13" s="288" t="s">
        <v>44</v>
      </c>
      <c r="E13" s="288" t="s">
        <v>43</v>
      </c>
      <c r="F13" s="288" t="s">
        <v>53</v>
      </c>
      <c r="G13" s="288" t="s">
        <v>53</v>
      </c>
      <c r="H13" s="288" t="s">
        <v>45</v>
      </c>
      <c r="I13" s="288" t="s">
        <v>45</v>
      </c>
      <c r="J13" s="288" t="s">
        <v>43</v>
      </c>
      <c r="K13" s="288" t="s">
        <v>48</v>
      </c>
      <c r="L13" s="288" t="s">
        <v>48</v>
      </c>
      <c r="M13" s="288" t="s">
        <v>53</v>
      </c>
      <c r="N13" s="288" t="s">
        <v>53</v>
      </c>
      <c r="O13" s="288" t="s">
        <v>45</v>
      </c>
      <c r="P13" s="288" t="s">
        <v>45</v>
      </c>
      <c r="Q13" s="288" t="s">
        <v>45</v>
      </c>
      <c r="R13" s="288" t="s">
        <v>44</v>
      </c>
      <c r="S13" s="288" t="s">
        <v>43</v>
      </c>
      <c r="T13" s="288" t="s">
        <v>53</v>
      </c>
      <c r="U13" s="288" t="s">
        <v>53</v>
      </c>
      <c r="V13" s="288" t="s">
        <v>45</v>
      </c>
      <c r="W13" s="288" t="s">
        <v>45</v>
      </c>
      <c r="X13" s="288" t="s">
        <v>44</v>
      </c>
      <c r="Y13" s="288" t="s">
        <v>43</v>
      </c>
      <c r="Z13" s="287" t="s">
        <v>43</v>
      </c>
      <c r="AA13" s="288" t="s">
        <v>53</v>
      </c>
      <c r="AB13" s="288" t="s">
        <v>53</v>
      </c>
      <c r="AC13" s="288" t="s">
        <v>48</v>
      </c>
      <c r="AD13" s="288" t="s">
        <v>45</v>
      </c>
      <c r="AE13" s="288" t="s">
        <v>45</v>
      </c>
      <c r="AF13" s="288" t="s">
        <v>45</v>
      </c>
      <c r="AG13" s="287"/>
      <c r="AH13" s="287"/>
    </row>
    <row r="14">
      <c r="A14" s="290" t="s">
        <v>242</v>
      </c>
      <c r="B14" s="288" t="s">
        <v>92</v>
      </c>
      <c r="C14" s="288" t="s">
        <v>49</v>
      </c>
      <c r="D14" s="288" t="s">
        <v>49</v>
      </c>
      <c r="E14" s="288" t="s">
        <v>49</v>
      </c>
      <c r="F14" s="288" t="s">
        <v>49</v>
      </c>
      <c r="G14" s="288" t="s">
        <v>49</v>
      </c>
      <c r="H14" s="288" t="s">
        <v>53</v>
      </c>
      <c r="I14" s="288" t="s">
        <v>53</v>
      </c>
      <c r="J14" s="288" t="s">
        <v>46</v>
      </c>
      <c r="K14" s="288" t="s">
        <v>46</v>
      </c>
      <c r="L14" s="288" t="s">
        <v>45</v>
      </c>
      <c r="M14" s="288" t="s">
        <v>44</v>
      </c>
      <c r="N14" s="288" t="s">
        <v>43</v>
      </c>
      <c r="O14" s="288" t="s">
        <v>53</v>
      </c>
      <c r="P14" s="288" t="s">
        <v>53</v>
      </c>
      <c r="Q14" s="288" t="s">
        <v>46</v>
      </c>
      <c r="R14" s="288" t="s">
        <v>46</v>
      </c>
      <c r="S14" s="288" t="s">
        <v>45</v>
      </c>
      <c r="T14" s="288" t="s">
        <v>43</v>
      </c>
      <c r="U14" s="288" t="s">
        <v>49</v>
      </c>
      <c r="V14" s="288" t="s">
        <v>53</v>
      </c>
      <c r="W14" s="288" t="s">
        <v>53</v>
      </c>
      <c r="X14" s="288" t="s">
        <v>47</v>
      </c>
      <c r="Y14" s="288" t="s">
        <v>47</v>
      </c>
      <c r="Z14" s="288" t="s">
        <v>44</v>
      </c>
      <c r="AA14" s="288" t="s">
        <v>49</v>
      </c>
      <c r="AB14" s="288" t="s">
        <v>43</v>
      </c>
      <c r="AC14" s="288" t="s">
        <v>53</v>
      </c>
      <c r="AD14" s="288" t="s">
        <v>53</v>
      </c>
      <c r="AE14" s="288" t="s">
        <v>47</v>
      </c>
      <c r="AF14" s="288" t="s">
        <v>47</v>
      </c>
      <c r="AG14" s="287"/>
      <c r="AH14" s="287"/>
    </row>
    <row r="15">
      <c r="A15" s="290" t="s">
        <v>243</v>
      </c>
      <c r="B15" s="288" t="s">
        <v>95</v>
      </c>
      <c r="C15" s="288" t="s">
        <v>53</v>
      </c>
      <c r="D15" s="288" t="s">
        <v>53</v>
      </c>
      <c r="E15" s="288" t="s">
        <v>47</v>
      </c>
      <c r="F15" s="288" t="s">
        <v>46</v>
      </c>
      <c r="G15" s="288" t="s">
        <v>44</v>
      </c>
      <c r="H15" s="288" t="s">
        <v>43</v>
      </c>
      <c r="I15" s="288" t="s">
        <v>43</v>
      </c>
      <c r="J15" s="288" t="s">
        <v>53</v>
      </c>
      <c r="K15" s="288" t="s">
        <v>53</v>
      </c>
      <c r="L15" s="288" t="s">
        <v>48</v>
      </c>
      <c r="M15" s="288" t="s">
        <v>45</v>
      </c>
      <c r="N15" s="288" t="s">
        <v>45</v>
      </c>
      <c r="O15" s="288" t="s">
        <v>45</v>
      </c>
      <c r="P15" s="288" t="s">
        <v>44</v>
      </c>
      <c r="Q15" s="288" t="s">
        <v>53</v>
      </c>
      <c r="R15" s="288" t="s">
        <v>53</v>
      </c>
      <c r="S15" s="288" t="s">
        <v>48</v>
      </c>
      <c r="T15" s="288" t="s">
        <v>47</v>
      </c>
      <c r="U15" s="288" t="s">
        <v>45</v>
      </c>
      <c r="V15" s="288" t="s">
        <v>45</v>
      </c>
      <c r="W15" s="288" t="s">
        <v>44</v>
      </c>
      <c r="X15" s="288" t="s">
        <v>53</v>
      </c>
      <c r="Y15" s="288" t="s">
        <v>53</v>
      </c>
      <c r="Z15" s="288" t="s">
        <v>47</v>
      </c>
      <c r="AA15" s="288" t="s">
        <v>47</v>
      </c>
      <c r="AB15" s="288" t="s">
        <v>47</v>
      </c>
      <c r="AC15" s="288" t="s">
        <v>48</v>
      </c>
      <c r="AD15" s="288" t="s">
        <v>48</v>
      </c>
      <c r="AE15" s="288" t="s">
        <v>53</v>
      </c>
      <c r="AF15" s="288" t="s">
        <v>53</v>
      </c>
      <c r="AG15" s="287"/>
      <c r="AH15" s="287"/>
    </row>
    <row r="16">
      <c r="A16" s="290" t="s">
        <v>244</v>
      </c>
      <c r="B16" s="288" t="s">
        <v>98</v>
      </c>
      <c r="C16" s="288" t="s">
        <v>43</v>
      </c>
      <c r="D16" s="288" t="s">
        <v>43</v>
      </c>
      <c r="E16" s="288" t="s">
        <v>53</v>
      </c>
      <c r="F16" s="288" t="s">
        <v>53</v>
      </c>
      <c r="G16" s="288" t="s">
        <v>47</v>
      </c>
      <c r="H16" s="288" t="s">
        <v>47</v>
      </c>
      <c r="I16" s="288" t="s">
        <v>44</v>
      </c>
      <c r="J16" s="288" t="s">
        <v>44</v>
      </c>
      <c r="K16" s="288" t="s">
        <v>43</v>
      </c>
      <c r="L16" s="288" t="s">
        <v>53</v>
      </c>
      <c r="M16" s="288" t="s">
        <v>53</v>
      </c>
      <c r="N16" s="288" t="s">
        <v>47</v>
      </c>
      <c r="O16" s="288" t="s">
        <v>47</v>
      </c>
      <c r="P16" s="288" t="s">
        <v>45</v>
      </c>
      <c r="Q16" s="288" t="s">
        <v>45</v>
      </c>
      <c r="R16" s="288" t="s">
        <v>43</v>
      </c>
      <c r="S16" s="288" t="s">
        <v>53</v>
      </c>
      <c r="T16" s="288" t="s">
        <v>53</v>
      </c>
      <c r="U16" s="288" t="s">
        <v>47</v>
      </c>
      <c r="V16" s="288" t="s">
        <v>46</v>
      </c>
      <c r="W16" s="288" t="s">
        <v>45</v>
      </c>
      <c r="X16" s="288" t="s">
        <v>45</v>
      </c>
      <c r="Y16" s="288" t="s">
        <v>43</v>
      </c>
      <c r="Z16" s="288" t="s">
        <v>53</v>
      </c>
      <c r="AA16" s="288" t="s">
        <v>53</v>
      </c>
      <c r="AB16" s="288" t="s">
        <v>47</v>
      </c>
      <c r="AC16" s="288" t="s">
        <v>46</v>
      </c>
      <c r="AD16" s="288" t="s">
        <v>46</v>
      </c>
      <c r="AE16" s="288" t="s">
        <v>44</v>
      </c>
      <c r="AF16" s="288" t="s">
        <v>43</v>
      </c>
      <c r="AG16" s="287"/>
      <c r="AH16" s="287"/>
    </row>
    <row r="17">
      <c r="A17" s="290" t="s">
        <v>245</v>
      </c>
      <c r="B17" s="288" t="s">
        <v>101</v>
      </c>
      <c r="C17" s="288" t="s">
        <v>53</v>
      </c>
      <c r="D17" s="288" t="s">
        <v>53</v>
      </c>
      <c r="E17" s="288" t="s">
        <v>47</v>
      </c>
      <c r="F17" s="288" t="s">
        <v>47</v>
      </c>
      <c r="G17" s="288" t="s">
        <v>45</v>
      </c>
      <c r="H17" s="288" t="s">
        <v>45</v>
      </c>
      <c r="I17" s="288" t="s">
        <v>48</v>
      </c>
      <c r="J17" s="288" t="s">
        <v>53</v>
      </c>
      <c r="K17" s="288" t="s">
        <v>53</v>
      </c>
      <c r="L17" s="288" t="s">
        <v>48</v>
      </c>
      <c r="M17" s="288" t="s">
        <v>47</v>
      </c>
      <c r="N17" s="288" t="s">
        <v>45</v>
      </c>
      <c r="O17" s="288" t="s">
        <v>43</v>
      </c>
      <c r="P17" s="288" t="s">
        <v>43</v>
      </c>
      <c r="Q17" s="288" t="s">
        <v>53</v>
      </c>
      <c r="R17" s="288" t="s">
        <v>53</v>
      </c>
      <c r="S17" s="288" t="s">
        <v>47</v>
      </c>
      <c r="T17" s="288" t="s">
        <v>47</v>
      </c>
      <c r="U17" s="288" t="s">
        <v>45</v>
      </c>
      <c r="V17" s="288" t="s">
        <v>43</v>
      </c>
      <c r="W17" s="288" t="s">
        <v>43</v>
      </c>
      <c r="X17" s="288" t="s">
        <v>53</v>
      </c>
      <c r="Y17" s="288" t="s">
        <v>53</v>
      </c>
      <c r="Z17" s="288" t="s">
        <v>48</v>
      </c>
      <c r="AA17" s="288" t="s">
        <v>47</v>
      </c>
      <c r="AB17" s="288" t="s">
        <v>45</v>
      </c>
      <c r="AC17" s="288" t="s">
        <v>45</v>
      </c>
      <c r="AD17" s="288" t="s">
        <v>45</v>
      </c>
      <c r="AE17" s="288" t="s">
        <v>53</v>
      </c>
      <c r="AF17" s="288" t="s">
        <v>53</v>
      </c>
      <c r="AG17" s="287"/>
      <c r="AH17" s="287"/>
    </row>
    <row r="18">
      <c r="A18" s="290" t="s">
        <v>246</v>
      </c>
      <c r="B18" s="288" t="s">
        <v>104</v>
      </c>
      <c r="C18" s="288" t="s">
        <v>53</v>
      </c>
      <c r="D18" s="288" t="s">
        <v>47</v>
      </c>
      <c r="E18" s="288" t="s">
        <v>47</v>
      </c>
      <c r="F18" s="288" t="s">
        <v>46</v>
      </c>
      <c r="G18" s="288" t="s">
        <v>45</v>
      </c>
      <c r="H18" s="288" t="s">
        <v>43</v>
      </c>
      <c r="I18" s="288" t="s">
        <v>53</v>
      </c>
      <c r="J18" s="288" t="s">
        <v>53</v>
      </c>
      <c r="K18" s="288" t="s">
        <v>47</v>
      </c>
      <c r="L18" s="288" t="s">
        <v>47</v>
      </c>
      <c r="M18" s="288" t="s">
        <v>48</v>
      </c>
      <c r="N18" s="288" t="s">
        <v>46</v>
      </c>
      <c r="O18" s="288" t="s">
        <v>44</v>
      </c>
      <c r="P18" s="288" t="s">
        <v>53</v>
      </c>
      <c r="Q18" s="288" t="s">
        <v>53</v>
      </c>
      <c r="R18" s="288" t="s">
        <v>47</v>
      </c>
      <c r="S18" s="288" t="s">
        <v>46</v>
      </c>
      <c r="T18" s="288" t="s">
        <v>48</v>
      </c>
      <c r="U18" s="288" t="s">
        <v>45</v>
      </c>
      <c r="V18" s="288" t="s">
        <v>44</v>
      </c>
      <c r="W18" s="288" t="s">
        <v>53</v>
      </c>
      <c r="X18" s="288" t="s">
        <v>53</v>
      </c>
      <c r="Y18" s="288" t="s">
        <v>47</v>
      </c>
      <c r="Z18" s="288" t="s">
        <v>46</v>
      </c>
      <c r="AA18" s="288" t="s">
        <v>46</v>
      </c>
      <c r="AB18" s="288" t="s">
        <v>44</v>
      </c>
      <c r="AC18" s="288" t="s">
        <v>43</v>
      </c>
      <c r="AD18" s="288" t="s">
        <v>53</v>
      </c>
      <c r="AE18" s="288" t="s">
        <v>53</v>
      </c>
      <c r="AF18" s="287" t="s">
        <v>47</v>
      </c>
      <c r="AG18" s="287"/>
      <c r="AH18" s="287"/>
    </row>
    <row r="19">
      <c r="A19" s="290" t="s">
        <v>247</v>
      </c>
      <c r="B19" s="288" t="s">
        <v>107</v>
      </c>
      <c r="C19" s="288" t="s">
        <v>43</v>
      </c>
      <c r="D19" s="288" t="s">
        <v>53</v>
      </c>
      <c r="E19" s="288" t="s">
        <v>43</v>
      </c>
      <c r="F19" s="288" t="s">
        <v>43</v>
      </c>
      <c r="G19" s="288" t="s">
        <v>53</v>
      </c>
      <c r="H19" s="288" t="s">
        <v>43</v>
      </c>
      <c r="I19" s="288" t="s">
        <v>43</v>
      </c>
      <c r="J19" s="288" t="s">
        <v>43</v>
      </c>
      <c r="K19" s="288" t="s">
        <v>53</v>
      </c>
      <c r="L19" s="287" t="s">
        <v>43</v>
      </c>
      <c r="M19" s="287" t="s">
        <v>43</v>
      </c>
      <c r="N19" s="288" t="s">
        <v>53</v>
      </c>
      <c r="O19" s="288" t="s">
        <v>43</v>
      </c>
      <c r="P19" s="288" t="s">
        <v>43</v>
      </c>
      <c r="Q19" s="288" t="s">
        <v>43</v>
      </c>
      <c r="R19" s="288" t="s">
        <v>53</v>
      </c>
      <c r="S19" s="288" t="s">
        <v>43</v>
      </c>
      <c r="T19" s="288" t="s">
        <v>43</v>
      </c>
      <c r="U19" s="288" t="s">
        <v>53</v>
      </c>
      <c r="V19" s="288" t="s">
        <v>43</v>
      </c>
      <c r="W19" s="288" t="s">
        <v>43</v>
      </c>
      <c r="X19" s="288" t="s">
        <v>43</v>
      </c>
      <c r="Y19" s="288" t="s">
        <v>53</v>
      </c>
      <c r="Z19" s="288" t="s">
        <v>43</v>
      </c>
      <c r="AA19" s="288" t="s">
        <v>43</v>
      </c>
      <c r="AB19" s="288" t="s">
        <v>53</v>
      </c>
      <c r="AC19" s="288" t="s">
        <v>43</v>
      </c>
      <c r="AD19" s="288" t="s">
        <v>43</v>
      </c>
      <c r="AE19" s="288" t="s">
        <v>43</v>
      </c>
      <c r="AF19" s="288" t="s">
        <v>53</v>
      </c>
      <c r="AG19" s="287"/>
      <c r="AH19" s="287"/>
    </row>
    <row r="20">
      <c r="A20" s="290" t="s">
        <v>248</v>
      </c>
      <c r="B20" s="288" t="s">
        <v>110</v>
      </c>
      <c r="C20" s="288" t="s">
        <v>53</v>
      </c>
      <c r="D20" s="288" t="s">
        <v>49</v>
      </c>
      <c r="E20" s="288" t="s">
        <v>47</v>
      </c>
      <c r="F20" s="288" t="s">
        <v>46</v>
      </c>
      <c r="G20" s="288" t="s">
        <v>45</v>
      </c>
      <c r="H20" s="288" t="s">
        <v>44</v>
      </c>
      <c r="I20" s="288" t="s">
        <v>53</v>
      </c>
      <c r="J20" s="288" t="s">
        <v>53</v>
      </c>
      <c r="K20" s="288" t="s">
        <v>47</v>
      </c>
      <c r="L20" s="288" t="s">
        <v>46</v>
      </c>
      <c r="M20" s="288" t="s">
        <v>46</v>
      </c>
      <c r="N20" s="288" t="s">
        <v>44</v>
      </c>
      <c r="O20" s="288" t="s">
        <v>49</v>
      </c>
      <c r="P20" s="288" t="s">
        <v>53</v>
      </c>
      <c r="Q20" s="288" t="s">
        <v>53</v>
      </c>
      <c r="R20" s="288" t="s">
        <v>47</v>
      </c>
      <c r="S20" s="288" t="s">
        <v>46</v>
      </c>
      <c r="T20" s="288" t="s">
        <v>44</v>
      </c>
      <c r="U20" s="288" t="s">
        <v>43</v>
      </c>
      <c r="V20" s="288" t="s">
        <v>49</v>
      </c>
      <c r="W20" s="288" t="s">
        <v>53</v>
      </c>
      <c r="X20" s="288" t="s">
        <v>53</v>
      </c>
      <c r="Y20" s="288" t="s">
        <v>47</v>
      </c>
      <c r="Z20" s="288" t="s">
        <v>46</v>
      </c>
      <c r="AA20" s="288" t="s">
        <v>46</v>
      </c>
      <c r="AB20" s="288" t="s">
        <v>45</v>
      </c>
      <c r="AC20" s="288" t="s">
        <v>43</v>
      </c>
      <c r="AD20" s="288" t="s">
        <v>53</v>
      </c>
      <c r="AE20" s="288" t="s">
        <v>53</v>
      </c>
      <c r="AF20" s="287" t="s">
        <v>47</v>
      </c>
      <c r="AG20" s="287"/>
      <c r="AH20" s="287"/>
    </row>
    <row r="21" ht="15.75" customHeight="1">
      <c r="A21" s="290" t="s">
        <v>249</v>
      </c>
      <c r="B21" s="288" t="s">
        <v>113</v>
      </c>
      <c r="C21" s="288" t="s">
        <v>53</v>
      </c>
      <c r="D21" s="288" t="s">
        <v>53</v>
      </c>
      <c r="E21" s="288" t="s">
        <v>49</v>
      </c>
      <c r="F21" s="288" t="s">
        <v>45</v>
      </c>
      <c r="G21" s="288" t="s">
        <v>43</v>
      </c>
      <c r="H21" s="288" t="s">
        <v>49</v>
      </c>
      <c r="I21" s="288" t="s">
        <v>49</v>
      </c>
      <c r="J21" s="288" t="s">
        <v>53</v>
      </c>
      <c r="K21" s="288" t="s">
        <v>53</v>
      </c>
      <c r="L21" s="288" t="s">
        <v>49</v>
      </c>
      <c r="M21" s="287" t="s">
        <v>45</v>
      </c>
      <c r="N21" s="287" t="s">
        <v>43</v>
      </c>
      <c r="O21" s="287" t="s">
        <v>43</v>
      </c>
      <c r="P21" s="288" t="s">
        <v>48</v>
      </c>
      <c r="Q21" s="288" t="s">
        <v>53</v>
      </c>
      <c r="R21" s="288" t="s">
        <v>53</v>
      </c>
      <c r="S21" s="287" t="s">
        <v>47</v>
      </c>
      <c r="T21" s="287" t="s">
        <v>47</v>
      </c>
      <c r="U21" s="287" t="s">
        <v>44</v>
      </c>
      <c r="V21" s="287" t="s">
        <v>43</v>
      </c>
      <c r="W21" s="288" t="s">
        <v>48</v>
      </c>
      <c r="X21" s="288" t="s">
        <v>53</v>
      </c>
      <c r="Y21" s="288" t="s">
        <v>53</v>
      </c>
      <c r="Z21" s="287" t="s">
        <v>47</v>
      </c>
      <c r="AA21" s="288" t="s">
        <v>45</v>
      </c>
      <c r="AB21" s="288" t="s">
        <v>45</v>
      </c>
      <c r="AC21" s="287" t="s">
        <v>45</v>
      </c>
      <c r="AD21" s="287" t="s">
        <v>43</v>
      </c>
      <c r="AE21" s="288" t="s">
        <v>53</v>
      </c>
      <c r="AF21" s="288" t="s">
        <v>53</v>
      </c>
      <c r="AG21" s="287"/>
      <c r="AH21" s="287"/>
    </row>
    <row r="22" ht="15.75" customHeight="1">
      <c r="A22" s="290" t="s">
        <v>250</v>
      </c>
      <c r="B22" s="288" t="s">
        <v>116</v>
      </c>
      <c r="C22" s="287" t="s">
        <v>47</v>
      </c>
      <c r="D22" s="287" t="s">
        <v>45</v>
      </c>
      <c r="E22" s="287" t="s">
        <v>45</v>
      </c>
      <c r="F22" s="287" t="s">
        <v>43</v>
      </c>
      <c r="G22" s="288" t="s">
        <v>53</v>
      </c>
      <c r="H22" s="288" t="s">
        <v>53</v>
      </c>
      <c r="I22" s="288" t="s">
        <v>44</v>
      </c>
      <c r="J22" s="288" t="s">
        <v>49</v>
      </c>
      <c r="K22" s="288" t="s">
        <v>49</v>
      </c>
      <c r="L22" s="288" t="s">
        <v>49</v>
      </c>
      <c r="M22" s="288" t="s">
        <v>49</v>
      </c>
      <c r="N22" s="288" t="s">
        <v>53</v>
      </c>
      <c r="O22" s="288" t="s">
        <v>53</v>
      </c>
      <c r="P22" s="288" t="s">
        <v>45</v>
      </c>
      <c r="Q22" s="288" t="s">
        <v>45</v>
      </c>
      <c r="R22" s="288" t="s">
        <v>45</v>
      </c>
      <c r="S22" s="288" t="s">
        <v>44</v>
      </c>
      <c r="T22" s="288" t="s">
        <v>43</v>
      </c>
      <c r="U22" s="288" t="s">
        <v>53</v>
      </c>
      <c r="V22" s="288" t="s">
        <v>53</v>
      </c>
      <c r="W22" s="288" t="s">
        <v>49</v>
      </c>
      <c r="X22" s="288" t="s">
        <v>45</v>
      </c>
      <c r="Y22" s="288" t="s">
        <v>45</v>
      </c>
      <c r="Z22" s="288" t="s">
        <v>43</v>
      </c>
      <c r="AA22" s="288" t="s">
        <v>43</v>
      </c>
      <c r="AB22" s="288" t="s">
        <v>53</v>
      </c>
      <c r="AC22" s="288" t="s">
        <v>53</v>
      </c>
      <c r="AD22" s="288" t="s">
        <v>49</v>
      </c>
      <c r="AE22" s="288" t="s">
        <v>47</v>
      </c>
      <c r="AF22" s="288" t="s">
        <v>46</v>
      </c>
      <c r="AG22" s="287"/>
      <c r="AH22" s="287"/>
    </row>
    <row r="23" ht="15.75" customHeight="1">
      <c r="A23" s="290" t="s">
        <v>251</v>
      </c>
      <c r="B23" s="288" t="s">
        <v>119</v>
      </c>
      <c r="C23" s="288" t="s">
        <v>53</v>
      </c>
      <c r="D23" s="288" t="s">
        <v>53</v>
      </c>
      <c r="E23" s="288" t="s">
        <v>49</v>
      </c>
      <c r="F23" s="288" t="s">
        <v>49</v>
      </c>
      <c r="G23" s="288" t="s">
        <v>47</v>
      </c>
      <c r="H23" s="288" t="s">
        <v>43</v>
      </c>
      <c r="I23" s="288" t="s">
        <v>43</v>
      </c>
      <c r="J23" s="288" t="s">
        <v>53</v>
      </c>
      <c r="K23" s="288" t="s">
        <v>53</v>
      </c>
      <c r="L23" s="288" t="s">
        <v>47</v>
      </c>
      <c r="M23" s="288" t="s">
        <v>47</v>
      </c>
      <c r="N23" s="288" t="s">
        <v>43</v>
      </c>
      <c r="O23" s="288" t="s">
        <v>43</v>
      </c>
      <c r="P23" s="288" t="s">
        <v>49</v>
      </c>
      <c r="Q23" s="288" t="s">
        <v>53</v>
      </c>
      <c r="R23" s="288" t="s">
        <v>53</v>
      </c>
      <c r="S23" s="288" t="s">
        <v>48</v>
      </c>
      <c r="T23" s="288" t="s">
        <v>47</v>
      </c>
      <c r="U23" s="288" t="s">
        <v>43</v>
      </c>
      <c r="V23" s="288" t="s">
        <v>43</v>
      </c>
      <c r="W23" s="288" t="s">
        <v>43</v>
      </c>
      <c r="X23" s="288" t="s">
        <v>53</v>
      </c>
      <c r="Y23" s="288" t="s">
        <v>53</v>
      </c>
      <c r="Z23" s="288" t="s">
        <v>47</v>
      </c>
      <c r="AA23" s="288" t="s">
        <v>47</v>
      </c>
      <c r="AB23" s="288" t="s">
        <v>43</v>
      </c>
      <c r="AC23" s="288" t="s">
        <v>43</v>
      </c>
      <c r="AD23" s="288" t="s">
        <v>48</v>
      </c>
      <c r="AE23" s="288" t="s">
        <v>53</v>
      </c>
      <c r="AF23" s="288" t="s">
        <v>53</v>
      </c>
      <c r="AG23" s="287"/>
      <c r="AH23" s="287"/>
    </row>
    <row r="24" ht="15.75" customHeight="1">
      <c r="A24" s="290" t="s">
        <v>252</v>
      </c>
      <c r="B24" s="288" t="s">
        <v>122</v>
      </c>
      <c r="C24" s="287" t="s">
        <v>46</v>
      </c>
      <c r="D24" s="287" t="s">
        <v>45</v>
      </c>
      <c r="E24" s="287" t="s">
        <v>45</v>
      </c>
      <c r="F24" s="288" t="s">
        <v>44</v>
      </c>
      <c r="G24" s="288" t="s">
        <v>53</v>
      </c>
      <c r="H24" s="288" t="s">
        <v>53</v>
      </c>
      <c r="I24" s="288" t="s">
        <v>47</v>
      </c>
      <c r="J24" s="287" t="s">
        <v>46</v>
      </c>
      <c r="K24" s="287" t="s">
        <v>45</v>
      </c>
      <c r="L24" s="288" t="s">
        <v>44</v>
      </c>
      <c r="M24" s="288" t="s">
        <v>43</v>
      </c>
      <c r="N24" s="288" t="s">
        <v>53</v>
      </c>
      <c r="O24" s="288" t="s">
        <v>53</v>
      </c>
      <c r="P24" s="288" t="s">
        <v>47</v>
      </c>
      <c r="Q24" s="288" t="s">
        <v>45</v>
      </c>
      <c r="R24" s="288" t="s">
        <v>43</v>
      </c>
      <c r="S24" s="288" t="s">
        <v>43</v>
      </c>
      <c r="T24" s="288" t="s">
        <v>48</v>
      </c>
      <c r="U24" s="288" t="s">
        <v>53</v>
      </c>
      <c r="V24" s="288" t="s">
        <v>53</v>
      </c>
      <c r="W24" s="288" t="s">
        <v>48</v>
      </c>
      <c r="X24" s="288" t="s">
        <v>48</v>
      </c>
      <c r="Y24" s="288" t="s">
        <v>48</v>
      </c>
      <c r="Z24" s="288" t="s">
        <v>45</v>
      </c>
      <c r="AA24" s="288" t="s">
        <v>43</v>
      </c>
      <c r="AB24" s="288" t="s">
        <v>53</v>
      </c>
      <c r="AC24" s="288" t="s">
        <v>53</v>
      </c>
      <c r="AD24" s="288" t="s">
        <v>48</v>
      </c>
      <c r="AE24" s="288" t="s">
        <v>48</v>
      </c>
      <c r="AF24" s="288" t="s">
        <v>47</v>
      </c>
      <c r="AG24" s="287"/>
      <c r="AH24" s="287"/>
    </row>
    <row r="25" ht="15.75" customHeight="1">
      <c r="A25" s="290" t="s">
        <v>253</v>
      </c>
      <c r="B25" s="288" t="s">
        <v>125</v>
      </c>
      <c r="C25" s="287" t="s">
        <v>46</v>
      </c>
      <c r="D25" s="287" t="s">
        <v>45</v>
      </c>
      <c r="E25" s="287" t="s">
        <v>43</v>
      </c>
      <c r="F25" s="287" t="s">
        <v>43</v>
      </c>
      <c r="G25" s="288" t="s">
        <v>53</v>
      </c>
      <c r="H25" s="288" t="s">
        <v>53</v>
      </c>
      <c r="I25" s="288" t="s">
        <v>46</v>
      </c>
      <c r="J25" s="287" t="s">
        <v>45</v>
      </c>
      <c r="K25" s="287" t="s">
        <v>45</v>
      </c>
      <c r="L25" s="287" t="s">
        <v>43</v>
      </c>
      <c r="M25" s="287" t="s">
        <v>43</v>
      </c>
      <c r="N25" s="288" t="s">
        <v>53</v>
      </c>
      <c r="O25" s="288" t="s">
        <v>53</v>
      </c>
      <c r="P25" s="288" t="s">
        <v>47</v>
      </c>
      <c r="Q25" s="287" t="s">
        <v>47</v>
      </c>
      <c r="R25" s="287" t="s">
        <v>47</v>
      </c>
      <c r="S25" s="288" t="s">
        <v>44</v>
      </c>
      <c r="T25" s="288" t="s">
        <v>43</v>
      </c>
      <c r="U25" s="288" t="s">
        <v>53</v>
      </c>
      <c r="V25" s="288" t="s">
        <v>53</v>
      </c>
      <c r="W25" s="288" t="s">
        <v>47</v>
      </c>
      <c r="X25" s="288" t="s">
        <v>47</v>
      </c>
      <c r="Y25" s="288" t="s">
        <v>47</v>
      </c>
      <c r="Z25" s="288" t="s">
        <v>45</v>
      </c>
      <c r="AA25" s="288" t="s">
        <v>49</v>
      </c>
      <c r="AB25" s="288" t="s">
        <v>53</v>
      </c>
      <c r="AC25" s="288" t="s">
        <v>53</v>
      </c>
      <c r="AD25" s="288" t="s">
        <v>47</v>
      </c>
      <c r="AE25" s="288" t="s">
        <v>45</v>
      </c>
      <c r="AF25" s="288" t="s">
        <v>44</v>
      </c>
      <c r="AG25" s="287"/>
      <c r="AH25" s="287"/>
    </row>
    <row r="26" ht="15.75" customHeight="1">
      <c r="A26" s="290" t="s">
        <v>254</v>
      </c>
      <c r="B26" s="288" t="s">
        <v>128</v>
      </c>
      <c r="C26" s="288" t="s">
        <v>53</v>
      </c>
      <c r="D26" s="288" t="s">
        <v>53</v>
      </c>
      <c r="E26" s="288" t="s">
        <v>46</v>
      </c>
      <c r="F26" s="288" t="s">
        <v>45</v>
      </c>
      <c r="G26" s="288" t="s">
        <v>49</v>
      </c>
      <c r="H26" s="288" t="s">
        <v>45</v>
      </c>
      <c r="I26" s="288" t="s">
        <v>43</v>
      </c>
      <c r="J26" s="288" t="s">
        <v>53</v>
      </c>
      <c r="K26" s="288" t="s">
        <v>53</v>
      </c>
      <c r="L26" s="288" t="s">
        <v>47</v>
      </c>
      <c r="M26" s="288" t="s">
        <v>49</v>
      </c>
      <c r="N26" s="288" t="s">
        <v>49</v>
      </c>
      <c r="O26" s="288" t="s">
        <v>44</v>
      </c>
      <c r="P26" s="288" t="s">
        <v>43</v>
      </c>
      <c r="Q26" s="288" t="s">
        <v>53</v>
      </c>
      <c r="R26" s="288" t="s">
        <v>53</v>
      </c>
      <c r="S26" s="288" t="s">
        <v>47</v>
      </c>
      <c r="T26" s="288" t="s">
        <v>45</v>
      </c>
      <c r="U26" s="288" t="s">
        <v>49</v>
      </c>
      <c r="V26" s="288" t="s">
        <v>44</v>
      </c>
      <c r="W26" s="288" t="s">
        <v>43</v>
      </c>
      <c r="X26" s="288" t="s">
        <v>53</v>
      </c>
      <c r="Y26" s="288" t="s">
        <v>53</v>
      </c>
      <c r="Z26" s="288" t="s">
        <v>47</v>
      </c>
      <c r="AA26" s="287" t="s">
        <v>45</v>
      </c>
      <c r="AB26" s="288" t="s">
        <v>49</v>
      </c>
      <c r="AC26" s="288" t="s">
        <v>44</v>
      </c>
      <c r="AD26" s="288" t="s">
        <v>43</v>
      </c>
      <c r="AE26" s="288" t="s">
        <v>53</v>
      </c>
      <c r="AF26" s="288" t="s">
        <v>53</v>
      </c>
      <c r="AG26" s="287"/>
      <c r="AH26" s="287"/>
    </row>
    <row r="27" ht="15.75" customHeight="1">
      <c r="A27" s="290" t="s">
        <v>255</v>
      </c>
      <c r="B27" s="288" t="s">
        <v>131</v>
      </c>
      <c r="C27" s="288" t="s">
        <v>45</v>
      </c>
      <c r="D27" s="288" t="s">
        <v>44</v>
      </c>
      <c r="E27" s="288" t="s">
        <v>43</v>
      </c>
      <c r="F27" s="288" t="s">
        <v>53</v>
      </c>
      <c r="G27" s="288" t="s">
        <v>53</v>
      </c>
      <c r="H27" s="288" t="s">
        <v>45</v>
      </c>
      <c r="I27" s="288" t="s">
        <v>45</v>
      </c>
      <c r="J27" s="288" t="s">
        <v>45</v>
      </c>
      <c r="K27" s="288" t="s">
        <v>44</v>
      </c>
      <c r="L27" s="288" t="s">
        <v>43</v>
      </c>
      <c r="M27" s="288" t="s">
        <v>53</v>
      </c>
      <c r="N27" s="288" t="s">
        <v>53</v>
      </c>
      <c r="O27" s="288" t="s">
        <v>49</v>
      </c>
      <c r="P27" s="288" t="s">
        <v>49</v>
      </c>
      <c r="Q27" s="288" t="s">
        <v>45</v>
      </c>
      <c r="R27" s="288" t="s">
        <v>45</v>
      </c>
      <c r="S27" s="287" t="s">
        <v>43</v>
      </c>
      <c r="T27" s="288" t="s">
        <v>53</v>
      </c>
      <c r="U27" s="288" t="s">
        <v>53</v>
      </c>
      <c r="V27" s="288" t="s">
        <v>49</v>
      </c>
      <c r="W27" s="288" t="s">
        <v>45</v>
      </c>
      <c r="X27" s="288" t="s">
        <v>45</v>
      </c>
      <c r="Y27" s="288" t="s">
        <v>49</v>
      </c>
      <c r="Z27" s="288" t="s">
        <v>49</v>
      </c>
      <c r="AA27" s="288" t="s">
        <v>53</v>
      </c>
      <c r="AB27" s="288" t="s">
        <v>53</v>
      </c>
      <c r="AC27" s="288" t="s">
        <v>45</v>
      </c>
      <c r="AD27" s="288" t="s">
        <v>45</v>
      </c>
      <c r="AE27" s="288" t="s">
        <v>45</v>
      </c>
      <c r="AF27" s="288" t="s">
        <v>43</v>
      </c>
      <c r="AG27" s="287"/>
      <c r="AH27" s="287"/>
    </row>
    <row r="28" ht="15.75" customHeight="1">
      <c r="A28" s="290" t="s">
        <v>256</v>
      </c>
      <c r="B28" s="288" t="s">
        <v>134</v>
      </c>
      <c r="C28" s="288" t="s">
        <v>49</v>
      </c>
      <c r="D28" s="288" t="s">
        <v>53</v>
      </c>
      <c r="E28" s="288" t="s">
        <v>53</v>
      </c>
      <c r="F28" s="288" t="s">
        <v>47</v>
      </c>
      <c r="G28" s="288" t="s">
        <v>46</v>
      </c>
      <c r="H28" s="288" t="s">
        <v>48</v>
      </c>
      <c r="I28" s="288" t="s">
        <v>48</v>
      </c>
      <c r="J28" s="288" t="s">
        <v>48</v>
      </c>
      <c r="K28" s="288" t="s">
        <v>53</v>
      </c>
      <c r="L28" s="288" t="s">
        <v>53</v>
      </c>
      <c r="M28" s="288" t="s">
        <v>46</v>
      </c>
      <c r="N28" s="288" t="s">
        <v>46</v>
      </c>
      <c r="O28" s="288" t="s">
        <v>45</v>
      </c>
      <c r="P28" s="288" t="s">
        <v>43</v>
      </c>
      <c r="Q28" s="288" t="s">
        <v>43</v>
      </c>
      <c r="R28" s="288" t="s">
        <v>53</v>
      </c>
      <c r="S28" s="288" t="s">
        <v>53</v>
      </c>
      <c r="T28" s="288" t="s">
        <v>47</v>
      </c>
      <c r="U28" s="288" t="s">
        <v>46</v>
      </c>
      <c r="V28" s="288" t="s">
        <v>46</v>
      </c>
      <c r="W28" s="288" t="s">
        <v>46</v>
      </c>
      <c r="X28" s="288" t="s">
        <v>43</v>
      </c>
      <c r="Y28" s="288" t="s">
        <v>53</v>
      </c>
      <c r="Z28" s="288" t="s">
        <v>53</v>
      </c>
      <c r="AA28" s="288" t="s">
        <v>45</v>
      </c>
      <c r="AB28" s="288" t="s">
        <v>45</v>
      </c>
      <c r="AC28" s="288" t="s">
        <v>44</v>
      </c>
      <c r="AD28" s="288" t="s">
        <v>43</v>
      </c>
      <c r="AE28" s="288" t="s">
        <v>43</v>
      </c>
      <c r="AF28" s="288" t="s">
        <v>53</v>
      </c>
      <c r="AG28" s="287"/>
      <c r="AH28" s="287"/>
    </row>
    <row r="29" ht="15.75" customHeight="1">
      <c r="A29" s="290" t="s">
        <v>257</v>
      </c>
      <c r="B29" s="288" t="s">
        <v>137</v>
      </c>
      <c r="C29" s="288" t="s">
        <v>45</v>
      </c>
      <c r="D29" s="288" t="s">
        <v>44</v>
      </c>
      <c r="E29" s="288" t="s">
        <v>43</v>
      </c>
      <c r="F29" s="288" t="s">
        <v>53</v>
      </c>
      <c r="G29" s="288" t="s">
        <v>53</v>
      </c>
      <c r="H29" s="288" t="s">
        <v>49</v>
      </c>
      <c r="I29" s="288" t="s">
        <v>45</v>
      </c>
      <c r="J29" s="288" t="s">
        <v>45</v>
      </c>
      <c r="K29" s="288" t="s">
        <v>44</v>
      </c>
      <c r="L29" s="288" t="s">
        <v>43</v>
      </c>
      <c r="M29" s="288" t="s">
        <v>53</v>
      </c>
      <c r="N29" s="288" t="s">
        <v>53</v>
      </c>
      <c r="O29" s="288" t="s">
        <v>49</v>
      </c>
      <c r="P29" s="288" t="s">
        <v>49</v>
      </c>
      <c r="Q29" s="288" t="s">
        <v>45</v>
      </c>
      <c r="R29" s="288" t="s">
        <v>45</v>
      </c>
      <c r="S29" s="287" t="s">
        <v>43</v>
      </c>
      <c r="T29" s="288" t="s">
        <v>53</v>
      </c>
      <c r="U29" s="288" t="s">
        <v>53</v>
      </c>
      <c r="V29" s="288" t="s">
        <v>45</v>
      </c>
      <c r="W29" s="288" t="s">
        <v>45</v>
      </c>
      <c r="X29" s="288" t="s">
        <v>44</v>
      </c>
      <c r="Y29" s="288" t="s">
        <v>49</v>
      </c>
      <c r="Z29" s="288" t="s">
        <v>49</v>
      </c>
      <c r="AA29" s="288" t="s">
        <v>53</v>
      </c>
      <c r="AB29" s="288" t="s">
        <v>53</v>
      </c>
      <c r="AC29" s="288" t="s">
        <v>45</v>
      </c>
      <c r="AD29" s="288" t="s">
        <v>45</v>
      </c>
      <c r="AE29" s="288" t="s">
        <v>45</v>
      </c>
      <c r="AF29" s="288" t="s">
        <v>44</v>
      </c>
      <c r="AG29" s="287"/>
      <c r="AH29" s="287"/>
    </row>
    <row r="30" ht="15.75" customHeight="1">
      <c r="A30" s="290" t="s">
        <v>258</v>
      </c>
      <c r="B30" s="288" t="s">
        <v>140</v>
      </c>
      <c r="C30" s="288" t="s">
        <v>45</v>
      </c>
      <c r="D30" s="288" t="s">
        <v>45</v>
      </c>
      <c r="E30" s="288" t="s">
        <v>45</v>
      </c>
      <c r="F30" s="288" t="s">
        <v>53</v>
      </c>
      <c r="G30" s="288" t="s">
        <v>53</v>
      </c>
      <c r="H30" s="288" t="s">
        <v>46</v>
      </c>
      <c r="I30" s="288" t="s">
        <v>46</v>
      </c>
      <c r="J30" s="288" t="s">
        <v>45</v>
      </c>
      <c r="K30" s="288" t="s">
        <v>45</v>
      </c>
      <c r="L30" s="288" t="s">
        <v>45</v>
      </c>
      <c r="M30" s="288" t="s">
        <v>53</v>
      </c>
      <c r="N30" s="288" t="s">
        <v>53</v>
      </c>
      <c r="O30" s="288" t="s">
        <v>46</v>
      </c>
      <c r="P30" s="288" t="s">
        <v>46</v>
      </c>
      <c r="Q30" s="288" t="s">
        <v>47</v>
      </c>
      <c r="R30" s="288" t="s">
        <v>44</v>
      </c>
      <c r="S30" s="288" t="s">
        <v>44</v>
      </c>
      <c r="T30" s="288" t="s">
        <v>53</v>
      </c>
      <c r="U30" s="288" t="s">
        <v>53</v>
      </c>
      <c r="V30" s="288" t="s">
        <v>46</v>
      </c>
      <c r="W30" s="288" t="s">
        <v>46</v>
      </c>
      <c r="X30" s="288" t="s">
        <v>47</v>
      </c>
      <c r="Y30" s="288" t="s">
        <v>45</v>
      </c>
      <c r="Z30" s="288" t="s">
        <v>43</v>
      </c>
      <c r="AA30" s="288" t="s">
        <v>53</v>
      </c>
      <c r="AB30" s="288" t="s">
        <v>53</v>
      </c>
      <c r="AC30" s="288" t="s">
        <v>47</v>
      </c>
      <c r="AD30" s="288" t="s">
        <v>46</v>
      </c>
      <c r="AE30" s="288" t="s">
        <v>47</v>
      </c>
      <c r="AF30" s="288" t="s">
        <v>44</v>
      </c>
      <c r="AG30" s="287"/>
      <c r="AH30" s="287"/>
    </row>
    <row r="31" ht="15.75" customHeight="1">
      <c r="A31" s="290" t="s">
        <v>259</v>
      </c>
      <c r="B31" s="288" t="s">
        <v>143</v>
      </c>
      <c r="C31" s="288" t="s">
        <v>49</v>
      </c>
      <c r="D31" s="288" t="s">
        <v>49</v>
      </c>
      <c r="E31" s="288" t="s">
        <v>49</v>
      </c>
      <c r="F31" s="288" t="s">
        <v>48</v>
      </c>
      <c r="G31" s="288" t="s">
        <v>53</v>
      </c>
      <c r="H31" s="288" t="s">
        <v>53</v>
      </c>
      <c r="I31" s="288" t="s">
        <v>48</v>
      </c>
      <c r="J31" s="288" t="s">
        <v>48</v>
      </c>
      <c r="K31" s="288" t="s">
        <v>48</v>
      </c>
      <c r="L31" s="288" t="s">
        <v>48</v>
      </c>
      <c r="M31" s="288" t="s">
        <v>48</v>
      </c>
      <c r="N31" s="288" t="s">
        <v>53</v>
      </c>
      <c r="O31" s="288" t="s">
        <v>53</v>
      </c>
      <c r="P31" s="288" t="s">
        <v>47</v>
      </c>
      <c r="Q31" s="288" t="s">
        <v>47</v>
      </c>
      <c r="R31" s="288" t="s">
        <v>47</v>
      </c>
      <c r="S31" s="288" t="s">
        <v>47</v>
      </c>
      <c r="T31" s="288" t="s">
        <v>47</v>
      </c>
      <c r="U31" s="288" t="s">
        <v>53</v>
      </c>
      <c r="V31" s="288" t="s">
        <v>53</v>
      </c>
      <c r="W31" s="288" t="s">
        <v>47</v>
      </c>
      <c r="X31" s="288" t="s">
        <v>47</v>
      </c>
      <c r="Y31" s="288" t="s">
        <v>47</v>
      </c>
      <c r="Z31" s="288" t="s">
        <v>47</v>
      </c>
      <c r="AA31" s="288" t="s">
        <v>47</v>
      </c>
      <c r="AB31" s="288" t="s">
        <v>53</v>
      </c>
      <c r="AC31" s="288" t="s">
        <v>53</v>
      </c>
      <c r="AD31" s="288" t="s">
        <v>47</v>
      </c>
      <c r="AE31" s="288" t="s">
        <v>47</v>
      </c>
      <c r="AF31" s="288" t="s">
        <v>47</v>
      </c>
      <c r="AG31" s="287"/>
      <c r="AH31" s="287"/>
    </row>
    <row r="32" ht="15.75" customHeight="1">
      <c r="A32" s="290" t="s">
        <v>260</v>
      </c>
      <c r="B32" s="288" t="s">
        <v>146</v>
      </c>
      <c r="C32" s="288" t="s">
        <v>53</v>
      </c>
      <c r="D32" s="288" t="s">
        <v>47</v>
      </c>
      <c r="E32" s="288" t="s">
        <v>45</v>
      </c>
      <c r="F32" s="288" t="s">
        <v>45</v>
      </c>
      <c r="G32" s="288" t="s">
        <v>44</v>
      </c>
      <c r="H32" s="288" t="s">
        <v>44</v>
      </c>
      <c r="I32" s="288" t="s">
        <v>53</v>
      </c>
      <c r="J32" s="288" t="s">
        <v>53</v>
      </c>
      <c r="K32" s="288" t="s">
        <v>47</v>
      </c>
      <c r="L32" s="288" t="s">
        <v>46</v>
      </c>
      <c r="M32" s="288" t="s">
        <v>45</v>
      </c>
      <c r="N32" s="288" t="s">
        <v>44</v>
      </c>
      <c r="O32" s="288" t="s">
        <v>44</v>
      </c>
      <c r="P32" s="288" t="s">
        <v>53</v>
      </c>
      <c r="Q32" s="288" t="s">
        <v>53</v>
      </c>
      <c r="R32" s="288" t="s">
        <v>47</v>
      </c>
      <c r="S32" s="288" t="s">
        <v>47</v>
      </c>
      <c r="T32" s="288" t="s">
        <v>45</v>
      </c>
      <c r="U32" s="288" t="s">
        <v>44</v>
      </c>
      <c r="V32" s="288" t="s">
        <v>44</v>
      </c>
      <c r="W32" s="288" t="s">
        <v>53</v>
      </c>
      <c r="X32" s="288" t="s">
        <v>53</v>
      </c>
      <c r="Y32" s="288" t="s">
        <v>47</v>
      </c>
      <c r="Z32" s="288" t="s">
        <v>45</v>
      </c>
      <c r="AA32" s="288" t="s">
        <v>44</v>
      </c>
      <c r="AB32" s="288" t="s">
        <v>43</v>
      </c>
      <c r="AC32" s="288" t="s">
        <v>44</v>
      </c>
      <c r="AD32" s="288" t="s">
        <v>53</v>
      </c>
      <c r="AE32" s="288" t="s">
        <v>53</v>
      </c>
      <c r="AF32" s="288" t="s">
        <v>47</v>
      </c>
      <c r="AG32" s="287"/>
      <c r="AH32" s="287"/>
    </row>
    <row r="33" ht="15.75" customHeight="1">
      <c r="A33" s="290" t="s">
        <v>261</v>
      </c>
      <c r="B33" s="288" t="s">
        <v>150</v>
      </c>
      <c r="C33" s="288" t="s">
        <v>45</v>
      </c>
      <c r="D33" s="288" t="s">
        <v>45</v>
      </c>
      <c r="E33" s="287" t="s">
        <v>44</v>
      </c>
      <c r="F33" s="287" t="s">
        <v>43</v>
      </c>
      <c r="G33" s="288" t="s">
        <v>53</v>
      </c>
      <c r="H33" s="288" t="s">
        <v>53</v>
      </c>
      <c r="I33" s="288" t="s">
        <v>47</v>
      </c>
      <c r="J33" s="288" t="s">
        <v>47</v>
      </c>
      <c r="K33" s="288" t="s">
        <v>45</v>
      </c>
      <c r="L33" s="288" t="s">
        <v>45</v>
      </c>
      <c r="M33" s="288" t="s">
        <v>43</v>
      </c>
      <c r="N33" s="288" t="s">
        <v>53</v>
      </c>
      <c r="O33" s="288" t="s">
        <v>53</v>
      </c>
      <c r="P33" s="288" t="s">
        <v>48</v>
      </c>
      <c r="Q33" s="288" t="s">
        <v>45</v>
      </c>
      <c r="R33" s="288" t="s">
        <v>45</v>
      </c>
      <c r="S33" s="288" t="s">
        <v>45</v>
      </c>
      <c r="T33" s="288" t="s">
        <v>43</v>
      </c>
      <c r="U33" s="288" t="s">
        <v>53</v>
      </c>
      <c r="V33" s="288" t="s">
        <v>53</v>
      </c>
      <c r="W33" s="288" t="s">
        <v>47</v>
      </c>
      <c r="X33" s="288" t="s">
        <v>45</v>
      </c>
      <c r="Y33" s="288" t="s">
        <v>45</v>
      </c>
      <c r="Z33" s="288" t="s">
        <v>44</v>
      </c>
      <c r="AA33" s="288" t="s">
        <v>43</v>
      </c>
      <c r="AB33" s="288" t="s">
        <v>53</v>
      </c>
      <c r="AC33" s="288" t="s">
        <v>53</v>
      </c>
      <c r="AD33" s="288" t="s">
        <v>48</v>
      </c>
      <c r="AE33" s="288" t="s">
        <v>45</v>
      </c>
      <c r="AF33" s="288" t="s">
        <v>45</v>
      </c>
      <c r="AG33" s="287"/>
      <c r="AH33" s="287"/>
    </row>
    <row r="34" ht="15.75" customHeight="1">
      <c r="A34" s="290" t="s">
        <v>262</v>
      </c>
      <c r="B34" s="288" t="s">
        <v>153</v>
      </c>
      <c r="C34" s="288" t="s">
        <v>45</v>
      </c>
      <c r="D34" s="288" t="s">
        <v>45</v>
      </c>
      <c r="E34" s="288" t="s">
        <v>44</v>
      </c>
      <c r="F34" s="288" t="s">
        <v>43</v>
      </c>
      <c r="G34" s="288" t="s">
        <v>53</v>
      </c>
      <c r="H34" s="288" t="s">
        <v>53</v>
      </c>
      <c r="I34" s="288" t="s">
        <v>49</v>
      </c>
      <c r="J34" s="288" t="s">
        <v>49</v>
      </c>
      <c r="K34" s="288" t="s">
        <v>45</v>
      </c>
      <c r="L34" s="288" t="s">
        <v>44</v>
      </c>
      <c r="M34" s="288" t="s">
        <v>49</v>
      </c>
      <c r="N34" s="288" t="s">
        <v>53</v>
      </c>
      <c r="O34" s="288" t="s">
        <v>53</v>
      </c>
      <c r="P34" s="288" t="s">
        <v>47</v>
      </c>
      <c r="Q34" s="288" t="s">
        <v>47</v>
      </c>
      <c r="R34" s="288" t="s">
        <v>45</v>
      </c>
      <c r="S34" s="288" t="s">
        <v>45</v>
      </c>
      <c r="T34" s="288" t="s">
        <v>49</v>
      </c>
      <c r="U34" s="288" t="s">
        <v>53</v>
      </c>
      <c r="V34" s="288" t="s">
        <v>53</v>
      </c>
      <c r="W34" s="288" t="s">
        <v>47</v>
      </c>
      <c r="X34" s="288" t="s">
        <v>47</v>
      </c>
      <c r="Y34" s="288" t="s">
        <v>45</v>
      </c>
      <c r="Z34" s="288" t="s">
        <v>44</v>
      </c>
      <c r="AA34" s="288" t="s">
        <v>43</v>
      </c>
      <c r="AB34" s="288" t="s">
        <v>53</v>
      </c>
      <c r="AC34" s="288" t="s">
        <v>53</v>
      </c>
      <c r="AD34" s="288" t="s">
        <v>47</v>
      </c>
      <c r="AE34" s="288" t="s">
        <v>46</v>
      </c>
      <c r="AF34" s="288" t="s">
        <v>45</v>
      </c>
      <c r="AG34" s="287"/>
      <c r="AH34" s="287"/>
    </row>
    <row r="35" ht="15.75" customHeight="1">
      <c r="A35" s="290" t="s">
        <v>263</v>
      </c>
      <c r="B35" s="288" t="s">
        <v>156</v>
      </c>
      <c r="C35" s="288" t="s">
        <v>43</v>
      </c>
      <c r="D35" s="288" t="s">
        <v>43</v>
      </c>
      <c r="E35" s="288" t="s">
        <v>43</v>
      </c>
      <c r="F35" s="288" t="s">
        <v>53</v>
      </c>
      <c r="G35" s="288" t="s">
        <v>53</v>
      </c>
      <c r="H35" s="288" t="s">
        <v>47</v>
      </c>
      <c r="I35" s="287" t="s">
        <v>47</v>
      </c>
      <c r="J35" s="287" t="s">
        <v>47</v>
      </c>
      <c r="K35" s="287" t="s">
        <v>43</v>
      </c>
      <c r="L35" s="287" t="s">
        <v>43</v>
      </c>
      <c r="M35" s="288" t="s">
        <v>53</v>
      </c>
      <c r="N35" s="288" t="s">
        <v>53</v>
      </c>
      <c r="O35" s="288" t="s">
        <v>47</v>
      </c>
      <c r="P35" s="288" t="s">
        <v>47</v>
      </c>
      <c r="Q35" s="288" t="s">
        <v>43</v>
      </c>
      <c r="R35" s="288" t="s">
        <v>43</v>
      </c>
      <c r="S35" s="287" t="s">
        <v>43</v>
      </c>
      <c r="T35" s="288" t="s">
        <v>53</v>
      </c>
      <c r="U35" s="288" t="s">
        <v>53</v>
      </c>
      <c r="V35" s="288" t="s">
        <v>47</v>
      </c>
      <c r="W35" s="288" t="s">
        <v>47</v>
      </c>
      <c r="X35" s="288" t="s">
        <v>47</v>
      </c>
      <c r="Y35" s="288" t="s">
        <v>43</v>
      </c>
      <c r="Z35" s="288" t="s">
        <v>43</v>
      </c>
      <c r="AA35" s="288" t="s">
        <v>53</v>
      </c>
      <c r="AB35" s="288" t="s">
        <v>53</v>
      </c>
      <c r="AC35" s="288" t="s">
        <v>47</v>
      </c>
      <c r="AD35" s="288" t="s">
        <v>47</v>
      </c>
      <c r="AE35" s="288" t="s">
        <v>47</v>
      </c>
      <c r="AF35" s="288" t="s">
        <v>43</v>
      </c>
      <c r="AG35" s="287"/>
      <c r="AH35" s="287"/>
    </row>
    <row r="36" ht="15.75" customHeight="1">
      <c r="A36" s="290" t="s">
        <v>264</v>
      </c>
      <c r="B36" s="288" t="s">
        <v>159</v>
      </c>
      <c r="C36" s="288" t="s">
        <v>47</v>
      </c>
      <c r="D36" s="288" t="s">
        <v>46</v>
      </c>
      <c r="E36" s="288" t="s">
        <v>44</v>
      </c>
      <c r="F36" s="288" t="s">
        <v>43</v>
      </c>
      <c r="G36" s="288" t="s">
        <v>49</v>
      </c>
      <c r="H36" s="288" t="s">
        <v>53</v>
      </c>
      <c r="I36" s="288" t="s">
        <v>53</v>
      </c>
      <c r="J36" s="288" t="s">
        <v>46</v>
      </c>
      <c r="K36" s="288" t="s">
        <v>46</v>
      </c>
      <c r="L36" s="288" t="s">
        <v>45</v>
      </c>
      <c r="M36" s="288" t="s">
        <v>43</v>
      </c>
      <c r="N36" s="288" t="s">
        <v>49</v>
      </c>
      <c r="O36" s="288" t="s">
        <v>53</v>
      </c>
      <c r="P36" s="288" t="s">
        <v>53</v>
      </c>
      <c r="Q36" s="288" t="s">
        <v>47</v>
      </c>
      <c r="R36" s="288" t="s">
        <v>46</v>
      </c>
      <c r="S36" s="288" t="s">
        <v>45</v>
      </c>
      <c r="T36" s="288" t="s">
        <v>44</v>
      </c>
      <c r="U36" s="288" t="s">
        <v>44</v>
      </c>
      <c r="V36" s="288" t="s">
        <v>53</v>
      </c>
      <c r="W36" s="288" t="s">
        <v>53</v>
      </c>
      <c r="X36" s="288" t="s">
        <v>45</v>
      </c>
      <c r="Y36" s="288" t="s">
        <v>45</v>
      </c>
      <c r="Z36" s="288" t="s">
        <v>49</v>
      </c>
      <c r="AA36" s="288" t="s">
        <v>49</v>
      </c>
      <c r="AB36" s="288" t="s">
        <v>48</v>
      </c>
      <c r="AC36" s="288" t="s">
        <v>53</v>
      </c>
      <c r="AD36" s="288" t="s">
        <v>53</v>
      </c>
      <c r="AE36" s="288" t="s">
        <v>46</v>
      </c>
      <c r="AF36" s="288" t="s">
        <v>45</v>
      </c>
      <c r="AG36" s="287"/>
      <c r="AH36" s="287"/>
    </row>
    <row r="37" ht="15.75" customHeight="1">
      <c r="A37" s="290" t="s">
        <v>265</v>
      </c>
      <c r="B37" s="288" t="s">
        <v>162</v>
      </c>
      <c r="C37" s="288" t="s">
        <v>44</v>
      </c>
      <c r="D37" s="287" t="s">
        <v>43</v>
      </c>
      <c r="E37" s="288" t="s">
        <v>49</v>
      </c>
      <c r="F37" s="288" t="s">
        <v>53</v>
      </c>
      <c r="G37" s="288" t="s">
        <v>53</v>
      </c>
      <c r="H37" s="288" t="s">
        <v>46</v>
      </c>
      <c r="I37" s="288" t="s">
        <v>45</v>
      </c>
      <c r="J37" s="288" t="s">
        <v>44</v>
      </c>
      <c r="K37" s="288" t="s">
        <v>44</v>
      </c>
      <c r="L37" s="287" t="s">
        <v>43</v>
      </c>
      <c r="M37" s="288" t="s">
        <v>53</v>
      </c>
      <c r="N37" s="288" t="s">
        <v>53</v>
      </c>
      <c r="O37" s="288" t="s">
        <v>46</v>
      </c>
      <c r="P37" s="288" t="s">
        <v>46</v>
      </c>
      <c r="Q37" s="288" t="s">
        <v>46</v>
      </c>
      <c r="R37" s="288" t="s">
        <v>45</v>
      </c>
      <c r="S37" s="288" t="s">
        <v>49</v>
      </c>
      <c r="T37" s="288" t="s">
        <v>53</v>
      </c>
      <c r="U37" s="288" t="s">
        <v>53</v>
      </c>
      <c r="V37" s="288" t="s">
        <v>49</v>
      </c>
      <c r="W37" s="288" t="s">
        <v>45</v>
      </c>
      <c r="X37" s="288" t="s">
        <v>45</v>
      </c>
      <c r="Y37" s="288" t="s">
        <v>44</v>
      </c>
      <c r="Z37" s="287" t="s">
        <v>43</v>
      </c>
      <c r="AA37" s="288" t="s">
        <v>53</v>
      </c>
      <c r="AB37" s="288" t="s">
        <v>53</v>
      </c>
      <c r="AC37" s="288" t="s">
        <v>46</v>
      </c>
      <c r="AD37" s="288" t="s">
        <v>45</v>
      </c>
      <c r="AE37" s="288" t="s">
        <v>43</v>
      </c>
      <c r="AF37" s="288" t="s">
        <v>43</v>
      </c>
      <c r="AG37" s="287"/>
      <c r="AH37" s="287"/>
    </row>
    <row r="38" ht="15.75" customHeight="1">
      <c r="A38" s="290" t="s">
        <v>266</v>
      </c>
      <c r="B38" s="288" t="s">
        <v>165</v>
      </c>
      <c r="C38" s="288" t="s">
        <v>45</v>
      </c>
      <c r="D38" s="288" t="s">
        <v>45</v>
      </c>
      <c r="E38" s="288" t="s">
        <v>45</v>
      </c>
      <c r="F38" s="288" t="s">
        <v>44</v>
      </c>
      <c r="G38" s="288" t="s">
        <v>43</v>
      </c>
      <c r="H38" s="288" t="s">
        <v>53</v>
      </c>
      <c r="I38" s="288" t="s">
        <v>53</v>
      </c>
      <c r="J38" s="288" t="s">
        <v>45</v>
      </c>
      <c r="K38" s="288" t="s">
        <v>45</v>
      </c>
      <c r="L38" s="288" t="s">
        <v>45</v>
      </c>
      <c r="M38" s="288" t="s">
        <v>45</v>
      </c>
      <c r="N38" s="288" t="s">
        <v>43</v>
      </c>
      <c r="O38" s="288" t="s">
        <v>53</v>
      </c>
      <c r="P38" s="288" t="s">
        <v>53</v>
      </c>
      <c r="Q38" s="288" t="s">
        <v>46</v>
      </c>
      <c r="R38" s="288" t="s">
        <v>43</v>
      </c>
      <c r="S38" s="288" t="s">
        <v>49</v>
      </c>
      <c r="T38" s="288" t="s">
        <v>45</v>
      </c>
      <c r="U38" s="288" t="s">
        <v>43</v>
      </c>
      <c r="V38" s="288" t="s">
        <v>53</v>
      </c>
      <c r="W38" s="288" t="s">
        <v>53</v>
      </c>
      <c r="X38" s="288" t="s">
        <v>46</v>
      </c>
      <c r="Y38" s="288" t="s">
        <v>45</v>
      </c>
      <c r="Z38" s="288" t="s">
        <v>45</v>
      </c>
      <c r="AA38" s="288" t="s">
        <v>43</v>
      </c>
      <c r="AB38" s="288" t="s">
        <v>43</v>
      </c>
      <c r="AC38" s="288" t="s">
        <v>53</v>
      </c>
      <c r="AD38" s="288" t="s">
        <v>53</v>
      </c>
      <c r="AE38" s="288" t="s">
        <v>47</v>
      </c>
      <c r="AF38" s="288" t="s">
        <v>46</v>
      </c>
      <c r="AG38" s="287"/>
      <c r="AH38" s="287"/>
    </row>
    <row r="39" ht="15.75" customHeight="1">
      <c r="A39" s="290" t="s">
        <v>267</v>
      </c>
      <c r="B39" s="288" t="s">
        <v>168</v>
      </c>
      <c r="C39" s="288" t="s">
        <v>53</v>
      </c>
      <c r="D39" s="288" t="s">
        <v>53</v>
      </c>
      <c r="E39" s="288" t="s">
        <v>46</v>
      </c>
      <c r="F39" s="288" t="s">
        <v>45</v>
      </c>
      <c r="G39" s="288" t="s">
        <v>43</v>
      </c>
      <c r="H39" s="288" t="s">
        <v>43</v>
      </c>
      <c r="I39" s="288" t="s">
        <v>43</v>
      </c>
      <c r="J39" s="288" t="s">
        <v>53</v>
      </c>
      <c r="K39" s="288" t="s">
        <v>53</v>
      </c>
      <c r="L39" s="288" t="s">
        <v>46</v>
      </c>
      <c r="M39" s="288" t="s">
        <v>45</v>
      </c>
      <c r="N39" s="288" t="s">
        <v>45</v>
      </c>
      <c r="O39" s="288" t="s">
        <v>49</v>
      </c>
      <c r="P39" s="288" t="s">
        <v>43</v>
      </c>
      <c r="Q39" s="288" t="s">
        <v>53</v>
      </c>
      <c r="R39" s="288" t="s">
        <v>53</v>
      </c>
      <c r="S39" s="288" t="s">
        <v>46</v>
      </c>
      <c r="T39" s="288" t="s">
        <v>45</v>
      </c>
      <c r="U39" s="288" t="s">
        <v>45</v>
      </c>
      <c r="V39" s="288" t="s">
        <v>45</v>
      </c>
      <c r="W39" s="288" t="s">
        <v>43</v>
      </c>
      <c r="X39" s="288" t="s">
        <v>53</v>
      </c>
      <c r="Y39" s="288" t="s">
        <v>53</v>
      </c>
      <c r="Z39" s="288" t="s">
        <v>46</v>
      </c>
      <c r="AA39" s="288" t="s">
        <v>45</v>
      </c>
      <c r="AB39" s="288" t="s">
        <v>45</v>
      </c>
      <c r="AC39" s="288" t="s">
        <v>45</v>
      </c>
      <c r="AD39" s="288" t="s">
        <v>44</v>
      </c>
      <c r="AE39" s="288" t="s">
        <v>53</v>
      </c>
      <c r="AF39" s="288" t="s">
        <v>53</v>
      </c>
      <c r="AG39" s="287"/>
      <c r="AH39" s="287"/>
    </row>
    <row r="40" ht="15.75" customHeight="1">
      <c r="A40" s="290" t="s">
        <v>268</v>
      </c>
      <c r="B40" s="288" t="s">
        <v>171</v>
      </c>
      <c r="C40" s="288" t="s">
        <v>53</v>
      </c>
      <c r="D40" s="288" t="s">
        <v>47</v>
      </c>
      <c r="E40" s="287" t="s">
        <v>47</v>
      </c>
      <c r="F40" s="287" t="s">
        <v>45</v>
      </c>
      <c r="G40" s="287" t="s">
        <v>45</v>
      </c>
      <c r="H40" s="287" t="s">
        <v>43</v>
      </c>
      <c r="I40" s="288" t="s">
        <v>53</v>
      </c>
      <c r="J40" s="288" t="s">
        <v>53</v>
      </c>
      <c r="K40" s="288" t="s">
        <v>49</v>
      </c>
      <c r="L40" s="287" t="s">
        <v>47</v>
      </c>
      <c r="M40" s="287" t="s">
        <v>45</v>
      </c>
      <c r="N40" s="287" t="s">
        <v>45</v>
      </c>
      <c r="O40" s="287" t="s">
        <v>43</v>
      </c>
      <c r="P40" s="288" t="s">
        <v>53</v>
      </c>
      <c r="Q40" s="288" t="s">
        <v>53</v>
      </c>
      <c r="R40" s="288" t="s">
        <v>47</v>
      </c>
      <c r="S40" s="287" t="s">
        <v>45</v>
      </c>
      <c r="T40" s="287" t="s">
        <v>45</v>
      </c>
      <c r="U40" s="287" t="s">
        <v>45</v>
      </c>
      <c r="V40" s="287" t="s">
        <v>43</v>
      </c>
      <c r="W40" s="288" t="s">
        <v>53</v>
      </c>
      <c r="X40" s="288" t="s">
        <v>53</v>
      </c>
      <c r="Y40" s="288" t="s">
        <v>46</v>
      </c>
      <c r="Z40" s="287" t="s">
        <v>45</v>
      </c>
      <c r="AA40" s="287" t="s">
        <v>44</v>
      </c>
      <c r="AB40" s="288" t="s">
        <v>44</v>
      </c>
      <c r="AC40" s="288" t="s">
        <v>43</v>
      </c>
      <c r="AD40" s="288" t="s">
        <v>53</v>
      </c>
      <c r="AE40" s="288" t="s">
        <v>53</v>
      </c>
      <c r="AF40" s="288" t="s">
        <v>47</v>
      </c>
      <c r="AG40" s="287"/>
      <c r="AH40" s="287"/>
    </row>
    <row r="41" ht="15.75" customHeight="1">
      <c r="A41" s="290" t="s">
        <v>269</v>
      </c>
      <c r="B41" s="288" t="s">
        <v>174</v>
      </c>
      <c r="C41" s="288" t="s">
        <v>53</v>
      </c>
      <c r="D41" s="288" t="s">
        <v>47</v>
      </c>
      <c r="E41" s="288" t="s">
        <v>46</v>
      </c>
      <c r="F41" s="288" t="s">
        <v>45</v>
      </c>
      <c r="G41" s="288" t="s">
        <v>43</v>
      </c>
      <c r="H41" s="288" t="s">
        <v>49</v>
      </c>
      <c r="I41" s="288" t="s">
        <v>53</v>
      </c>
      <c r="J41" s="288" t="s">
        <v>53</v>
      </c>
      <c r="K41" s="288" t="s">
        <v>47</v>
      </c>
      <c r="L41" s="288" t="s">
        <v>45</v>
      </c>
      <c r="M41" s="288" t="s">
        <v>44</v>
      </c>
      <c r="N41" s="288" t="s">
        <v>43</v>
      </c>
      <c r="O41" s="288" t="s">
        <v>49</v>
      </c>
      <c r="P41" s="288" t="s">
        <v>53</v>
      </c>
      <c r="Q41" s="288" t="s">
        <v>53</v>
      </c>
      <c r="R41" s="288" t="s">
        <v>45</v>
      </c>
      <c r="S41" s="288" t="s">
        <v>45</v>
      </c>
      <c r="T41" s="288" t="s">
        <v>43</v>
      </c>
      <c r="U41" s="288" t="s">
        <v>49</v>
      </c>
      <c r="V41" s="288" t="s">
        <v>49</v>
      </c>
      <c r="W41" s="288" t="s">
        <v>53</v>
      </c>
      <c r="X41" s="288" t="s">
        <v>53</v>
      </c>
      <c r="Y41" s="287" t="s">
        <v>45</v>
      </c>
      <c r="Z41" s="288" t="s">
        <v>45</v>
      </c>
      <c r="AA41" s="288" t="s">
        <v>44</v>
      </c>
      <c r="AB41" s="288" t="s">
        <v>43</v>
      </c>
      <c r="AC41" s="288" t="s">
        <v>49</v>
      </c>
      <c r="AD41" s="288" t="s">
        <v>53</v>
      </c>
      <c r="AE41" s="288" t="s">
        <v>53</v>
      </c>
      <c r="AF41" s="288" t="s">
        <v>45</v>
      </c>
      <c r="AG41" s="287"/>
      <c r="AH41" s="287"/>
    </row>
    <row r="42" ht="15.75" customHeight="1">
      <c r="A42" s="290" t="s">
        <v>270</v>
      </c>
      <c r="B42" s="288" t="s">
        <v>177</v>
      </c>
      <c r="C42" s="288" t="s">
        <v>47</v>
      </c>
      <c r="D42" s="288" t="s">
        <v>47</v>
      </c>
      <c r="E42" s="288" t="s">
        <v>45</v>
      </c>
      <c r="F42" s="288" t="s">
        <v>44</v>
      </c>
      <c r="G42" s="288" t="s">
        <v>43</v>
      </c>
      <c r="H42" s="288" t="s">
        <v>53</v>
      </c>
      <c r="I42" s="288" t="s">
        <v>53</v>
      </c>
      <c r="J42" s="288" t="s">
        <v>47</v>
      </c>
      <c r="K42" s="288" t="s">
        <v>45</v>
      </c>
      <c r="L42" s="288" t="s">
        <v>44</v>
      </c>
      <c r="M42" s="288" t="s">
        <v>49</v>
      </c>
      <c r="N42" s="288" t="s">
        <v>49</v>
      </c>
      <c r="O42" s="288" t="s">
        <v>53</v>
      </c>
      <c r="P42" s="288" t="s">
        <v>53</v>
      </c>
      <c r="Q42" s="288" t="s">
        <v>49</v>
      </c>
      <c r="R42" s="288" t="s">
        <v>49</v>
      </c>
      <c r="S42" s="288" t="s">
        <v>49</v>
      </c>
      <c r="T42" s="288" t="s">
        <v>49</v>
      </c>
      <c r="U42" s="288" t="s">
        <v>43</v>
      </c>
      <c r="V42" s="288" t="s">
        <v>53</v>
      </c>
      <c r="W42" s="288" t="s">
        <v>53</v>
      </c>
      <c r="X42" s="287" t="s">
        <v>46</v>
      </c>
      <c r="Y42" s="287" t="s">
        <v>44</v>
      </c>
      <c r="Z42" s="288" t="s">
        <v>48</v>
      </c>
      <c r="AA42" s="288" t="s">
        <v>48</v>
      </c>
      <c r="AB42" s="288" t="s">
        <v>48</v>
      </c>
      <c r="AC42" s="288" t="s">
        <v>53</v>
      </c>
      <c r="AD42" s="288" t="s">
        <v>53</v>
      </c>
      <c r="AE42" s="288" t="s">
        <v>45</v>
      </c>
      <c r="AF42" s="288" t="s">
        <v>45</v>
      </c>
      <c r="AG42" s="287"/>
      <c r="AH42" s="287"/>
    </row>
    <row r="43" ht="15.75" customHeight="1">
      <c r="A43" s="289" t="s">
        <v>271</v>
      </c>
      <c r="B43" s="288" t="s">
        <v>180</v>
      </c>
      <c r="C43" s="288" t="s">
        <v>53</v>
      </c>
      <c r="D43" s="288" t="s">
        <v>49</v>
      </c>
      <c r="E43" s="288" t="s">
        <v>49</v>
      </c>
      <c r="F43" s="288" t="s">
        <v>49</v>
      </c>
      <c r="G43" s="287" t="s">
        <v>44</v>
      </c>
      <c r="H43" s="287" t="s">
        <v>43</v>
      </c>
      <c r="I43" s="288" t="s">
        <v>53</v>
      </c>
      <c r="J43" s="288" t="s">
        <v>53</v>
      </c>
      <c r="K43" s="288" t="s">
        <v>47</v>
      </c>
      <c r="L43" s="287" t="s">
        <v>47</v>
      </c>
      <c r="M43" s="288" t="s">
        <v>45</v>
      </c>
      <c r="N43" s="287" t="s">
        <v>45</v>
      </c>
      <c r="O43" s="287" t="s">
        <v>43</v>
      </c>
      <c r="P43" s="288" t="s">
        <v>53</v>
      </c>
      <c r="Q43" s="288" t="s">
        <v>53</v>
      </c>
      <c r="R43" s="288" t="s">
        <v>47</v>
      </c>
      <c r="S43" s="287" t="s">
        <v>47</v>
      </c>
      <c r="T43" s="287" t="s">
        <v>45</v>
      </c>
      <c r="U43" s="288" t="s">
        <v>43</v>
      </c>
      <c r="V43" s="288" t="s">
        <v>43</v>
      </c>
      <c r="W43" s="288" t="s">
        <v>53</v>
      </c>
      <c r="X43" s="288" t="s">
        <v>53</v>
      </c>
      <c r="Y43" s="287" t="s">
        <v>47</v>
      </c>
      <c r="Z43" s="288" t="s">
        <v>47</v>
      </c>
      <c r="AA43" s="288" t="s">
        <v>45</v>
      </c>
      <c r="AB43" s="287" t="s">
        <v>44</v>
      </c>
      <c r="AC43" s="288" t="s">
        <v>43</v>
      </c>
      <c r="AD43" s="288" t="s">
        <v>53</v>
      </c>
      <c r="AE43" s="288" t="s">
        <v>53</v>
      </c>
      <c r="AF43" s="288" t="s">
        <v>49</v>
      </c>
      <c r="AG43" s="287"/>
      <c r="AH43" s="287"/>
    </row>
    <row r="44" ht="15.75" customHeight="1">
      <c r="A44" s="289" t="s">
        <v>272</v>
      </c>
      <c r="B44" s="288" t="s">
        <v>273</v>
      </c>
      <c r="C44" s="288" t="s">
        <v>47</v>
      </c>
      <c r="D44" s="288" t="s">
        <v>46</v>
      </c>
      <c r="E44" s="287" t="s">
        <v>45</v>
      </c>
      <c r="F44" s="287" t="s">
        <v>45</v>
      </c>
      <c r="G44" s="287" t="s">
        <v>43</v>
      </c>
      <c r="H44" s="288" t="s">
        <v>53</v>
      </c>
      <c r="I44" s="288" t="s">
        <v>53</v>
      </c>
      <c r="J44" s="288" t="s">
        <v>47</v>
      </c>
      <c r="K44" s="288" t="s">
        <v>47</v>
      </c>
      <c r="L44" s="287" t="s">
        <v>45</v>
      </c>
      <c r="M44" s="287" t="s">
        <v>43</v>
      </c>
      <c r="N44" s="287" t="s">
        <v>43</v>
      </c>
      <c r="O44" s="288" t="s">
        <v>53</v>
      </c>
      <c r="P44" s="288" t="s">
        <v>53</v>
      </c>
      <c r="Q44" s="288" t="s">
        <v>47</v>
      </c>
      <c r="R44" s="288" t="s">
        <v>46</v>
      </c>
      <c r="S44" s="287" t="s">
        <v>45</v>
      </c>
      <c r="T44" s="287" t="s">
        <v>44</v>
      </c>
      <c r="U44" s="288" t="s">
        <v>43</v>
      </c>
      <c r="V44" s="288" t="s">
        <v>53</v>
      </c>
      <c r="W44" s="288" t="s">
        <v>53</v>
      </c>
      <c r="X44" s="287" t="s">
        <v>47</v>
      </c>
      <c r="Y44" s="287" t="s">
        <v>46</v>
      </c>
      <c r="Z44" s="288" t="s">
        <v>45</v>
      </c>
      <c r="AA44" s="288" t="s">
        <v>48</v>
      </c>
      <c r="AB44" s="288" t="s">
        <v>48</v>
      </c>
      <c r="AC44" s="288" t="s">
        <v>53</v>
      </c>
      <c r="AD44" s="288" t="s">
        <v>53</v>
      </c>
      <c r="AE44" s="288" t="s">
        <v>47</v>
      </c>
      <c r="AF44" s="288" t="s">
        <v>45</v>
      </c>
      <c r="AG44" s="287"/>
      <c r="AH44" s="287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