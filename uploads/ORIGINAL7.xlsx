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PH" sheetId="2" r:id="rId5"/>
    <sheet state="visible" name="Sheet2" sheetId="3" r:id="rId6"/>
    <sheet state="visible" name="ORIGIN MONTH 7" sheetId="4" r:id="rId7"/>
    <sheet state="visible" name="M0NTH7" sheetId="5" r:id="rId8"/>
    <sheet state="visible" name="ManPower7" sheetId="6" r:id="rId9"/>
    <sheet state="visible" name="Sumary" sheetId="7" r:id="rId10"/>
    <sheet state="visible" name="Month7" sheetId="8" r:id="rId11"/>
    <sheet state="visible" name="Misa" sheetId="9" r:id="rId12"/>
    <sheet state="visible" name="PH ROSTER 7" sheetId="10" r:id="rId13"/>
  </sheets>
  <definedNames/>
  <calcPr/>
  <extLst>
    <ext uri="GoogleSheetsCustomDataVersion2">
      <go:sheetsCustomData xmlns:go="http://customooxmlschemas.google.com/" r:id="rId14" roundtripDataChecksum="m42vob0gntZtE2/vhUs5LTYLgkDTbyhzpbhz8UNYXXw="/>
    </ext>
  </extLst>
</workbook>
</file>

<file path=xl/sharedStrings.xml><?xml version="1.0" encoding="utf-8"?>
<sst xmlns="http://schemas.openxmlformats.org/spreadsheetml/2006/main" count="5910" uniqueCount="282">
  <si>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</si>
  <si>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</si>
  <si>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</si>
  <si>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</si>
  <si>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</si>
  <si>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</si>
  <si>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</si>
  <si>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</si>
  <si>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</si>
  <si>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</si>
  <si>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</si>
  <si>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</si>
  <si>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</si>
  <si>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</si>
  <si>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</si>
  <si>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</si>
  <si>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</si>
  <si>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</si>
  <si>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</si>
  <si>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</si>
  <si>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</si>
  <si>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</si>
  <si>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</si>
  <si>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</si>
  <si>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</si>
  <si>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</si>
  <si>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</si>
  <si>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</si>
  <si>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</si>
  <si>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</si>
  <si>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</si>
  <si>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</si>
  <si>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</si>
  <si>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</si>
  <si>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</si>
  <si>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</si>
  <si>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</si>
  <si>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</si>
  <si>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</si>
  <si>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</si>
  <si>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</si>
  <si>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</si>
  <si>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</si>
  <si>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</si>
  <si>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</si>
  <si>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</si>
  <si>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</si>
  <si>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</si>
  <si>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</si>
  <si>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</si>
  <si>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</si>
  <si>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</si>
  <si>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</si>
  <si>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</si>
  <si>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</si>
  <si>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</si>
  <si>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</si>
  <si>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</si>
  <si>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</si>
  <si>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</si>
  <si>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</si>
  <si>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</si>
  <si>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</si>
  <si>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</si>
  <si>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</si>
  <si>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</si>
  <si>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</si>
  <si>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</si>
  <si>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</si>
  <si>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</si>
  <si>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</si>
  <si>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</si>
  <si>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</si>
  <si>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</si>
  <si>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</si>
  <si>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</si>
  <si>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</si>
  <si>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</si>
  <si>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</si>
  <si>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</si>
  <si>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</si>
  <si>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</si>
  <si>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</si>
  <si>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</si>
  <si>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</si>
  <si>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</si>
  <si>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</si>
  <si>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</si>
  <si>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</si>
  <si>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</si>
  <si>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</si>
  <si>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</si>
  <si>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</si>
  <si>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</si>
  <si>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</si>
  <si>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</si>
  <si>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</si>
  <si>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</si>
  <si>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</si>
  <si>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</si>
  <si>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</si>
  <si>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</si>
  <si>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</si>
  <si>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</si>
  <si>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</si>
  <si>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</si>
  <si>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</si>
  <si>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</si>
  <si>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</si>
  <si>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</si>
  <si>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</si>
  <si>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</si>
  <si>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</si>
  <si>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</si>
  <si>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</si>
  <si>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</si>
  <si>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</si>
  <si>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</si>
  <si>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</si>
  <si>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</si>
  <si>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</si>
  <si>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</si>
  <si>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</si>
  <si>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</si>
  <si>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</si>
  <si>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</si>
  <si>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</si>
  <si>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</si>
  <si>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</si>
  <si>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</si>
  <si>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</si>
  <si>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</si>
  <si>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</si>
  <si>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</si>
  <si>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</si>
  <si>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</si>
  <si>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</si>
  <si>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</si>
  <si>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</si>
  <si>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</si>
  <si>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</si>
  <si>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</si>
  <si>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</si>
  <si>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</si>
  <si>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</si>
  <si>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</si>
  <si>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</si>
  <si>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</si>
  <si>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</si>
  <si>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</si>
  <si>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</si>
  <si>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</si>
  <si>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</si>
  <si>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</si>
  <si>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</si>
  <si>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</si>
  <si>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</si>
  <si>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</si>
  <si>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</si>
  <si>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</si>
  <si>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</si>
  <si>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</si>
  <si>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</si>
  <si>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</si>
  <si>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</si>
  <si>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</si>
  <si>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</si>
  <si>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</si>
  <si>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</si>
  <si>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</si>
  <si>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</si>
  <si>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</si>
  <si>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</si>
  <si>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</si>
  <si>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</si>
  <si>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</si>
  <si>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</si>
  <si>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</si>
  <si>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</si>
  <si>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</si>
  <si>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</si>
  <si>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</si>
  <si>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</si>
  <si>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</si>
  <si>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</si>
  <si>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</si>
  <si>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</si>
  <si>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</si>
  <si>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</si>
  <si>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</si>
  <si>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</si>
  <si>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</si>
  <si>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</si>
  <si>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</si>
  <si>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</si>
  <si>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</si>
  <si>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</si>
  <si>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</si>
  <si>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</si>
  <si>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</si>
  <si>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</si>
  <si>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</si>
  <si>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</si>
  <si>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</si>
  <si>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</si>
  <si>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</si>
  <si>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</si>
  <si>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</si>
  <si>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</si>
  <si>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</si>
  <si>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</si>
  <si>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</si>
  <si>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</si>
  <si>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</si>
  <si>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</si>
  <si>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</si>
  <si>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</si>
  <si>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</si>
  <si>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</si>
  <si>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</si>
  <si>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</si>
  <si>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</si>
  <si>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</si>
  <si>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</si>
  <si>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</si>
  <si>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MONTH 7/2026</t>
  </si>
  <si>
    <t>GA MONTHLY ROSTER</t>
  </si>
  <si>
    <t>Made by :MIN</t>
  </si>
  <si>
    <t>Prepared by: MIN</t>
  </si>
  <si>
    <t>E .NAME</t>
  </si>
  <si>
    <t>29</t>
  </si>
  <si>
    <t>30</t>
  </si>
  <si>
    <t>1.Daisy</t>
  </si>
  <si>
    <t>2.Candy</t>
  </si>
  <si>
    <t xml:space="preserve">D5 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</si>
  <si>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</si>
  <si>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</si>
  <si>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</si>
  <si>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</si>
  <si>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</si>
  <si>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</si>
  <si>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</si>
  <si>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</si>
  <si>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</si>
  <si>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</si>
  <si>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</si>
  <si>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</si>
  <si>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</si>
  <si>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</si>
  <si>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</si>
  <si>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</si>
  <si>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</si>
  <si>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</si>
  <si>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</si>
  <si>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</si>
  <si>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</si>
  <si>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</si>
  <si>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</si>
  <si>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</si>
  <si>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</si>
  <si>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</si>
  <si>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</si>
  <si>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</si>
  <si>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</si>
  <si>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</si>
  <si>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</si>
  <si>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</si>
  <si>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</si>
  <si>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</si>
  <si>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</si>
  <si>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</si>
  <si>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</si>
  <si>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</si>
  <si>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</si>
  <si>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</si>
  <si>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</si>
  <si>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</si>
  <si>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</si>
  <si>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</si>
  <si>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</si>
  <si>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</si>
  <si>
    <t>PH LIST OF GAME AMBASSADOR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</si>
</sst>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5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sz val="10.0"/>
      <color theme="1"/>
      <name val="Arial"/>
    </font>
    <font>
      <b/>
      <u/>
      <sz val="10.0"/>
      <color rgb="FF98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u/>
      <sz val="10.0"/>
      <color rgb="FFFF00FF"/>
      <name val="Arial"/>
    </font>
    <font>
      <u/>
      <sz val="10.0"/>
      <color rgb="FFFF0000"/>
      <name val="Arial"/>
    </font>
    <font>
      <b/>
      <u/>
      <sz val="10.0"/>
      <color rgb="FF980000"/>
      <name val="Arial"/>
    </font>
    <font>
      <u/>
      <sz val="10.0"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color theme="8"/>
      <name val="Arial"/>
    </font>
    <font>
      <b/>
      <color theme="1"/>
      <name val="Arial"/>
      <scheme val="minor"/>
    </font>
  </fonts>
  <fills count="1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</fills>
  <borders count="74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6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center" readingOrder="0" vertical="center"/>
    </xf>
    <xf borderId="3" fillId="3" fontId="35" numFmtId="0" xfId="0" applyAlignment="1" applyBorder="1" applyFont="1">
      <alignment horizontal="center" vertical="center"/>
    </xf>
    <xf borderId="3" fillId="3" fontId="36" numFmtId="0" xfId="0" applyAlignment="1" applyBorder="1" applyFont="1">
      <alignment horizontal="center" readingOrder="0" vertical="center"/>
    </xf>
    <xf borderId="39" fillId="3" fontId="35" numFmtId="0" xfId="0" applyAlignment="1" applyBorder="1" applyFont="1">
      <alignment horizontal="center" vertical="center"/>
    </xf>
    <xf borderId="1" fillId="2" fontId="37" numFmtId="49" xfId="0" applyAlignment="1" applyBorder="1" applyFont="1" applyNumberFormat="1">
      <alignment horizontal="center" vertical="center"/>
    </xf>
    <xf borderId="1" fillId="2" fontId="37" numFmtId="0" xfId="0" applyAlignment="1" applyBorder="1" applyFont="1">
      <alignment horizontal="center" vertical="center"/>
    </xf>
    <xf borderId="1" fillId="2" fontId="37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8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1" fillId="3" fontId="38" numFmtId="0" xfId="0" applyAlignment="1" applyBorder="1" applyFont="1">
      <alignment vertical="center"/>
    </xf>
    <xf borderId="43" fillId="2" fontId="39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43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4" fillId="3" fontId="5" numFmtId="49" xfId="0" applyAlignment="1" applyBorder="1" applyFont="1" applyNumberFormat="1">
      <alignment horizontal="center" vertical="center"/>
    </xf>
    <xf borderId="15" fillId="3" fontId="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47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8" fillId="2" fontId="39" numFmtId="0" xfId="0" applyAlignment="1" applyBorder="1" applyFont="1">
      <alignment horizontal="left" vertical="center"/>
    </xf>
    <xf borderId="49" fillId="2" fontId="5" numFmtId="49" xfId="0" applyAlignment="1" applyBorder="1" applyFont="1" applyNumberFormat="1">
      <alignment horizontal="center" shrinkToFit="0" vertical="center" wrapText="1"/>
    </xf>
    <xf borderId="48" fillId="3" fontId="5" numFmtId="49" xfId="0" applyAlignment="1" applyBorder="1" applyFont="1" applyNumberFormat="1">
      <alignment horizontal="center" vertical="center"/>
    </xf>
    <xf borderId="50" fillId="3" fontId="5" numFmtId="49" xfId="0" applyAlignment="1" applyBorder="1" applyFont="1" applyNumberFormat="1">
      <alignment horizontal="center" vertical="center"/>
    </xf>
    <xf borderId="49" fillId="3" fontId="5" numFmtId="49" xfId="0" applyAlignment="1" applyBorder="1" applyFont="1" applyNumberFormat="1">
      <alignment horizontal="center" vertical="center"/>
    </xf>
    <xf borderId="51" fillId="3" fontId="5" numFmtId="49" xfId="0" applyAlignment="1" applyBorder="1" applyFont="1" applyNumberForma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7" fillId="3" fontId="5" numFmtId="49" xfId="0" applyAlignment="1" applyBorder="1" applyFont="1" applyNumberFormat="1">
      <alignment horizontal="center" vertical="center"/>
    </xf>
    <xf borderId="52" fillId="3" fontId="5" numFmtId="49" xfId="0" applyAlignment="1" applyBorder="1" applyFont="1" applyNumberFormat="1">
      <alignment horizontal="center" vertical="center"/>
    </xf>
    <xf borderId="53" fillId="3" fontId="5" numFmtId="49" xfId="0" applyAlignment="1" applyBorder="1" applyFont="1" applyNumberFormat="1">
      <alignment horizontal="center" vertical="center"/>
    </xf>
    <xf borderId="54" fillId="3" fontId="5" numFmtId="49" xfId="0" applyAlignment="1" applyBorder="1" applyFont="1" applyNumberForma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left" vertical="center"/>
    </xf>
    <xf borderId="57" fillId="0" fontId="29" numFmtId="49" xfId="0" applyAlignment="1" applyBorder="1" applyFont="1" applyNumberFormat="1">
      <alignment vertical="center"/>
    </xf>
    <xf borderId="58" fillId="2" fontId="29" numFmtId="49" xfId="0" applyAlignment="1" applyBorder="1" applyFont="1" applyNumberFormat="1">
      <alignment horizontal="center" readingOrder="0" vertical="center"/>
    </xf>
    <xf borderId="56" fillId="4" fontId="29" numFmtId="49" xfId="0" applyAlignment="1" applyBorder="1" applyFont="1" applyNumberFormat="1">
      <alignment horizontal="center" vertical="center"/>
    </xf>
    <xf borderId="57" fillId="4" fontId="29" numFmtId="49" xfId="0" applyAlignment="1" applyBorder="1" applyFont="1" applyNumberFormat="1">
      <alignment horizontal="center" vertical="center"/>
    </xf>
    <xf borderId="15" fillId="2" fontId="29" numFmtId="49" xfId="0" applyAlignment="1" applyBorder="1" applyFont="1" applyNumberFormat="1">
      <alignment horizontal="center" vertical="center"/>
    </xf>
    <xf borderId="16" fillId="2" fontId="29" numFmtId="49" xfId="0" applyAlignment="1" applyBorder="1" applyFont="1" applyNumberFormat="1">
      <alignment horizontal="center" readingOrder="0" vertical="center"/>
    </xf>
    <xf borderId="16" fillId="4" fontId="29" numFmtId="49" xfId="0" applyAlignment="1" applyBorder="1" applyFont="1" applyNumberFormat="1">
      <alignment horizontal="center" vertical="center"/>
    </xf>
    <xf borderId="17" fillId="4" fontId="29" numFmtId="49" xfId="0" applyAlignment="1" applyBorder="1" applyFont="1" applyNumberFormat="1">
      <alignment horizontal="center" vertical="center"/>
    </xf>
    <xf borderId="59" fillId="2" fontId="29" numFmtId="49" xfId="0" applyAlignment="1" applyBorder="1" applyFont="1" applyNumberFormat="1">
      <alignment horizontal="center" vertical="center"/>
    </xf>
    <xf borderId="56" fillId="2" fontId="29" numFmtId="49" xfId="0" applyAlignment="1" applyBorder="1" applyFont="1" applyNumberFormat="1">
      <alignment horizontal="center" readingOrder="0" vertical="center"/>
    </xf>
    <xf borderId="60" fillId="4" fontId="29" numFmtId="49" xfId="0" applyAlignment="1" applyBorder="1" applyFont="1" applyNumberFormat="1">
      <alignment horizontal="center" vertical="center"/>
    </xf>
    <xf borderId="59" fillId="2" fontId="29" numFmtId="49" xfId="0" applyAlignment="1" applyBorder="1" applyFont="1" applyNumberFormat="1">
      <alignment horizontal="center" readingOrder="0" vertical="center"/>
    </xf>
    <xf borderId="56" fillId="3" fontId="29" numFmtId="49" xfId="0" applyAlignment="1" applyBorder="1" applyFont="1" applyNumberFormat="1">
      <alignment horizontal="center" vertical="center"/>
    </xf>
    <xf borderId="15" fillId="2" fontId="29" numFmtId="49" xfId="0" applyAlignment="1" applyBorder="1" applyFont="1" applyNumberFormat="1">
      <alignment horizontal="center" readingOrder="0" vertical="center"/>
    </xf>
    <xf borderId="11" fillId="2" fontId="39" numFmtId="49" xfId="0" applyAlignment="1" applyBorder="1" applyFont="1" applyNumberFormat="1">
      <alignment horizontal="left" vertical="center"/>
    </xf>
    <xf borderId="36" fillId="0" fontId="29" numFmtId="49" xfId="0" applyAlignment="1" applyBorder="1" applyFont="1" applyNumberFormat="1">
      <alignment vertical="center"/>
    </xf>
    <xf borderId="61" fillId="2" fontId="29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36" fillId="4" fontId="29" numFmtId="49" xfId="0" applyAlignment="1" applyBorder="1" applyFont="1" applyNumberFormat="1">
      <alignment horizontal="center" vertical="center"/>
    </xf>
    <xf borderId="18" fillId="0" fontId="29" numFmtId="49" xfId="0" applyAlignment="1" applyBorder="1" applyFont="1" applyNumberFormat="1">
      <alignment horizontal="center" vertical="center"/>
    </xf>
    <xf borderId="11" fillId="2" fontId="29" numFmtId="49" xfId="0" applyAlignment="1" applyBorder="1" applyFont="1" applyNumberFormat="1">
      <alignment horizontal="center" readingOrder="0" vertical="center"/>
    </xf>
    <xf borderId="11" fillId="2" fontId="29" numFmtId="0" xfId="0" applyAlignment="1" applyBorder="1" applyFont="1">
      <alignment horizontal="center" readingOrder="0" vertical="center"/>
    </xf>
    <xf borderId="19" fillId="4" fontId="29" numFmtId="49" xfId="0" applyAlignment="1" applyBorder="1" applyFont="1" applyNumberFormat="1">
      <alignment horizontal="center" vertical="center"/>
    </xf>
    <xf borderId="18" fillId="2" fontId="29" numFmtId="49" xfId="0" applyAlignment="1" applyBorder="1" applyFont="1" applyNumberFormat="1">
      <alignment horizontal="center" vertical="center"/>
    </xf>
    <xf borderId="18" fillId="2" fontId="29" numFmtId="49" xfId="0" applyAlignment="1" applyBorder="1" applyFont="1" applyNumberFormat="1">
      <alignment horizontal="center" readingOrder="0" vertical="center"/>
    </xf>
    <xf borderId="11" fillId="2" fontId="40" numFmtId="49" xfId="0" applyAlignment="1" applyBorder="1" applyFont="1" applyNumberFormat="1">
      <alignment horizontal="left" vertical="center"/>
    </xf>
    <xf borderId="61" fillId="2" fontId="41" numFmtId="0" xfId="0" applyAlignment="1" applyBorder="1" applyFont="1">
      <alignment horizontal="center" vertical="center"/>
    </xf>
    <xf borderId="18" fillId="4" fontId="29" numFmtId="49" xfId="0" applyAlignment="1" applyBorder="1" applyFont="1" applyNumberFormat="1">
      <alignment horizontal="center" vertical="center"/>
    </xf>
    <xf borderId="11" fillId="2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vertical="center"/>
    </xf>
    <xf borderId="11" fillId="3" fontId="29" numFmtId="49" xfId="0" applyAlignment="1" applyBorder="1" applyFont="1" applyNumberFormat="1">
      <alignment horizontal="center" vertical="center"/>
    </xf>
    <xf borderId="61" fillId="2" fontId="42" numFmtId="0" xfId="0" applyAlignment="1" applyBorder="1" applyFont="1">
      <alignment horizontal="center" readingOrder="0" vertical="center"/>
    </xf>
    <xf borderId="11" fillId="2" fontId="42" numFmtId="0" xfId="0" applyAlignment="1" applyBorder="1" applyFont="1">
      <alignment horizontal="center" readingOrder="0" vertical="center"/>
    </xf>
    <xf borderId="11" fillId="2" fontId="42" numFmtId="49" xfId="0" applyAlignment="1" applyBorder="1" applyFont="1" applyNumberFormat="1">
      <alignment horizontal="center" vertical="center"/>
    </xf>
    <xf borderId="11" fillId="2" fontId="42" numFmtId="0" xfId="0" applyAlignment="1" applyBorder="1" applyFont="1">
      <alignment horizontal="center" vertical="center"/>
    </xf>
    <xf borderId="11" fillId="2" fontId="42" numFmtId="49" xfId="0" applyAlignment="1" applyBorder="1" applyFont="1" applyNumberFormat="1">
      <alignment horizontal="center" readingOrder="0" vertical="center"/>
    </xf>
    <xf borderId="19" fillId="2" fontId="42" numFmtId="49" xfId="0" applyAlignment="1" applyBorder="1" applyFont="1" applyNumberFormat="1">
      <alignment horizontal="center" readingOrder="0" vertical="center"/>
    </xf>
    <xf borderId="61" fillId="2" fontId="43" numFmtId="49" xfId="0" applyAlignment="1" applyBorder="1" applyFont="1" applyNumberFormat="1">
      <alignment horizontal="center" readingOrder="0" vertical="center"/>
    </xf>
    <xf borderId="61" fillId="0" fontId="29" numFmtId="49" xfId="0" applyAlignment="1" applyBorder="1" applyFont="1" applyNumberFormat="1">
      <alignment horizontal="center" vertical="center"/>
    </xf>
    <xf borderId="18" fillId="4" fontId="29" numFmtId="49" xfId="0" applyAlignment="1" applyBorder="1" applyFont="1" applyNumberFormat="1">
      <alignment horizontal="center" vertical="center"/>
    </xf>
    <xf borderId="19" fillId="2" fontId="29" numFmtId="49" xfId="0" applyAlignment="1" applyBorder="1" applyFont="1" applyNumberFormat="1">
      <alignment horizontal="center" readingOrder="0" vertical="center"/>
    </xf>
    <xf borderId="19" fillId="3" fontId="29" numFmtId="49" xfId="0" applyAlignment="1" applyBorder="1" applyFont="1" applyNumberFormat="1">
      <alignment horizontal="center" vertical="center"/>
    </xf>
    <xf borderId="36" fillId="2" fontId="29" numFmtId="49" xfId="0" applyAlignment="1" applyBorder="1" applyFont="1" applyNumberFormat="1">
      <alignment horizontal="center" readingOrder="0" vertical="center"/>
    </xf>
    <xf borderId="19" fillId="2" fontId="29" numFmtId="0" xfId="0" applyAlignment="1" applyBorder="1" applyFont="1">
      <alignment horizontal="center" readingOrder="0" vertical="center"/>
    </xf>
    <xf borderId="36" fillId="0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readingOrder="0" vertical="center"/>
    </xf>
    <xf borderId="19" fillId="2" fontId="29" numFmtId="49" xfId="0" applyAlignment="1" applyBorder="1" applyFont="1" applyNumberFormat="1">
      <alignment horizontal="center" vertical="center"/>
    </xf>
    <xf borderId="61" fillId="4" fontId="29" numFmtId="49" xfId="0" applyAlignment="1" applyBorder="1" applyFont="1" applyNumberFormat="1">
      <alignment horizontal="center" vertical="center"/>
    </xf>
    <xf borderId="36" fillId="2" fontId="29" numFmtId="49" xfId="0" applyAlignment="1" applyBorder="1" applyFont="1" applyNumberFormat="1">
      <alignment horizontal="center" vertical="center"/>
    </xf>
    <xf borderId="11" fillId="2" fontId="44" numFmtId="49" xfId="0" applyAlignment="1" applyBorder="1" applyFont="1" applyNumberFormat="1">
      <alignment horizontal="center" vertical="center"/>
    </xf>
    <xf borderId="11" fillId="2" fontId="45" numFmtId="49" xfId="0" applyAlignment="1" applyBorder="1" applyFont="1" applyNumberFormat="1">
      <alignment horizontal="center" readingOrder="0" vertical="center"/>
    </xf>
    <xf borderId="18" fillId="3" fontId="29" numFmtId="49" xfId="0" applyAlignment="1" applyBorder="1" applyFont="1" applyNumberFormat="1">
      <alignment horizontal="center" vertical="center"/>
    </xf>
    <xf borderId="19" fillId="2" fontId="29" numFmtId="0" xfId="0" applyAlignment="1" applyBorder="1" applyFont="1">
      <alignment horizontal="center" vertical="center"/>
    </xf>
    <xf borderId="36" fillId="0" fontId="46" numFmtId="49" xfId="0" applyAlignment="1" applyBorder="1" applyFont="1" applyNumberFormat="1">
      <alignment vertical="center"/>
    </xf>
    <xf borderId="61" fillId="2" fontId="42" numFmtId="49" xfId="0" applyAlignment="1" applyBorder="1" applyFont="1" applyNumberFormat="1">
      <alignment horizontal="center" readingOrder="0" vertical="center"/>
    </xf>
    <xf borderId="36" fillId="2" fontId="42" numFmtId="49" xfId="0" applyAlignment="1" applyBorder="1" applyFont="1" applyNumberFormat="1">
      <alignment horizontal="center" readingOrder="0" vertical="center"/>
    </xf>
    <xf borderId="18" fillId="2" fontId="42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9" fillId="2" fontId="42" numFmtId="0" xfId="0" applyAlignment="1" applyBorder="1" applyFont="1">
      <alignment horizontal="center" readingOrder="0" vertical="center"/>
    </xf>
    <xf borderId="18" fillId="2" fontId="42" numFmtId="0" xfId="0" applyAlignment="1" applyBorder="1" applyFont="1">
      <alignment horizontal="center" readingOrder="0" vertical="center"/>
    </xf>
    <xf borderId="19" fillId="0" fontId="29" numFmtId="49" xfId="0" applyAlignment="1" applyBorder="1" applyFont="1" applyNumberFormat="1">
      <alignment horizontal="center" vertical="center"/>
    </xf>
    <xf borderId="18" fillId="2" fontId="29" numFmtId="0" xfId="0" applyAlignment="1" applyBorder="1" applyFont="1">
      <alignment horizontal="center" readingOrder="0" vertical="center"/>
    </xf>
    <xf borderId="18" fillId="2" fontId="29" numFmtId="0" xfId="0" applyAlignment="1" applyBorder="1" applyFont="1">
      <alignment horizontal="center" vertical="center"/>
    </xf>
    <xf borderId="36" fillId="2" fontId="29" numFmtId="0" xfId="0" applyAlignment="1" applyBorder="1" applyFont="1">
      <alignment horizontal="center" readingOrder="0" vertical="center"/>
    </xf>
    <xf borderId="61" fillId="2" fontId="29" numFmtId="0" xfId="0" applyAlignment="1" applyBorder="1" applyFont="1">
      <alignment horizontal="center" readingOrder="0" vertical="center"/>
    </xf>
    <xf borderId="19" fillId="2" fontId="42" numFmtId="49" xfId="0" applyAlignment="1" applyBorder="1" applyFont="1" applyNumberFormat="1">
      <alignment horizontal="center" vertical="center"/>
    </xf>
    <xf borderId="18" fillId="2" fontId="42" numFmtId="49" xfId="0" applyAlignment="1" applyBorder="1" applyFont="1" applyNumberFormat="1">
      <alignment horizontal="center" vertical="center"/>
    </xf>
    <xf borderId="11" fillId="2" fontId="29" numFmtId="0" xfId="0" applyAlignment="1" applyBorder="1" applyFont="1">
      <alignment horizontal="center" vertical="center"/>
    </xf>
    <xf borderId="61" fillId="2" fontId="47" numFmtId="49" xfId="0" applyAlignment="1" applyBorder="1" applyFont="1" applyNumberFormat="1">
      <alignment horizontal="center" vertical="center"/>
    </xf>
    <xf borderId="36" fillId="2" fontId="29" numFmtId="0" xfId="0" applyAlignment="1" applyBorder="1" applyFont="1">
      <alignment horizontal="center" shrinkToFit="0" vertical="center" wrapText="1"/>
    </xf>
    <xf borderId="18" fillId="2" fontId="29" numFmtId="0" xfId="0" applyAlignment="1" applyBorder="1" applyFont="1">
      <alignment horizontal="center" readingOrder="0" shrinkToFit="0" vertical="center" wrapText="1"/>
    </xf>
    <xf borderId="11" fillId="2" fontId="29" numFmtId="0" xfId="0" applyAlignment="1" applyBorder="1" applyFont="1">
      <alignment horizontal="center" readingOrder="0" shrinkToFit="0" vertical="center" wrapText="1"/>
    </xf>
    <xf borderId="19" fillId="2" fontId="29" numFmtId="0" xfId="0" applyAlignment="1" applyBorder="1" applyFont="1">
      <alignment horizontal="center" shrinkToFit="0" vertical="center" wrapText="1"/>
    </xf>
    <xf borderId="19" fillId="2" fontId="29" numFmtId="0" xfId="0" applyAlignment="1" applyBorder="1" applyFont="1">
      <alignment horizontal="center" readingOrder="0" shrinkToFit="0" vertical="center" wrapText="1"/>
    </xf>
    <xf borderId="11" fillId="2" fontId="39" numFmtId="0" xfId="0" applyAlignment="1" applyBorder="1" applyFont="1">
      <alignment horizontal="left"/>
    </xf>
    <xf borderId="11" fillId="2" fontId="48" numFmtId="0" xfId="0" applyAlignment="1" applyBorder="1" applyFont="1">
      <alignment horizontal="left"/>
    </xf>
    <xf borderId="48" fillId="2" fontId="49" numFmtId="49" xfId="0" applyAlignment="1" applyBorder="1" applyFont="1" applyNumberFormat="1">
      <alignment horizontal="center" vertical="center"/>
    </xf>
    <xf borderId="50" fillId="2" fontId="29" numFmtId="49" xfId="0" applyAlignment="1" applyBorder="1" applyFont="1" applyNumberFormat="1">
      <alignment horizontal="center" readingOrder="0" vertical="center"/>
    </xf>
    <xf borderId="49" fillId="2" fontId="29" numFmtId="0" xfId="0" applyAlignment="1" applyBorder="1" applyFont="1">
      <alignment horizontal="center" readingOrder="0" shrinkToFit="0" vertical="center" wrapText="1"/>
    </xf>
    <xf borderId="62" fillId="2" fontId="29" numFmtId="0" xfId="0" applyAlignment="1" applyBorder="1" applyFont="1">
      <alignment horizontal="center" readingOrder="0" shrinkToFit="0" vertical="center" wrapText="1"/>
    </xf>
    <xf borderId="63" fillId="2" fontId="29" numFmtId="0" xfId="0" applyAlignment="1" applyBorder="1" applyFont="1">
      <alignment horizontal="center" readingOrder="0" shrinkToFit="0" vertical="center" wrapText="1"/>
    </xf>
    <xf borderId="63" fillId="4" fontId="29" numFmtId="49" xfId="0" applyAlignment="1" applyBorder="1" applyFont="1" applyNumberFormat="1">
      <alignment horizontal="center" vertical="center"/>
    </xf>
    <xf borderId="63" fillId="2" fontId="29" numFmtId="49" xfId="0" applyAlignment="1" applyBorder="1" applyFont="1" applyNumberFormat="1">
      <alignment horizontal="center" readingOrder="0" vertical="center"/>
    </xf>
    <xf borderId="64" fillId="2" fontId="29" numFmtId="0" xfId="0" applyAlignment="1" applyBorder="1" applyFont="1">
      <alignment horizontal="center" readingOrder="0" shrinkToFit="0" vertical="center" wrapText="1"/>
    </xf>
    <xf borderId="20" fillId="2" fontId="29" numFmtId="0" xfId="0" applyAlignment="1" applyBorder="1" applyFont="1">
      <alignment horizontal="center" readingOrder="0" shrinkToFit="0" vertical="center" wrapText="1"/>
    </xf>
    <xf borderId="21" fillId="2" fontId="29" numFmtId="0" xfId="0" applyAlignment="1" applyBorder="1" applyFont="1">
      <alignment horizontal="center" readingOrder="0" shrinkToFit="0" vertical="center" wrapText="1"/>
    </xf>
    <xf borderId="21" fillId="4" fontId="29" numFmtId="49" xfId="0" applyAlignment="1" applyBorder="1" applyFont="1" applyNumberFormat="1">
      <alignment horizontal="center" vertical="center"/>
    </xf>
    <xf borderId="21" fillId="2" fontId="29" numFmtId="49" xfId="0" applyAlignment="1" applyBorder="1" applyFont="1" applyNumberFormat="1">
      <alignment horizontal="center" readingOrder="0" vertical="center"/>
    </xf>
    <xf borderId="22" fillId="2" fontId="29" numFmtId="0" xfId="0" applyAlignment="1" applyBorder="1" applyFont="1">
      <alignment horizontal="center" readingOrder="0" shrinkToFit="0" vertical="center" wrapText="1"/>
    </xf>
    <xf borderId="21" fillId="2" fontId="29" numFmtId="0" xfId="0" applyAlignment="1" applyBorder="1" applyFont="1">
      <alignment horizontal="center" readingOrder="0" vertical="center"/>
    </xf>
    <xf borderId="22" fillId="2" fontId="29" numFmtId="49" xfId="0" applyAlignment="1" applyBorder="1" applyFont="1" applyNumberFormat="1">
      <alignment horizontal="center" readingOrder="0" vertical="center"/>
    </xf>
    <xf borderId="20" fillId="3" fontId="29" numFmtId="49" xfId="0" applyAlignment="1" applyBorder="1" applyFont="1" applyNumberFormat="1">
      <alignment horizontal="center" vertical="center"/>
    </xf>
    <xf borderId="21" fillId="3" fontId="29" numFmtId="49" xfId="0" applyAlignment="1" applyBorder="1" applyFont="1" applyNumberFormat="1">
      <alignment horizontal="center" vertical="center"/>
    </xf>
    <xf borderId="21" fillId="2" fontId="29" numFmtId="49" xfId="0" applyAlignment="1" applyBorder="1" applyFont="1" applyNumberForma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65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66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7" fillId="3" fontId="6" numFmtId="49" xfId="0" applyAlignment="1" applyBorder="1" applyFont="1" applyNumberFormat="1">
      <alignment horizontal="center" vertical="center"/>
    </xf>
    <xf borderId="45" fillId="15" fontId="6" numFmtId="49" xfId="0" applyAlignment="1" applyBorder="1" applyFill="1" applyFont="1" applyNumberFormat="1">
      <alignment horizontal="center" vertical="center"/>
    </xf>
    <xf borderId="47" fillId="15" fontId="6" numFmtId="49" xfId="0" applyAlignment="1" applyBorder="1" applyFont="1" applyNumberFormat="1">
      <alignment horizontal="center" vertical="center"/>
    </xf>
    <xf borderId="43" fillId="15" fontId="6" numFmtId="49" xfId="0" applyAlignment="1" applyBorder="1" applyFont="1" applyNumberFormat="1">
      <alignment horizontal="center" vertical="center"/>
    </xf>
    <xf borderId="67" fillId="0" fontId="10" numFmtId="49" xfId="0" applyAlignment="1" applyBorder="1" applyFont="1" applyNumberFormat="1">
      <alignment horizontal="center" vertical="center"/>
    </xf>
    <xf borderId="48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8" fillId="14" fontId="6" numFmtId="49" xfId="0" applyAlignment="1" applyBorder="1" applyFont="1" applyNumberFormat="1">
      <alignment horizontal="center" vertical="center"/>
    </xf>
    <xf borderId="69" fillId="0" fontId="31" numFmtId="49" xfId="0" applyAlignment="1" applyBorder="1" applyFont="1" applyNumberFormat="1">
      <alignment horizontal="center" vertical="center"/>
    </xf>
    <xf borderId="58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70" fillId="3" fontId="29" numFmtId="0" xfId="0" applyAlignment="1" applyBorder="1" applyFont="1">
      <alignment horizontal="center" vertical="center"/>
    </xf>
    <xf borderId="71" fillId="0" fontId="31" numFmtId="49" xfId="0" applyAlignment="1" applyBorder="1" applyFont="1" applyNumberFormat="1">
      <alignment horizontal="center" vertical="center"/>
    </xf>
    <xf borderId="61" fillId="3" fontId="29" numFmtId="0" xfId="0" applyAlignment="1" applyBorder="1" applyFont="1">
      <alignment horizontal="center" vertical="center"/>
    </xf>
    <xf borderId="72" fillId="3" fontId="29" numFmtId="0" xfId="0" applyAlignment="1" applyBorder="1" applyFont="1">
      <alignment horizontal="center" vertical="center"/>
    </xf>
    <xf borderId="61" fillId="3" fontId="30" numFmtId="0" xfId="0" applyAlignment="1" applyBorder="1" applyFont="1">
      <alignment horizontal="center" vertical="center"/>
    </xf>
    <xf borderId="72" fillId="3" fontId="30" numFmtId="0" xfId="0" applyAlignment="1" applyBorder="1" applyFont="1">
      <alignment horizontal="center" vertical="center"/>
    </xf>
    <xf borderId="73" fillId="0" fontId="50" numFmtId="49" xfId="0" applyAlignment="1" applyBorder="1" applyFont="1" applyNumberFormat="1">
      <alignment horizontal="center" vertical="center"/>
    </xf>
    <xf borderId="48" fillId="2" fontId="51" numFmtId="0" xfId="0" applyAlignment="1" applyBorder="1" applyFont="1">
      <alignment horizontal="center" vertical="center"/>
    </xf>
    <xf borderId="50" fillId="2" fontId="51" numFmtId="0" xfId="0" applyAlignment="1" applyBorder="1" applyFont="1">
      <alignment horizontal="center" vertical="center"/>
    </xf>
    <xf borderId="68" fillId="2" fontId="31" numFmtId="0" xfId="0" applyAlignment="1" applyBorder="1" applyFont="1">
      <alignment horizontal="center" vertical="center"/>
    </xf>
    <xf borderId="48" fillId="2" fontId="31" numFmtId="0" xfId="0" applyAlignment="1" applyBorder="1" applyFont="1">
      <alignment horizontal="center" vertical="center"/>
    </xf>
    <xf borderId="50" fillId="3" fontId="31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68" fillId="2" fontId="51" numFmtId="0" xfId="0" applyAlignment="1" applyBorder="1" applyFont="1">
      <alignment horizontal="center" vertical="center"/>
    </xf>
    <xf borderId="0" fillId="0" fontId="52" numFmtId="0" xfId="0" applyFont="1"/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69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7" fillId="0" fontId="33" numFmtId="49" xfId="0" applyAlignment="1" applyBorder="1" applyFont="1" applyNumberFormat="1">
      <alignment horizontal="center"/>
    </xf>
    <xf borderId="71" fillId="0" fontId="33" numFmtId="49" xfId="0" applyAlignment="1" applyBorder="1" applyFont="1" applyNumberFormat="1">
      <alignment horizontal="center"/>
    </xf>
    <xf borderId="61" fillId="0" fontId="33" numFmtId="49" xfId="0" applyAlignment="1" applyBorder="1" applyFont="1" applyNumberFormat="1">
      <alignment horizontal="center"/>
    </xf>
    <xf borderId="72" fillId="0" fontId="33" numFmtId="49" xfId="0" applyAlignment="1" applyBorder="1" applyFont="1" applyNumberFormat="1">
      <alignment horizontal="center"/>
    </xf>
    <xf borderId="61" fillId="0" fontId="33" numFmtId="0" xfId="0" applyAlignment="1" applyBorder="1" applyFont="1">
      <alignment horizontal="center"/>
    </xf>
    <xf borderId="72" fillId="0" fontId="33" numFmtId="0" xfId="0" applyAlignment="1" applyBorder="1" applyFont="1">
      <alignment horizontal="center"/>
    </xf>
    <xf borderId="73" fillId="0" fontId="33" numFmtId="49" xfId="0" applyAlignment="1" applyBorder="1" applyFont="1" applyNumberFormat="1">
      <alignment horizontal="center"/>
    </xf>
    <xf borderId="48" fillId="15" fontId="33" numFmtId="0" xfId="0" applyAlignment="1" applyBorder="1" applyFont="1">
      <alignment horizontal="center"/>
    </xf>
    <xf borderId="50" fillId="15" fontId="33" numFmtId="0" xfId="0" applyAlignment="1" applyBorder="1" applyFont="1">
      <alignment horizontal="center"/>
    </xf>
    <xf borderId="68" fillId="0" fontId="33" numFmtId="0" xfId="0" applyAlignment="1" applyBorder="1" applyFont="1">
      <alignment horizontal="center"/>
    </xf>
    <xf borderId="48" fillId="0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68" fillId="15" fontId="33" numFmtId="0" xfId="0" applyAlignment="1" applyBorder="1" applyFont="1">
      <alignment horizontal="center"/>
    </xf>
    <xf borderId="0" fillId="16" fontId="53" numFmtId="0" xfId="0" applyAlignment="1" applyFill="1" applyFont="1">
      <alignment horizontal="center"/>
    </xf>
    <xf borderId="0" fillId="0" fontId="54" numFmtId="0" xfId="0" applyAlignment="1" applyFont="1">
      <alignment readingOrder="0" shrinkToFit="0" textRotation="0" wrapText="0"/>
    </xf>
    <xf borderId="0" fillId="0" fontId="54" numFmtId="0" xfId="0" applyAlignment="1" applyFont="1">
      <alignment shrinkToFit="0" textRotation="0" wrapText="0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61</v>
      </c>
      <c r="B1" s="162">
        <v>0.0</v>
      </c>
    </row>
    <row r="2">
      <c r="A2" s="162" t="s">
        <v>64</v>
      </c>
      <c r="B2" s="162">
        <v>0.0</v>
      </c>
    </row>
    <row r="3">
      <c r="A3" s="162" t="s">
        <v>189</v>
      </c>
      <c r="B3" s="162">
        <v>0.0</v>
      </c>
    </row>
    <row r="4">
      <c r="A4" s="162" t="s">
        <v>79</v>
      </c>
      <c r="B4" s="162">
        <v>0.0</v>
      </c>
    </row>
    <row r="5">
      <c r="A5" s="162" t="s">
        <v>91</v>
      </c>
      <c r="B5" s="162">
        <v>0.0</v>
      </c>
    </row>
    <row r="6">
      <c r="A6" s="162" t="s">
        <v>106</v>
      </c>
      <c r="B6" s="162">
        <v>6.0</v>
      </c>
    </row>
    <row r="7">
      <c r="A7" s="162" t="s">
        <v>109</v>
      </c>
      <c r="B7" s="162">
        <v>0.0</v>
      </c>
    </row>
    <row r="8">
      <c r="A8" s="162" t="s">
        <v>115</v>
      </c>
      <c r="B8" s="162">
        <v>0.0</v>
      </c>
    </row>
    <row r="9">
      <c r="A9" s="161" t="s">
        <v>127</v>
      </c>
      <c r="B9" s="162">
        <v>0.0</v>
      </c>
    </row>
    <row r="10">
      <c r="A10" s="162" t="s">
        <v>190</v>
      </c>
      <c r="B10" s="162">
        <v>1.0</v>
      </c>
    </row>
    <row r="11">
      <c r="A11" s="162" t="s">
        <v>136</v>
      </c>
      <c r="B11" s="162">
        <v>0.0</v>
      </c>
    </row>
    <row r="12">
      <c r="A12" s="162" t="s">
        <v>152</v>
      </c>
      <c r="B12" s="162">
        <v>1.0</v>
      </c>
    </row>
    <row r="13">
      <c r="A13" s="162" t="s">
        <v>173</v>
      </c>
      <c r="B13" s="162">
        <v>0.0</v>
      </c>
    </row>
    <row r="14">
      <c r="A14" s="162" t="s">
        <v>167</v>
      </c>
      <c r="B14" s="162">
        <v>3.0</v>
      </c>
    </row>
    <row r="15">
      <c r="A15" s="162" t="s">
        <v>164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191</v>
      </c>
      <c r="B1" s="164">
        <v>46210.0</v>
      </c>
    </row>
    <row r="2">
      <c r="A2" s="163" t="s">
        <v>192</v>
      </c>
      <c r="B2" s="165" t="s">
        <v>193</v>
      </c>
    </row>
    <row r="3">
      <c r="A3" s="163" t="s">
        <v>194</v>
      </c>
      <c r="B3" s="165" t="s">
        <v>195</v>
      </c>
    </row>
    <row r="4">
      <c r="A4" s="163" t="s">
        <v>196</v>
      </c>
      <c r="B4" s="166">
        <v>46363.0</v>
      </c>
    </row>
    <row r="5">
      <c r="A5" s="163" t="s">
        <v>197</v>
      </c>
      <c r="B5" s="163" t="s">
        <v>198</v>
      </c>
    </row>
    <row r="6">
      <c r="A6" s="163" t="s">
        <v>199</v>
      </c>
      <c r="B6" s="163" t="s">
        <v>200</v>
      </c>
    </row>
    <row r="7">
      <c r="A7" s="163" t="s">
        <v>147</v>
      </c>
      <c r="B7" s="163" t="s">
        <v>201</v>
      </c>
    </row>
    <row r="8">
      <c r="A8" s="163" t="s">
        <v>202</v>
      </c>
      <c r="B8" s="163" t="s">
        <v>203</v>
      </c>
    </row>
    <row r="9">
      <c r="A9" s="163" t="s">
        <v>204</v>
      </c>
      <c r="B9" s="163" t="s">
        <v>205</v>
      </c>
    </row>
    <row r="10">
      <c r="A10" s="163" t="s">
        <v>206</v>
      </c>
      <c r="B10" s="163" t="s">
        <v>207</v>
      </c>
    </row>
    <row r="11">
      <c r="A11" s="163" t="s">
        <v>208</v>
      </c>
      <c r="B11" s="163" t="s">
        <v>209</v>
      </c>
    </row>
    <row r="12">
      <c r="A12" s="163" t="s">
        <v>210</v>
      </c>
      <c r="B12" s="163" t="s">
        <v>211</v>
      </c>
    </row>
    <row r="13">
      <c r="A13" s="163" t="s">
        <v>212</v>
      </c>
      <c r="B13" s="163" t="s">
        <v>213</v>
      </c>
      <c r="C13" s="163" t="s">
        <v>214</v>
      </c>
    </row>
    <row r="14">
      <c r="B14" s="163" t="s">
        <v>215</v>
      </c>
      <c r="C14" s="163" t="s">
        <v>216</v>
      </c>
    </row>
    <row r="15">
      <c r="A15" s="163" t="s">
        <v>217</v>
      </c>
      <c r="B15" s="166">
        <v>46060.0</v>
      </c>
      <c r="C15" s="163" t="s">
        <v>214</v>
      </c>
    </row>
    <row r="16">
      <c r="B16" s="166">
        <v>46088.0</v>
      </c>
      <c r="C16" s="163" t="s">
        <v>216</v>
      </c>
    </row>
    <row r="17">
      <c r="A17" s="163" t="s">
        <v>218</v>
      </c>
      <c r="B17" s="163" t="s">
        <v>219</v>
      </c>
      <c r="C17" s="163" t="s">
        <v>216</v>
      </c>
    </row>
    <row r="18">
      <c r="B18" s="166">
        <v>46241.0</v>
      </c>
      <c r="C18" s="163" t="s">
        <v>214</v>
      </c>
    </row>
    <row r="19">
      <c r="A19" s="163" t="s">
        <v>220</v>
      </c>
      <c r="B19" s="163" t="s">
        <v>221</v>
      </c>
      <c r="C19" s="163" t="s">
        <v>216</v>
      </c>
    </row>
    <row r="20">
      <c r="B20" s="163" t="s">
        <v>222</v>
      </c>
      <c r="C20" s="163" t="s">
        <v>214</v>
      </c>
    </row>
    <row r="21" ht="15.75" customHeight="1">
      <c r="A21" s="163" t="s">
        <v>223</v>
      </c>
      <c r="B21" s="163" t="s">
        <v>224</v>
      </c>
      <c r="C21" s="163" t="s">
        <v>214</v>
      </c>
    </row>
    <row r="22" ht="15.75" customHeight="1">
      <c r="B22" s="163" t="s">
        <v>215</v>
      </c>
      <c r="C22" s="163" t="s">
        <v>216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38"/>
    <col customWidth="1" min="2" max="2" width="5.0"/>
    <col customWidth="1" min="3" max="32" width="3.88"/>
    <col customWidth="1" min="33" max="33" width="3.63"/>
    <col customWidth="1" min="34" max="41" width="3.75"/>
    <col customWidth="1" min="42" max="46" width="8.0"/>
  </cols>
  <sheetData>
    <row r="1" ht="21.0" customHeight="1">
      <c r="A1" s="167" t="s">
        <v>225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226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227</v>
      </c>
      <c r="AB1" s="3"/>
      <c r="AC1" s="3"/>
      <c r="AD1" s="3"/>
      <c r="AE1" s="3"/>
      <c r="AF1" s="170"/>
      <c r="AG1" s="171"/>
      <c r="AH1" s="171"/>
      <c r="AI1" s="171"/>
      <c r="AJ1" s="172"/>
      <c r="AK1" s="172"/>
      <c r="AL1" s="172"/>
      <c r="AM1" s="173"/>
      <c r="AN1" s="173"/>
      <c r="AO1" s="173"/>
      <c r="AP1" s="173"/>
      <c r="AQ1" s="173"/>
      <c r="AR1" s="173"/>
      <c r="AS1" s="173"/>
      <c r="AT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228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80"/>
      <c r="AH2" s="180"/>
      <c r="AI2" s="180"/>
      <c r="AJ2" s="181"/>
      <c r="AK2" s="181"/>
      <c r="AL2" s="181"/>
      <c r="AM2" s="182"/>
      <c r="AN2" s="182"/>
      <c r="AO2" s="182"/>
      <c r="AP2" s="182"/>
      <c r="AQ2" s="182"/>
      <c r="AR2" s="182"/>
      <c r="AS2" s="182"/>
      <c r="AT2" s="182"/>
    </row>
    <row r="3" ht="18.75" customHeight="1">
      <c r="A3" s="183" t="s">
        <v>229</v>
      </c>
      <c r="B3" s="184" t="s">
        <v>5</v>
      </c>
      <c r="C3" s="185" t="s">
        <v>8</v>
      </c>
      <c r="D3" s="186" t="s">
        <v>9</v>
      </c>
      <c r="E3" s="187" t="s">
        <v>10</v>
      </c>
      <c r="F3" s="188" t="s">
        <v>11</v>
      </c>
      <c r="G3" s="189" t="s">
        <v>12</v>
      </c>
      <c r="H3" s="189" t="s">
        <v>13</v>
      </c>
      <c r="I3" s="189" t="s">
        <v>7</v>
      </c>
      <c r="J3" s="189" t="s">
        <v>8</v>
      </c>
      <c r="K3" s="189" t="s">
        <v>9</v>
      </c>
      <c r="L3" s="190" t="s">
        <v>10</v>
      </c>
      <c r="M3" s="188" t="s">
        <v>11</v>
      </c>
      <c r="N3" s="189" t="s">
        <v>12</v>
      </c>
      <c r="O3" s="189" t="s">
        <v>13</v>
      </c>
      <c r="P3" s="189" t="s">
        <v>7</v>
      </c>
      <c r="Q3" s="189" t="s">
        <v>8</v>
      </c>
      <c r="R3" s="189" t="s">
        <v>9</v>
      </c>
      <c r="S3" s="190" t="s">
        <v>10</v>
      </c>
      <c r="T3" s="188" t="s">
        <v>11</v>
      </c>
      <c r="U3" s="189" t="s">
        <v>12</v>
      </c>
      <c r="V3" s="189" t="s">
        <v>13</v>
      </c>
      <c r="W3" s="189" t="s">
        <v>7</v>
      </c>
      <c r="X3" s="189" t="s">
        <v>8</v>
      </c>
      <c r="Y3" s="189" t="s">
        <v>9</v>
      </c>
      <c r="Z3" s="190" t="s">
        <v>10</v>
      </c>
      <c r="AA3" s="191" t="s">
        <v>11</v>
      </c>
      <c r="AB3" s="186" t="s">
        <v>12</v>
      </c>
      <c r="AC3" s="186" t="s">
        <v>13</v>
      </c>
      <c r="AD3" s="186" t="s">
        <v>7</v>
      </c>
      <c r="AE3" s="186" t="s">
        <v>8</v>
      </c>
      <c r="AF3" s="192" t="s">
        <v>9</v>
      </c>
      <c r="AG3" s="193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94"/>
      <c r="B4" s="195"/>
      <c r="C4" s="196" t="s">
        <v>14</v>
      </c>
      <c r="D4" s="197" t="s">
        <v>15</v>
      </c>
      <c r="E4" s="198" t="s">
        <v>16</v>
      </c>
      <c r="F4" s="199" t="s">
        <v>230</v>
      </c>
      <c r="G4" s="200" t="s">
        <v>231</v>
      </c>
      <c r="H4" s="200" t="s">
        <v>17</v>
      </c>
      <c r="I4" s="200" t="s">
        <v>18</v>
      </c>
      <c r="J4" s="200" t="s">
        <v>19</v>
      </c>
      <c r="K4" s="200" t="s">
        <v>20</v>
      </c>
      <c r="L4" s="201" t="s">
        <v>21</v>
      </c>
      <c r="M4" s="202" t="s">
        <v>22</v>
      </c>
      <c r="N4" s="197" t="s">
        <v>23</v>
      </c>
      <c r="O4" s="197" t="s">
        <v>24</v>
      </c>
      <c r="P4" s="197" t="s">
        <v>25</v>
      </c>
      <c r="Q4" s="197" t="s">
        <v>26</v>
      </c>
      <c r="R4" s="197" t="s">
        <v>27</v>
      </c>
      <c r="S4" s="203" t="s">
        <v>28</v>
      </c>
      <c r="T4" s="202" t="s">
        <v>29</v>
      </c>
      <c r="U4" s="197" t="s">
        <v>30</v>
      </c>
      <c r="V4" s="197" t="s">
        <v>31</v>
      </c>
      <c r="W4" s="197" t="s">
        <v>32</v>
      </c>
      <c r="X4" s="197" t="s">
        <v>33</v>
      </c>
      <c r="Y4" s="197" t="s">
        <v>34</v>
      </c>
      <c r="Z4" s="203" t="s">
        <v>35</v>
      </c>
      <c r="AA4" s="204" t="s">
        <v>36</v>
      </c>
      <c r="AB4" s="200" t="s">
        <v>37</v>
      </c>
      <c r="AC4" s="200" t="s">
        <v>38</v>
      </c>
      <c r="AD4" s="200" t="s">
        <v>39</v>
      </c>
      <c r="AE4" s="200" t="s">
        <v>40</v>
      </c>
      <c r="AF4" s="205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2.75" customHeight="1">
      <c r="A5" s="206" t="s">
        <v>232</v>
      </c>
      <c r="B5" s="207" t="s">
        <v>59</v>
      </c>
      <c r="C5" s="208" t="s">
        <v>43</v>
      </c>
      <c r="D5" s="209" t="s">
        <v>53</v>
      </c>
      <c r="E5" s="210" t="s">
        <v>53</v>
      </c>
      <c r="F5" s="211" t="s">
        <v>47</v>
      </c>
      <c r="G5" s="212" t="s">
        <v>46</v>
      </c>
      <c r="H5" s="212" t="s">
        <v>46</v>
      </c>
      <c r="I5" s="212" t="s">
        <v>45</v>
      </c>
      <c r="J5" s="212" t="s">
        <v>43</v>
      </c>
      <c r="K5" s="213" t="s">
        <v>53</v>
      </c>
      <c r="L5" s="214" t="s">
        <v>53</v>
      </c>
      <c r="M5" s="215" t="s">
        <v>47</v>
      </c>
      <c r="N5" s="216" t="s">
        <v>45</v>
      </c>
      <c r="O5" s="216" t="s">
        <v>45</v>
      </c>
      <c r="P5" s="216" t="s">
        <v>45</v>
      </c>
      <c r="Q5" s="216" t="s">
        <v>44</v>
      </c>
      <c r="R5" s="209" t="s">
        <v>53</v>
      </c>
      <c r="S5" s="217" t="s">
        <v>53</v>
      </c>
      <c r="T5" s="218" t="s">
        <v>45</v>
      </c>
      <c r="U5" s="216" t="s">
        <v>45</v>
      </c>
      <c r="V5" s="219" t="s">
        <v>48</v>
      </c>
      <c r="W5" s="219" t="s">
        <v>48</v>
      </c>
      <c r="X5" s="219" t="s">
        <v>48</v>
      </c>
      <c r="Y5" s="209" t="s">
        <v>53</v>
      </c>
      <c r="Z5" s="217" t="s">
        <v>53</v>
      </c>
      <c r="AA5" s="220" t="s">
        <v>45</v>
      </c>
      <c r="AB5" s="212" t="s">
        <v>45</v>
      </c>
      <c r="AC5" s="212" t="s">
        <v>45</v>
      </c>
      <c r="AD5" s="212" t="s">
        <v>44</v>
      </c>
      <c r="AE5" s="212" t="s">
        <v>44</v>
      </c>
      <c r="AF5" s="214" t="s">
        <v>53</v>
      </c>
      <c r="AG5" s="25"/>
      <c r="AH5" s="47">
        <f t="shared" ref="AH5:AH46" si="2">SUM(AI5:AJ5)</f>
        <v>5</v>
      </c>
      <c r="AI5" s="48">
        <f t="shared" ref="AI5:AI46" si="3">COUNTIF($C5:$AF5,"D5")</f>
        <v>2</v>
      </c>
      <c r="AJ5" s="48">
        <f t="shared" ref="AJ5:AJ46" si="4">COUNTIF($C5:$AF5,"C6")</f>
        <v>3</v>
      </c>
      <c r="AK5" s="49">
        <f t="shared" ref="AK5:AK46" si="5">COUNTIF($C5:$AF5,"B5")</f>
        <v>9</v>
      </c>
      <c r="AL5" s="50">
        <f t="shared" ref="AL5:AL46" si="6">COUNTIF($C5:$AF5,"A8")</f>
        <v>2</v>
      </c>
      <c r="AM5" s="51">
        <f t="shared" ref="AM5:AM46" si="7">COUNTIF($C5:$AF5,"A2")</f>
        <v>2</v>
      </c>
      <c r="AN5" s="52">
        <f t="shared" ref="AN5:AO5" si="1">COUNTIF($C5:$AF5,"PH")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12.75" customHeight="1">
      <c r="A6" s="221" t="s">
        <v>233</v>
      </c>
      <c r="B6" s="222" t="s">
        <v>62</v>
      </c>
      <c r="C6" s="223" t="s">
        <v>44</v>
      </c>
      <c r="D6" s="224" t="s">
        <v>53</v>
      </c>
      <c r="E6" s="225" t="s">
        <v>53</v>
      </c>
      <c r="F6" s="226" t="s">
        <v>49</v>
      </c>
      <c r="G6" s="227" t="s">
        <v>45</v>
      </c>
      <c r="H6" s="227" t="s">
        <v>45</v>
      </c>
      <c r="I6" s="227" t="s">
        <v>44</v>
      </c>
      <c r="J6" s="228" t="s">
        <v>44</v>
      </c>
      <c r="K6" s="224" t="s">
        <v>53</v>
      </c>
      <c r="L6" s="229" t="s">
        <v>53</v>
      </c>
      <c r="M6" s="230" t="s">
        <v>47</v>
      </c>
      <c r="N6" s="227" t="s">
        <v>47</v>
      </c>
      <c r="O6" s="227" t="s">
        <v>47</v>
      </c>
      <c r="P6" s="227" t="s">
        <v>45</v>
      </c>
      <c r="Q6" s="227" t="s">
        <v>45</v>
      </c>
      <c r="R6" s="224" t="s">
        <v>53</v>
      </c>
      <c r="S6" s="229" t="s">
        <v>53</v>
      </c>
      <c r="T6" s="231" t="s">
        <v>46</v>
      </c>
      <c r="U6" s="227" t="s">
        <v>46</v>
      </c>
      <c r="V6" s="227" t="s">
        <v>45</v>
      </c>
      <c r="W6" s="227" t="s">
        <v>44</v>
      </c>
      <c r="X6" s="227" t="s">
        <v>43</v>
      </c>
      <c r="Y6" s="224" t="s">
        <v>53</v>
      </c>
      <c r="Z6" s="229" t="s">
        <v>53</v>
      </c>
      <c r="AA6" s="231" t="s">
        <v>45</v>
      </c>
      <c r="AB6" s="227" t="s">
        <v>45</v>
      </c>
      <c r="AC6" s="227" t="s">
        <v>45</v>
      </c>
      <c r="AD6" s="227" t="s">
        <v>43</v>
      </c>
      <c r="AE6" s="227" t="s">
        <v>234</v>
      </c>
      <c r="AF6" s="229" t="s">
        <v>53</v>
      </c>
      <c r="AG6" s="25"/>
      <c r="AH6" s="47">
        <f t="shared" si="2"/>
        <v>6</v>
      </c>
      <c r="AI6" s="48">
        <f t="shared" si="3"/>
        <v>2</v>
      </c>
      <c r="AJ6" s="48">
        <f t="shared" si="4"/>
        <v>4</v>
      </c>
      <c r="AK6" s="49">
        <f t="shared" si="5"/>
        <v>8</v>
      </c>
      <c r="AL6" s="50">
        <f t="shared" si="6"/>
        <v>2</v>
      </c>
      <c r="AM6" s="51">
        <f t="shared" si="7"/>
        <v>3</v>
      </c>
      <c r="AN6" s="52">
        <f t="shared" ref="AN6:AO6" si="8">COUNTIF($C6:$AF6,"PH")</f>
        <v>1</v>
      </c>
      <c r="AO6" s="52">
        <f t="shared" si="8"/>
        <v>1</v>
      </c>
      <c r="AP6" s="67"/>
      <c r="AQ6" s="67"/>
      <c r="AR6" s="67"/>
      <c r="AS6" s="67"/>
      <c r="AT6" s="67"/>
    </row>
    <row r="7" ht="12.75" customHeight="1">
      <c r="A7" s="232" t="s">
        <v>235</v>
      </c>
      <c r="B7" s="222" t="s">
        <v>65</v>
      </c>
      <c r="C7" s="233" t="s">
        <v>47</v>
      </c>
      <c r="D7" s="228" t="s">
        <v>43</v>
      </c>
      <c r="E7" s="225" t="s">
        <v>53</v>
      </c>
      <c r="F7" s="234" t="s">
        <v>53</v>
      </c>
      <c r="G7" s="227" t="s">
        <v>47</v>
      </c>
      <c r="H7" s="227" t="s">
        <v>47</v>
      </c>
      <c r="I7" s="227" t="s">
        <v>43</v>
      </c>
      <c r="J7" s="227" t="s">
        <v>43</v>
      </c>
      <c r="K7" s="227" t="s">
        <v>43</v>
      </c>
      <c r="L7" s="229" t="s">
        <v>53</v>
      </c>
      <c r="M7" s="234" t="s">
        <v>53</v>
      </c>
      <c r="N7" s="235" t="s">
        <v>47</v>
      </c>
      <c r="O7" s="235" t="s">
        <v>47</v>
      </c>
      <c r="P7" s="227" t="s">
        <v>47</v>
      </c>
      <c r="Q7" s="227" t="s">
        <v>43</v>
      </c>
      <c r="R7" s="227" t="s">
        <v>43</v>
      </c>
      <c r="S7" s="229" t="s">
        <v>53</v>
      </c>
      <c r="T7" s="234" t="s">
        <v>53</v>
      </c>
      <c r="U7" s="235" t="s">
        <v>47</v>
      </c>
      <c r="V7" s="235" t="s">
        <v>47</v>
      </c>
      <c r="W7" s="227" t="s">
        <v>43</v>
      </c>
      <c r="X7" s="227" t="s">
        <v>43</v>
      </c>
      <c r="Y7" s="227" t="s">
        <v>43</v>
      </c>
      <c r="Z7" s="229" t="s">
        <v>53</v>
      </c>
      <c r="AA7" s="234" t="s">
        <v>53</v>
      </c>
      <c r="AB7" s="236" t="s">
        <v>49</v>
      </c>
      <c r="AC7" s="236" t="s">
        <v>49</v>
      </c>
      <c r="AD7" s="237" t="s">
        <v>48</v>
      </c>
      <c r="AE7" s="237" t="s">
        <v>48</v>
      </c>
      <c r="AF7" s="237" t="s">
        <v>48</v>
      </c>
      <c r="AG7" s="25"/>
      <c r="AH7" s="47">
        <f t="shared" si="2"/>
        <v>9</v>
      </c>
      <c r="AI7" s="48">
        <f t="shared" si="3"/>
        <v>9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8</v>
      </c>
      <c r="AN7" s="52">
        <f t="shared" ref="AN7:AO7" si="9">COUNTIF($C7:$AF7,"PH")</f>
        <v>2</v>
      </c>
      <c r="AO7" s="52">
        <f t="shared" si="9"/>
        <v>2</v>
      </c>
      <c r="AP7" s="67"/>
      <c r="AQ7" s="67"/>
      <c r="AR7" s="67"/>
      <c r="AS7" s="67"/>
      <c r="AT7" s="67"/>
    </row>
    <row r="8" ht="12.75" customHeight="1">
      <c r="A8" s="221" t="s">
        <v>236</v>
      </c>
      <c r="B8" s="222" t="s">
        <v>68</v>
      </c>
      <c r="C8" s="238" t="s">
        <v>46</v>
      </c>
      <c r="D8" s="239" t="s">
        <v>46</v>
      </c>
      <c r="E8" s="225" t="s">
        <v>53</v>
      </c>
      <c r="F8" s="234" t="s">
        <v>53</v>
      </c>
      <c r="G8" s="240" t="s">
        <v>47</v>
      </c>
      <c r="H8" s="241" t="s">
        <v>47</v>
      </c>
      <c r="I8" s="241" t="s">
        <v>47</v>
      </c>
      <c r="J8" s="240" t="s">
        <v>47</v>
      </c>
      <c r="K8" s="242" t="s">
        <v>46</v>
      </c>
      <c r="L8" s="229" t="s">
        <v>53</v>
      </c>
      <c r="M8" s="234" t="s">
        <v>53</v>
      </c>
      <c r="N8" s="240" t="s">
        <v>47</v>
      </c>
      <c r="O8" s="242" t="s">
        <v>46</v>
      </c>
      <c r="P8" s="236" t="s">
        <v>49</v>
      </c>
      <c r="Q8" s="237" t="s">
        <v>48</v>
      </c>
      <c r="R8" s="237" t="s">
        <v>48</v>
      </c>
      <c r="S8" s="229" t="s">
        <v>53</v>
      </c>
      <c r="T8" s="234" t="s">
        <v>53</v>
      </c>
      <c r="U8" s="240" t="s">
        <v>47</v>
      </c>
      <c r="V8" s="240" t="s">
        <v>47</v>
      </c>
      <c r="W8" s="242" t="s">
        <v>46</v>
      </c>
      <c r="X8" s="242" t="s">
        <v>46</v>
      </c>
      <c r="Y8" s="242" t="s">
        <v>46</v>
      </c>
      <c r="Z8" s="229" t="s">
        <v>53</v>
      </c>
      <c r="AA8" s="234" t="s">
        <v>53</v>
      </c>
      <c r="AB8" s="240" t="s">
        <v>47</v>
      </c>
      <c r="AC8" s="242" t="s">
        <v>46</v>
      </c>
      <c r="AD8" s="242" t="s">
        <v>46</v>
      </c>
      <c r="AE8" s="242" t="s">
        <v>46</v>
      </c>
      <c r="AF8" s="243" t="s">
        <v>46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11</v>
      </c>
      <c r="AM8" s="51">
        <f t="shared" si="7"/>
        <v>8</v>
      </c>
      <c r="AN8" s="52">
        <f t="shared" ref="AN8:AO8" si="10">COUNTIF($C8:$AF8,"PH")</f>
        <v>1</v>
      </c>
      <c r="AO8" s="52">
        <f t="shared" si="10"/>
        <v>1</v>
      </c>
      <c r="AP8" s="67"/>
      <c r="AQ8" s="67"/>
      <c r="AR8" s="67"/>
      <c r="AS8" s="67"/>
      <c r="AT8" s="67"/>
    </row>
    <row r="9" ht="12.75" customHeight="1">
      <c r="A9" s="221" t="s">
        <v>237</v>
      </c>
      <c r="B9" s="222" t="s">
        <v>71</v>
      </c>
      <c r="C9" s="223" t="s">
        <v>43</v>
      </c>
      <c r="D9" s="224" t="s">
        <v>53</v>
      </c>
      <c r="E9" s="225" t="s">
        <v>53</v>
      </c>
      <c r="F9" s="226" t="s">
        <v>49</v>
      </c>
      <c r="G9" s="236" t="s">
        <v>49</v>
      </c>
      <c r="H9" s="237" t="s">
        <v>48</v>
      </c>
      <c r="I9" s="227" t="s">
        <v>46</v>
      </c>
      <c r="J9" s="228" t="s">
        <v>45</v>
      </c>
      <c r="K9" s="224" t="s">
        <v>53</v>
      </c>
      <c r="L9" s="229" t="s">
        <v>53</v>
      </c>
      <c r="M9" s="231" t="s">
        <v>44</v>
      </c>
      <c r="N9" s="227" t="s">
        <v>44</v>
      </c>
      <c r="O9" s="237" t="s">
        <v>48</v>
      </c>
      <c r="P9" s="227" t="s">
        <v>44</v>
      </c>
      <c r="Q9" s="227" t="s">
        <v>43</v>
      </c>
      <c r="R9" s="224" t="s">
        <v>53</v>
      </c>
      <c r="S9" s="229" t="s">
        <v>53</v>
      </c>
      <c r="T9" s="231" t="s">
        <v>46</v>
      </c>
      <c r="U9" s="227" t="s">
        <v>45</v>
      </c>
      <c r="V9" s="237" t="s">
        <v>48</v>
      </c>
      <c r="W9" s="237" t="s">
        <v>48</v>
      </c>
      <c r="X9" s="237" t="s">
        <v>48</v>
      </c>
      <c r="Y9" s="224" t="s">
        <v>53</v>
      </c>
      <c r="Z9" s="229" t="s">
        <v>53</v>
      </c>
      <c r="AA9" s="230" t="s">
        <v>47</v>
      </c>
      <c r="AB9" s="227" t="s">
        <v>45</v>
      </c>
      <c r="AC9" s="237" t="s">
        <v>48</v>
      </c>
      <c r="AD9" s="227" t="s">
        <v>45</v>
      </c>
      <c r="AE9" s="228" t="s">
        <v>45</v>
      </c>
      <c r="AF9" s="229" t="s">
        <v>53</v>
      </c>
      <c r="AG9" s="25"/>
      <c r="AH9" s="47">
        <f t="shared" si="2"/>
        <v>5</v>
      </c>
      <c r="AI9" s="48">
        <f t="shared" si="3"/>
        <v>2</v>
      </c>
      <c r="AJ9" s="48">
        <f t="shared" si="4"/>
        <v>3</v>
      </c>
      <c r="AK9" s="49">
        <f t="shared" si="5"/>
        <v>5</v>
      </c>
      <c r="AL9" s="50">
        <f t="shared" si="6"/>
        <v>2</v>
      </c>
      <c r="AM9" s="51">
        <f t="shared" si="7"/>
        <v>1</v>
      </c>
      <c r="AN9" s="52">
        <f t="shared" ref="AN9:AO9" si="11">COUNTIF($C9:$AF9,"PH")</f>
        <v>2</v>
      </c>
      <c r="AO9" s="52">
        <f t="shared" si="11"/>
        <v>2</v>
      </c>
      <c r="AP9" s="67"/>
      <c r="AQ9" s="67"/>
      <c r="AR9" s="67"/>
      <c r="AS9" s="67"/>
      <c r="AT9" s="67"/>
    </row>
    <row r="10" ht="12.75" customHeight="1">
      <c r="A10" s="232" t="s">
        <v>238</v>
      </c>
      <c r="B10" s="222" t="s">
        <v>74</v>
      </c>
      <c r="C10" s="244" t="s">
        <v>47</v>
      </c>
      <c r="D10" s="227" t="s">
        <v>43</v>
      </c>
      <c r="E10" s="225" t="s">
        <v>53</v>
      </c>
      <c r="F10" s="234" t="s">
        <v>53</v>
      </c>
      <c r="G10" s="227" t="s">
        <v>46</v>
      </c>
      <c r="H10" s="236" t="s">
        <v>49</v>
      </c>
      <c r="I10" s="227" t="s">
        <v>45</v>
      </c>
      <c r="J10" s="227" t="s">
        <v>45</v>
      </c>
      <c r="K10" s="227" t="s">
        <v>43</v>
      </c>
      <c r="L10" s="229" t="s">
        <v>53</v>
      </c>
      <c r="M10" s="234" t="s">
        <v>53</v>
      </c>
      <c r="N10" s="236" t="s">
        <v>49</v>
      </c>
      <c r="O10" s="236" t="s">
        <v>49</v>
      </c>
      <c r="P10" s="227" t="s">
        <v>46</v>
      </c>
      <c r="Q10" s="227" t="s">
        <v>47</v>
      </c>
      <c r="R10" s="227" t="s">
        <v>44</v>
      </c>
      <c r="S10" s="229" t="s">
        <v>53</v>
      </c>
      <c r="T10" s="234" t="s">
        <v>53</v>
      </c>
      <c r="U10" s="236" t="s">
        <v>49</v>
      </c>
      <c r="V10" s="227" t="s">
        <v>45</v>
      </c>
      <c r="W10" s="227" t="s">
        <v>45</v>
      </c>
      <c r="X10" s="227" t="s">
        <v>45</v>
      </c>
      <c r="Y10" s="227" t="s">
        <v>44</v>
      </c>
      <c r="Z10" s="229" t="s">
        <v>53</v>
      </c>
      <c r="AA10" s="234" t="s">
        <v>53</v>
      </c>
      <c r="AB10" s="227" t="s">
        <v>46</v>
      </c>
      <c r="AC10" s="236" t="s">
        <v>49</v>
      </c>
      <c r="AD10" s="227" t="s">
        <v>47</v>
      </c>
      <c r="AE10" s="227" t="s">
        <v>44</v>
      </c>
      <c r="AF10" s="227" t="s">
        <v>44</v>
      </c>
      <c r="AG10" s="25"/>
      <c r="AH10" s="47">
        <f t="shared" si="2"/>
        <v>6</v>
      </c>
      <c r="AI10" s="48">
        <f t="shared" si="3"/>
        <v>2</v>
      </c>
      <c r="AJ10" s="48">
        <f t="shared" si="4"/>
        <v>4</v>
      </c>
      <c r="AK10" s="49">
        <f t="shared" si="5"/>
        <v>5</v>
      </c>
      <c r="AL10" s="50">
        <f t="shared" si="6"/>
        <v>3</v>
      </c>
      <c r="AM10" s="51">
        <f t="shared" si="7"/>
        <v>3</v>
      </c>
      <c r="AN10" s="52">
        <f t="shared" ref="AN10:AO10" si="12">COUNTIF($C10:$AF10,"PH")</f>
        <v>5</v>
      </c>
      <c r="AO10" s="52">
        <f t="shared" si="12"/>
        <v>5</v>
      </c>
      <c r="AP10" s="67"/>
      <c r="AQ10" s="67"/>
      <c r="AR10" s="67"/>
      <c r="AS10" s="67"/>
      <c r="AT10" s="67"/>
    </row>
    <row r="11" ht="12.75" customHeight="1">
      <c r="A11" s="221" t="s">
        <v>239</v>
      </c>
      <c r="B11" s="222" t="s">
        <v>77</v>
      </c>
      <c r="C11" s="245" t="s">
        <v>49</v>
      </c>
      <c r="D11" s="224" t="s">
        <v>53</v>
      </c>
      <c r="E11" s="225" t="s">
        <v>53</v>
      </c>
      <c r="F11" s="230" t="s">
        <v>47</v>
      </c>
      <c r="G11" s="227" t="s">
        <v>45</v>
      </c>
      <c r="H11" s="227" t="s">
        <v>44</v>
      </c>
      <c r="I11" s="236" t="s">
        <v>49</v>
      </c>
      <c r="J11" s="236" t="s">
        <v>49</v>
      </c>
      <c r="K11" s="224" t="s">
        <v>53</v>
      </c>
      <c r="L11" s="229" t="s">
        <v>53</v>
      </c>
      <c r="M11" s="230" t="s">
        <v>47</v>
      </c>
      <c r="N11" s="227" t="s">
        <v>47</v>
      </c>
      <c r="O11" s="227" t="s">
        <v>45</v>
      </c>
      <c r="P11" s="227" t="s">
        <v>44</v>
      </c>
      <c r="Q11" s="237" t="s">
        <v>48</v>
      </c>
      <c r="R11" s="224" t="s">
        <v>53</v>
      </c>
      <c r="S11" s="229" t="s">
        <v>53</v>
      </c>
      <c r="T11" s="231" t="s">
        <v>46</v>
      </c>
      <c r="U11" s="227" t="s">
        <v>46</v>
      </c>
      <c r="V11" s="227" t="s">
        <v>45</v>
      </c>
      <c r="W11" s="227" t="s">
        <v>44</v>
      </c>
      <c r="X11" s="227" t="s">
        <v>43</v>
      </c>
      <c r="Y11" s="224" t="s">
        <v>53</v>
      </c>
      <c r="Z11" s="229" t="s">
        <v>53</v>
      </c>
      <c r="AA11" s="231" t="s">
        <v>47</v>
      </c>
      <c r="AB11" s="227" t="s">
        <v>43</v>
      </c>
      <c r="AC11" s="237" t="s">
        <v>48</v>
      </c>
      <c r="AD11" s="227" t="s">
        <v>45</v>
      </c>
      <c r="AE11" s="227" t="s">
        <v>43</v>
      </c>
      <c r="AF11" s="229" t="s">
        <v>53</v>
      </c>
      <c r="AG11" s="25"/>
      <c r="AH11" s="47">
        <f t="shared" si="2"/>
        <v>6</v>
      </c>
      <c r="AI11" s="48">
        <f t="shared" si="3"/>
        <v>3</v>
      </c>
      <c r="AJ11" s="48">
        <f t="shared" si="4"/>
        <v>3</v>
      </c>
      <c r="AK11" s="49">
        <f t="shared" si="5"/>
        <v>4</v>
      </c>
      <c r="AL11" s="50">
        <f t="shared" si="6"/>
        <v>2</v>
      </c>
      <c r="AM11" s="51">
        <f t="shared" si="7"/>
        <v>4</v>
      </c>
      <c r="AN11" s="52">
        <f t="shared" ref="AN11:AO11" si="13">COUNTIF($C11:$AF11,"PH")</f>
        <v>3</v>
      </c>
      <c r="AO11" s="52">
        <f t="shared" si="13"/>
        <v>3</v>
      </c>
      <c r="AP11" s="67"/>
      <c r="AQ11" s="67"/>
      <c r="AR11" s="67"/>
      <c r="AS11" s="67"/>
      <c r="AT11" s="67"/>
    </row>
    <row r="12" ht="12.75" customHeight="1">
      <c r="A12" s="221" t="s">
        <v>240</v>
      </c>
      <c r="B12" s="222" t="s">
        <v>80</v>
      </c>
      <c r="C12" s="245" t="s">
        <v>49</v>
      </c>
      <c r="D12" s="227" t="s">
        <v>47</v>
      </c>
      <c r="E12" s="225" t="s">
        <v>53</v>
      </c>
      <c r="F12" s="234" t="s">
        <v>53</v>
      </c>
      <c r="G12" s="235" t="s">
        <v>47</v>
      </c>
      <c r="H12" s="227" t="s">
        <v>47</v>
      </c>
      <c r="I12" s="227" t="s">
        <v>47</v>
      </c>
      <c r="J12" s="228" t="s">
        <v>43</v>
      </c>
      <c r="K12" s="228" t="s">
        <v>43</v>
      </c>
      <c r="L12" s="229" t="s">
        <v>53</v>
      </c>
      <c r="M12" s="246" t="s">
        <v>53</v>
      </c>
      <c r="N12" s="227" t="s">
        <v>47</v>
      </c>
      <c r="O12" s="227" t="s">
        <v>47</v>
      </c>
      <c r="P12" s="227" t="s">
        <v>43</v>
      </c>
      <c r="Q12" s="227" t="s">
        <v>43</v>
      </c>
      <c r="R12" s="227" t="s">
        <v>43</v>
      </c>
      <c r="S12" s="229" t="s">
        <v>53</v>
      </c>
      <c r="T12" s="234" t="s">
        <v>53</v>
      </c>
      <c r="U12" s="235" t="s">
        <v>47</v>
      </c>
      <c r="V12" s="235" t="s">
        <v>47</v>
      </c>
      <c r="W12" s="227" t="s">
        <v>47</v>
      </c>
      <c r="X12" s="227" t="s">
        <v>43</v>
      </c>
      <c r="Y12" s="227" t="s">
        <v>43</v>
      </c>
      <c r="Z12" s="229" t="s">
        <v>53</v>
      </c>
      <c r="AA12" s="234" t="s">
        <v>53</v>
      </c>
      <c r="AB12" s="235" t="s">
        <v>47</v>
      </c>
      <c r="AC12" s="235" t="s">
        <v>47</v>
      </c>
      <c r="AD12" s="227" t="s">
        <v>43</v>
      </c>
      <c r="AE12" s="227" t="s">
        <v>43</v>
      </c>
      <c r="AF12" s="247" t="s">
        <v>43</v>
      </c>
      <c r="AG12" s="25"/>
      <c r="AH12" s="47">
        <f t="shared" si="2"/>
        <v>10</v>
      </c>
      <c r="AI12" s="48">
        <f t="shared" si="3"/>
        <v>10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11</v>
      </c>
      <c r="AN12" s="52">
        <f t="shared" ref="AN12:AO12" si="14">COUNTIF($C12:$AF12,"PH")</f>
        <v>1</v>
      </c>
      <c r="AO12" s="52">
        <f t="shared" si="14"/>
        <v>1</v>
      </c>
      <c r="AP12" s="67"/>
      <c r="AQ12" s="67"/>
      <c r="AR12" s="67"/>
      <c r="AS12" s="67"/>
      <c r="AT12" s="67"/>
    </row>
    <row r="13" ht="12.75" customHeight="1">
      <c r="A13" s="221" t="s">
        <v>241</v>
      </c>
      <c r="B13" s="222" t="s">
        <v>83</v>
      </c>
      <c r="C13" s="223" t="s">
        <v>43</v>
      </c>
      <c r="D13" s="224" t="s">
        <v>53</v>
      </c>
      <c r="E13" s="225" t="s">
        <v>53</v>
      </c>
      <c r="F13" s="230" t="s">
        <v>47</v>
      </c>
      <c r="G13" s="227" t="s">
        <v>45</v>
      </c>
      <c r="H13" s="227" t="s">
        <v>45</v>
      </c>
      <c r="I13" s="227" t="s">
        <v>43</v>
      </c>
      <c r="J13" s="227" t="s">
        <v>43</v>
      </c>
      <c r="K13" s="224" t="s">
        <v>53</v>
      </c>
      <c r="L13" s="229" t="s">
        <v>53</v>
      </c>
      <c r="M13" s="231" t="s">
        <v>46</v>
      </c>
      <c r="N13" s="227" t="s">
        <v>46</v>
      </c>
      <c r="O13" s="227" t="s">
        <v>45</v>
      </c>
      <c r="P13" s="227" t="s">
        <v>45</v>
      </c>
      <c r="Q13" s="227" t="s">
        <v>44</v>
      </c>
      <c r="R13" s="224" t="s">
        <v>53</v>
      </c>
      <c r="S13" s="229" t="s">
        <v>53</v>
      </c>
      <c r="T13" s="226" t="s">
        <v>49</v>
      </c>
      <c r="U13" s="236" t="s">
        <v>49</v>
      </c>
      <c r="V13" s="236" t="s">
        <v>49</v>
      </c>
      <c r="W13" s="237" t="s">
        <v>48</v>
      </c>
      <c r="X13" s="237" t="s">
        <v>48</v>
      </c>
      <c r="Y13" s="224" t="s">
        <v>53</v>
      </c>
      <c r="Z13" s="229" t="s">
        <v>53</v>
      </c>
      <c r="AA13" s="231" t="s">
        <v>46</v>
      </c>
      <c r="AB13" s="227" t="s">
        <v>46</v>
      </c>
      <c r="AC13" s="227" t="s">
        <v>47</v>
      </c>
      <c r="AD13" s="227" t="s">
        <v>44</v>
      </c>
      <c r="AE13" s="227" t="s">
        <v>43</v>
      </c>
      <c r="AF13" s="229" t="s">
        <v>53</v>
      </c>
      <c r="AG13" s="25"/>
      <c r="AH13" s="47">
        <f t="shared" si="2"/>
        <v>6</v>
      </c>
      <c r="AI13" s="48">
        <f t="shared" si="3"/>
        <v>4</v>
      </c>
      <c r="AJ13" s="48">
        <f t="shared" si="4"/>
        <v>2</v>
      </c>
      <c r="AK13" s="49">
        <f t="shared" si="5"/>
        <v>4</v>
      </c>
      <c r="AL13" s="50">
        <f t="shared" si="6"/>
        <v>4</v>
      </c>
      <c r="AM13" s="51">
        <f t="shared" si="7"/>
        <v>2</v>
      </c>
      <c r="AN13" s="52">
        <f t="shared" ref="AN13:AO13" si="15">COUNTIF($C13:$AF13,"PH")</f>
        <v>3</v>
      </c>
      <c r="AO13" s="52">
        <f t="shared" si="15"/>
        <v>3</v>
      </c>
      <c r="AP13" s="67"/>
      <c r="AQ13" s="67"/>
      <c r="AR13" s="67"/>
      <c r="AS13" s="67"/>
      <c r="AT13" s="67"/>
    </row>
    <row r="14" ht="12.75" customHeight="1">
      <c r="A14" s="221" t="s">
        <v>242</v>
      </c>
      <c r="B14" s="222" t="s">
        <v>86</v>
      </c>
      <c r="C14" s="223" t="s">
        <v>45</v>
      </c>
      <c r="D14" s="227" t="s">
        <v>43</v>
      </c>
      <c r="E14" s="225" t="s">
        <v>53</v>
      </c>
      <c r="F14" s="234" t="s">
        <v>53</v>
      </c>
      <c r="G14" s="237" t="s">
        <v>48</v>
      </c>
      <c r="H14" s="237" t="s">
        <v>48</v>
      </c>
      <c r="I14" s="237" t="s">
        <v>48</v>
      </c>
      <c r="J14" s="227" t="s">
        <v>47</v>
      </c>
      <c r="K14" s="227" t="s">
        <v>43</v>
      </c>
      <c r="L14" s="229" t="s">
        <v>53</v>
      </c>
      <c r="M14" s="234" t="s">
        <v>53</v>
      </c>
      <c r="N14" s="227" t="s">
        <v>45</v>
      </c>
      <c r="O14" s="227" t="s">
        <v>45</v>
      </c>
      <c r="P14" s="227" t="s">
        <v>45</v>
      </c>
      <c r="Q14" s="227" t="s">
        <v>44</v>
      </c>
      <c r="R14" s="237" t="s">
        <v>48</v>
      </c>
      <c r="S14" s="229" t="s">
        <v>53</v>
      </c>
      <c r="T14" s="234" t="s">
        <v>53</v>
      </c>
      <c r="U14" s="235" t="s">
        <v>47</v>
      </c>
      <c r="V14" s="227" t="s">
        <v>47</v>
      </c>
      <c r="W14" s="227" t="s">
        <v>45</v>
      </c>
      <c r="X14" s="227" t="s">
        <v>44</v>
      </c>
      <c r="Y14" s="227" t="s">
        <v>43</v>
      </c>
      <c r="Z14" s="229" t="s">
        <v>53</v>
      </c>
      <c r="AA14" s="234" t="s">
        <v>53</v>
      </c>
      <c r="AB14" s="235" t="s">
        <v>47</v>
      </c>
      <c r="AC14" s="227" t="s">
        <v>47</v>
      </c>
      <c r="AD14" s="227" t="s">
        <v>47</v>
      </c>
      <c r="AE14" s="237" t="s">
        <v>48</v>
      </c>
      <c r="AF14" s="248" t="s">
        <v>48</v>
      </c>
      <c r="AG14" s="25"/>
      <c r="AH14" s="47">
        <f t="shared" si="2"/>
        <v>5</v>
      </c>
      <c r="AI14" s="48">
        <f t="shared" si="3"/>
        <v>3</v>
      </c>
      <c r="AJ14" s="48">
        <f t="shared" si="4"/>
        <v>2</v>
      </c>
      <c r="AK14" s="49">
        <f t="shared" si="5"/>
        <v>5</v>
      </c>
      <c r="AL14" s="50">
        <f t="shared" si="6"/>
        <v>0</v>
      </c>
      <c r="AM14" s="51">
        <f t="shared" si="7"/>
        <v>6</v>
      </c>
      <c r="AN14" s="52">
        <f t="shared" ref="AN14:AO14" si="16">COUNTIF($C14:$AF14,"PH")</f>
        <v>0</v>
      </c>
      <c r="AO14" s="52">
        <f t="shared" si="16"/>
        <v>0</v>
      </c>
      <c r="AP14" s="67"/>
      <c r="AQ14" s="67"/>
      <c r="AR14" s="67"/>
      <c r="AS14" s="67"/>
      <c r="AT14" s="67"/>
    </row>
    <row r="15" ht="12.75" customHeight="1">
      <c r="A15" s="221" t="s">
        <v>243</v>
      </c>
      <c r="B15" s="222" t="s">
        <v>89</v>
      </c>
      <c r="C15" s="223" t="s">
        <v>44</v>
      </c>
      <c r="D15" s="227" t="s">
        <v>44</v>
      </c>
      <c r="E15" s="249" t="s">
        <v>43</v>
      </c>
      <c r="F15" s="234" t="s">
        <v>53</v>
      </c>
      <c r="G15" s="224" t="s">
        <v>53</v>
      </c>
      <c r="H15" s="227" t="s">
        <v>45</v>
      </c>
      <c r="I15" s="227" t="s">
        <v>45</v>
      </c>
      <c r="J15" s="227" t="s">
        <v>43</v>
      </c>
      <c r="K15" s="237" t="s">
        <v>48</v>
      </c>
      <c r="L15" s="248" t="s">
        <v>48</v>
      </c>
      <c r="M15" s="234" t="s">
        <v>53</v>
      </c>
      <c r="N15" s="224" t="s">
        <v>53</v>
      </c>
      <c r="O15" s="227" t="s">
        <v>45</v>
      </c>
      <c r="P15" s="227" t="s">
        <v>45</v>
      </c>
      <c r="Q15" s="227" t="s">
        <v>45</v>
      </c>
      <c r="R15" s="227" t="s">
        <v>44</v>
      </c>
      <c r="S15" s="247" t="s">
        <v>43</v>
      </c>
      <c r="T15" s="234" t="s">
        <v>53</v>
      </c>
      <c r="U15" s="224" t="s">
        <v>53</v>
      </c>
      <c r="V15" s="227" t="s">
        <v>45</v>
      </c>
      <c r="W15" s="227" t="s">
        <v>45</v>
      </c>
      <c r="X15" s="227" t="s">
        <v>44</v>
      </c>
      <c r="Y15" s="227" t="s">
        <v>43</v>
      </c>
      <c r="Z15" s="250" t="s">
        <v>43</v>
      </c>
      <c r="AA15" s="234" t="s">
        <v>53</v>
      </c>
      <c r="AB15" s="224" t="s">
        <v>53</v>
      </c>
      <c r="AC15" s="237" t="s">
        <v>48</v>
      </c>
      <c r="AD15" s="227" t="s">
        <v>45</v>
      </c>
      <c r="AE15" s="227" t="s">
        <v>45</v>
      </c>
      <c r="AF15" s="247" t="s">
        <v>45</v>
      </c>
      <c r="AG15" s="25"/>
      <c r="AH15" s="47">
        <f t="shared" si="2"/>
        <v>9</v>
      </c>
      <c r="AI15" s="48">
        <f t="shared" si="3"/>
        <v>5</v>
      </c>
      <c r="AJ15" s="48">
        <f t="shared" si="4"/>
        <v>4</v>
      </c>
      <c r="AK15" s="49">
        <f t="shared" si="5"/>
        <v>10</v>
      </c>
      <c r="AL15" s="50">
        <f t="shared" si="6"/>
        <v>0</v>
      </c>
      <c r="AM15" s="51">
        <f t="shared" si="7"/>
        <v>0</v>
      </c>
      <c r="AN15" s="52">
        <f t="shared" ref="AN15:AO15" si="17">COUNTIF($C15:$AF15,"PH")</f>
        <v>0</v>
      </c>
      <c r="AO15" s="52">
        <f t="shared" si="17"/>
        <v>0</v>
      </c>
      <c r="AP15" s="67"/>
      <c r="AQ15" s="67"/>
      <c r="AR15" s="67"/>
      <c r="AS15" s="67"/>
      <c r="AT15" s="67"/>
    </row>
    <row r="16" ht="12.75" customHeight="1">
      <c r="A16" s="221" t="s">
        <v>244</v>
      </c>
      <c r="B16" s="222" t="s">
        <v>92</v>
      </c>
      <c r="C16" s="245" t="s">
        <v>49</v>
      </c>
      <c r="D16" s="236" t="s">
        <v>49</v>
      </c>
      <c r="E16" s="251" t="s">
        <v>49</v>
      </c>
      <c r="F16" s="226" t="s">
        <v>49</v>
      </c>
      <c r="G16" s="236" t="s">
        <v>49</v>
      </c>
      <c r="H16" s="224" t="s">
        <v>53</v>
      </c>
      <c r="I16" s="224" t="s">
        <v>53</v>
      </c>
      <c r="J16" s="227" t="s">
        <v>46</v>
      </c>
      <c r="K16" s="227" t="s">
        <v>46</v>
      </c>
      <c r="L16" s="247" t="s">
        <v>45</v>
      </c>
      <c r="M16" s="231" t="s">
        <v>44</v>
      </c>
      <c r="N16" s="227" t="s">
        <v>43</v>
      </c>
      <c r="O16" s="224" t="s">
        <v>53</v>
      </c>
      <c r="P16" s="224" t="s">
        <v>53</v>
      </c>
      <c r="Q16" s="227" t="s">
        <v>46</v>
      </c>
      <c r="R16" s="227" t="s">
        <v>46</v>
      </c>
      <c r="S16" s="247" t="s">
        <v>45</v>
      </c>
      <c r="T16" s="231" t="s">
        <v>43</v>
      </c>
      <c r="U16" s="236" t="s">
        <v>49</v>
      </c>
      <c r="V16" s="224" t="s">
        <v>53</v>
      </c>
      <c r="W16" s="224" t="s">
        <v>53</v>
      </c>
      <c r="X16" s="235" t="s">
        <v>47</v>
      </c>
      <c r="Y16" s="235" t="s">
        <v>47</v>
      </c>
      <c r="Z16" s="247" t="s">
        <v>44</v>
      </c>
      <c r="AA16" s="226" t="s">
        <v>49</v>
      </c>
      <c r="AB16" s="252" t="s">
        <v>43</v>
      </c>
      <c r="AC16" s="224" t="s">
        <v>53</v>
      </c>
      <c r="AD16" s="224" t="s">
        <v>53</v>
      </c>
      <c r="AE16" s="235" t="s">
        <v>47</v>
      </c>
      <c r="AF16" s="253" t="s">
        <v>47</v>
      </c>
      <c r="AG16" s="25"/>
      <c r="AH16" s="47">
        <f t="shared" si="2"/>
        <v>5</v>
      </c>
      <c r="AI16" s="48">
        <f t="shared" si="3"/>
        <v>3</v>
      </c>
      <c r="AJ16" s="48">
        <f t="shared" si="4"/>
        <v>2</v>
      </c>
      <c r="AK16" s="49">
        <f t="shared" si="5"/>
        <v>2</v>
      </c>
      <c r="AL16" s="50">
        <f t="shared" si="6"/>
        <v>4</v>
      </c>
      <c r="AM16" s="51">
        <f t="shared" si="7"/>
        <v>4</v>
      </c>
      <c r="AN16" s="52">
        <f t="shared" ref="AN16:AO16" si="18">COUNTIF($C16:$AF16,"PH")</f>
        <v>7</v>
      </c>
      <c r="AO16" s="52">
        <f t="shared" si="18"/>
        <v>7</v>
      </c>
      <c r="AP16" s="67"/>
      <c r="AQ16" s="67"/>
      <c r="AR16" s="67"/>
      <c r="AS16" s="67"/>
      <c r="AT16" s="67"/>
    </row>
    <row r="17" ht="12.75" customHeight="1">
      <c r="A17" s="232" t="s">
        <v>245</v>
      </c>
      <c r="B17" s="222" t="s">
        <v>95</v>
      </c>
      <c r="C17" s="254" t="s">
        <v>53</v>
      </c>
      <c r="D17" s="224" t="s">
        <v>53</v>
      </c>
      <c r="E17" s="255" t="s">
        <v>47</v>
      </c>
      <c r="F17" s="231" t="s">
        <v>46</v>
      </c>
      <c r="G17" s="227" t="s">
        <v>44</v>
      </c>
      <c r="H17" s="227" t="s">
        <v>43</v>
      </c>
      <c r="I17" s="227" t="s">
        <v>43</v>
      </c>
      <c r="J17" s="224" t="s">
        <v>53</v>
      </c>
      <c r="K17" s="224" t="s">
        <v>53</v>
      </c>
      <c r="L17" s="248" t="s">
        <v>48</v>
      </c>
      <c r="M17" s="231" t="s">
        <v>45</v>
      </c>
      <c r="N17" s="227" t="s">
        <v>45</v>
      </c>
      <c r="O17" s="227" t="s">
        <v>45</v>
      </c>
      <c r="P17" s="227" t="s">
        <v>44</v>
      </c>
      <c r="Q17" s="224" t="s">
        <v>53</v>
      </c>
      <c r="R17" s="224" t="s">
        <v>53</v>
      </c>
      <c r="S17" s="248" t="s">
        <v>48</v>
      </c>
      <c r="T17" s="230" t="s">
        <v>47</v>
      </c>
      <c r="U17" s="227" t="s">
        <v>45</v>
      </c>
      <c r="V17" s="227" t="s">
        <v>45</v>
      </c>
      <c r="W17" s="227" t="s">
        <v>44</v>
      </c>
      <c r="X17" s="224" t="s">
        <v>53</v>
      </c>
      <c r="Y17" s="224" t="s">
        <v>53</v>
      </c>
      <c r="Z17" s="253" t="s">
        <v>47</v>
      </c>
      <c r="AA17" s="231" t="s">
        <v>47</v>
      </c>
      <c r="AB17" s="240" t="s">
        <v>47</v>
      </c>
      <c r="AC17" s="237" t="s">
        <v>48</v>
      </c>
      <c r="AD17" s="237" t="s">
        <v>48</v>
      </c>
      <c r="AE17" s="224" t="s">
        <v>53</v>
      </c>
      <c r="AF17" s="229" t="s">
        <v>53</v>
      </c>
      <c r="AG17" s="25"/>
      <c r="AH17" s="47">
        <f t="shared" si="2"/>
        <v>5</v>
      </c>
      <c r="AI17" s="48">
        <f t="shared" si="3"/>
        <v>2</v>
      </c>
      <c r="AJ17" s="48">
        <f t="shared" si="4"/>
        <v>3</v>
      </c>
      <c r="AK17" s="49">
        <f t="shared" si="5"/>
        <v>5</v>
      </c>
      <c r="AL17" s="50">
        <f t="shared" si="6"/>
        <v>1</v>
      </c>
      <c r="AM17" s="51">
        <f t="shared" si="7"/>
        <v>5</v>
      </c>
      <c r="AN17" s="52">
        <f t="shared" ref="AN17:AO17" si="19">COUNTIF($C17:$AF17,"PH")</f>
        <v>0</v>
      </c>
      <c r="AO17" s="52">
        <f t="shared" si="19"/>
        <v>0</v>
      </c>
      <c r="AP17" s="67"/>
      <c r="AQ17" s="67"/>
      <c r="AR17" s="67"/>
      <c r="AS17" s="67"/>
      <c r="AT17" s="67"/>
    </row>
    <row r="18" ht="12.75" customHeight="1">
      <c r="A18" s="232" t="s">
        <v>246</v>
      </c>
      <c r="B18" s="222" t="s">
        <v>98</v>
      </c>
      <c r="C18" s="223" t="s">
        <v>43</v>
      </c>
      <c r="D18" s="227" t="s">
        <v>43</v>
      </c>
      <c r="E18" s="225" t="s">
        <v>53</v>
      </c>
      <c r="F18" s="234" t="s">
        <v>53</v>
      </c>
      <c r="G18" s="256" t="s">
        <v>47</v>
      </c>
      <c r="H18" s="227" t="s">
        <v>47</v>
      </c>
      <c r="I18" s="227" t="s">
        <v>45</v>
      </c>
      <c r="J18" s="227" t="s">
        <v>44</v>
      </c>
      <c r="K18" s="227" t="s">
        <v>43</v>
      </c>
      <c r="L18" s="229" t="s">
        <v>53</v>
      </c>
      <c r="M18" s="234" t="s">
        <v>53</v>
      </c>
      <c r="N18" s="235" t="s">
        <v>47</v>
      </c>
      <c r="O18" s="227" t="s">
        <v>47</v>
      </c>
      <c r="P18" s="227" t="s">
        <v>45</v>
      </c>
      <c r="Q18" s="227" t="s">
        <v>45</v>
      </c>
      <c r="R18" s="227" t="s">
        <v>43</v>
      </c>
      <c r="S18" s="229" t="s">
        <v>53</v>
      </c>
      <c r="T18" s="234" t="s">
        <v>53</v>
      </c>
      <c r="U18" s="235" t="s">
        <v>47</v>
      </c>
      <c r="V18" s="227" t="s">
        <v>46</v>
      </c>
      <c r="W18" s="227" t="s">
        <v>45</v>
      </c>
      <c r="X18" s="227" t="s">
        <v>45</v>
      </c>
      <c r="Y18" s="227" t="s">
        <v>43</v>
      </c>
      <c r="Z18" s="229" t="s">
        <v>53</v>
      </c>
      <c r="AA18" s="234" t="s">
        <v>53</v>
      </c>
      <c r="AB18" s="235" t="s">
        <v>47</v>
      </c>
      <c r="AC18" s="227" t="s">
        <v>45</v>
      </c>
      <c r="AD18" s="227" t="s">
        <v>45</v>
      </c>
      <c r="AE18" s="227" t="s">
        <v>44</v>
      </c>
      <c r="AF18" s="247" t="s">
        <v>43</v>
      </c>
      <c r="AG18" s="25"/>
      <c r="AH18" s="47">
        <f t="shared" si="2"/>
        <v>8</v>
      </c>
      <c r="AI18" s="48">
        <f t="shared" si="3"/>
        <v>6</v>
      </c>
      <c r="AJ18" s="48">
        <f t="shared" si="4"/>
        <v>2</v>
      </c>
      <c r="AK18" s="49">
        <f t="shared" si="5"/>
        <v>7</v>
      </c>
      <c r="AL18" s="50">
        <f t="shared" si="6"/>
        <v>1</v>
      </c>
      <c r="AM18" s="51">
        <f t="shared" si="7"/>
        <v>6</v>
      </c>
      <c r="AN18" s="52">
        <f t="shared" ref="AN18:AO18" si="20">COUNTIF($C18:$AF18,"PH")</f>
        <v>0</v>
      </c>
      <c r="AO18" s="52">
        <f t="shared" si="20"/>
        <v>0</v>
      </c>
      <c r="AP18" s="67"/>
      <c r="AQ18" s="67"/>
      <c r="AR18" s="67"/>
      <c r="AS18" s="67"/>
      <c r="AT18" s="67"/>
    </row>
    <row r="19" ht="12.75" customHeight="1">
      <c r="A19" s="221" t="s">
        <v>247</v>
      </c>
      <c r="B19" s="222" t="s">
        <v>101</v>
      </c>
      <c r="C19" s="254" t="s">
        <v>53</v>
      </c>
      <c r="D19" s="224" t="s">
        <v>53</v>
      </c>
      <c r="E19" s="249" t="s">
        <v>47</v>
      </c>
      <c r="F19" s="231" t="s">
        <v>47</v>
      </c>
      <c r="G19" s="227" t="s">
        <v>45</v>
      </c>
      <c r="H19" s="257" t="s">
        <v>45</v>
      </c>
      <c r="I19" s="237" t="s">
        <v>48</v>
      </c>
      <c r="J19" s="224" t="s">
        <v>53</v>
      </c>
      <c r="K19" s="224" t="s">
        <v>53</v>
      </c>
      <c r="L19" s="248" t="s">
        <v>48</v>
      </c>
      <c r="M19" s="230" t="s">
        <v>47</v>
      </c>
      <c r="N19" s="227" t="s">
        <v>45</v>
      </c>
      <c r="O19" s="227" t="s">
        <v>43</v>
      </c>
      <c r="P19" s="227" t="s">
        <v>43</v>
      </c>
      <c r="Q19" s="224" t="s">
        <v>53</v>
      </c>
      <c r="R19" s="224" t="s">
        <v>53</v>
      </c>
      <c r="S19" s="253" t="s">
        <v>47</v>
      </c>
      <c r="T19" s="231" t="s">
        <v>47</v>
      </c>
      <c r="U19" s="227" t="s">
        <v>45</v>
      </c>
      <c r="V19" s="227" t="s">
        <v>45</v>
      </c>
      <c r="W19" s="227" t="s">
        <v>43</v>
      </c>
      <c r="X19" s="224" t="s">
        <v>53</v>
      </c>
      <c r="Y19" s="224" t="s">
        <v>53</v>
      </c>
      <c r="Z19" s="248" t="s">
        <v>48</v>
      </c>
      <c r="AA19" s="230" t="s">
        <v>47</v>
      </c>
      <c r="AB19" s="227" t="s">
        <v>46</v>
      </c>
      <c r="AC19" s="227" t="s">
        <v>46</v>
      </c>
      <c r="AD19" s="227" t="s">
        <v>46</v>
      </c>
      <c r="AE19" s="224" t="s">
        <v>53</v>
      </c>
      <c r="AF19" s="229" t="s">
        <v>53</v>
      </c>
      <c r="AG19" s="25"/>
      <c r="AH19" s="47">
        <f t="shared" si="2"/>
        <v>3</v>
      </c>
      <c r="AI19" s="48">
        <f t="shared" si="3"/>
        <v>3</v>
      </c>
      <c r="AJ19" s="48">
        <f t="shared" si="4"/>
        <v>0</v>
      </c>
      <c r="AK19" s="49">
        <f t="shared" si="5"/>
        <v>5</v>
      </c>
      <c r="AL19" s="50">
        <f t="shared" si="6"/>
        <v>3</v>
      </c>
      <c r="AM19" s="51">
        <f t="shared" si="7"/>
        <v>6</v>
      </c>
      <c r="AN19" s="52">
        <f t="shared" ref="AN19:AO19" si="21">COUNTIF($C19:$AF19,"PH")</f>
        <v>0</v>
      </c>
      <c r="AO19" s="52">
        <f t="shared" si="21"/>
        <v>0</v>
      </c>
      <c r="AP19" s="67"/>
      <c r="AQ19" s="67"/>
      <c r="AR19" s="67"/>
      <c r="AS19" s="67"/>
      <c r="AT19" s="67"/>
    </row>
    <row r="20" ht="12.75" customHeight="1">
      <c r="A20" s="232" t="s">
        <v>248</v>
      </c>
      <c r="B20" s="222" t="s">
        <v>104</v>
      </c>
      <c r="C20" s="254" t="s">
        <v>53</v>
      </c>
      <c r="D20" s="235" t="s">
        <v>47</v>
      </c>
      <c r="E20" s="255" t="s">
        <v>47</v>
      </c>
      <c r="F20" s="231" t="s">
        <v>46</v>
      </c>
      <c r="G20" s="227" t="s">
        <v>45</v>
      </c>
      <c r="H20" s="227" t="s">
        <v>43</v>
      </c>
      <c r="I20" s="224" t="s">
        <v>53</v>
      </c>
      <c r="J20" s="224" t="s">
        <v>53</v>
      </c>
      <c r="K20" s="235" t="s">
        <v>47</v>
      </c>
      <c r="L20" s="253" t="s">
        <v>47</v>
      </c>
      <c r="M20" s="258" t="s">
        <v>48</v>
      </c>
      <c r="N20" s="227" t="s">
        <v>46</v>
      </c>
      <c r="O20" s="227" t="s">
        <v>44</v>
      </c>
      <c r="P20" s="224" t="s">
        <v>53</v>
      </c>
      <c r="Q20" s="224" t="s">
        <v>53</v>
      </c>
      <c r="R20" s="235" t="s">
        <v>47</v>
      </c>
      <c r="S20" s="247" t="s">
        <v>46</v>
      </c>
      <c r="T20" s="258" t="s">
        <v>48</v>
      </c>
      <c r="U20" s="227" t="s">
        <v>45</v>
      </c>
      <c r="V20" s="227" t="s">
        <v>44</v>
      </c>
      <c r="W20" s="224" t="s">
        <v>53</v>
      </c>
      <c r="X20" s="224" t="s">
        <v>53</v>
      </c>
      <c r="Y20" s="235" t="s">
        <v>47</v>
      </c>
      <c r="Z20" s="247" t="s">
        <v>46</v>
      </c>
      <c r="AA20" s="231" t="s">
        <v>46</v>
      </c>
      <c r="AB20" s="227" t="s">
        <v>44</v>
      </c>
      <c r="AC20" s="227" t="s">
        <v>43</v>
      </c>
      <c r="AD20" s="224" t="s">
        <v>53</v>
      </c>
      <c r="AE20" s="224" t="s">
        <v>53</v>
      </c>
      <c r="AF20" s="259" t="s">
        <v>47</v>
      </c>
      <c r="AG20" s="25"/>
      <c r="AH20" s="47">
        <f t="shared" si="2"/>
        <v>5</v>
      </c>
      <c r="AI20" s="48">
        <f t="shared" si="3"/>
        <v>2</v>
      </c>
      <c r="AJ20" s="48">
        <f t="shared" si="4"/>
        <v>3</v>
      </c>
      <c r="AK20" s="49">
        <f t="shared" si="5"/>
        <v>2</v>
      </c>
      <c r="AL20" s="50">
        <f t="shared" si="6"/>
        <v>5</v>
      </c>
      <c r="AM20" s="51">
        <f t="shared" si="7"/>
        <v>7</v>
      </c>
      <c r="AN20" s="52">
        <f t="shared" ref="AN20:AO20" si="22">COUNTIF($C20:$AF20,"PH")</f>
        <v>0</v>
      </c>
      <c r="AO20" s="52">
        <f t="shared" si="22"/>
        <v>0</v>
      </c>
      <c r="AP20" s="67"/>
      <c r="AQ20" s="67"/>
      <c r="AR20" s="67"/>
      <c r="AS20" s="67"/>
      <c r="AT20" s="67"/>
    </row>
    <row r="21" ht="12.75" customHeight="1">
      <c r="A21" s="221" t="s">
        <v>249</v>
      </c>
      <c r="B21" s="260" t="s">
        <v>107</v>
      </c>
      <c r="C21" s="261" t="s">
        <v>43</v>
      </c>
      <c r="D21" s="224" t="s">
        <v>53</v>
      </c>
      <c r="E21" s="262" t="s">
        <v>43</v>
      </c>
      <c r="F21" s="263" t="s">
        <v>43</v>
      </c>
      <c r="G21" s="264" t="s">
        <v>53</v>
      </c>
      <c r="H21" s="242" t="s">
        <v>43</v>
      </c>
      <c r="I21" s="242" t="s">
        <v>43</v>
      </c>
      <c r="J21" s="242" t="s">
        <v>43</v>
      </c>
      <c r="K21" s="224" t="s">
        <v>53</v>
      </c>
      <c r="L21" s="265" t="s">
        <v>43</v>
      </c>
      <c r="M21" s="266" t="s">
        <v>43</v>
      </c>
      <c r="N21" s="224" t="s">
        <v>53</v>
      </c>
      <c r="O21" s="242" t="s">
        <v>43</v>
      </c>
      <c r="P21" s="242" t="s">
        <v>43</v>
      </c>
      <c r="Q21" s="242" t="s">
        <v>43</v>
      </c>
      <c r="R21" s="224" t="s">
        <v>53</v>
      </c>
      <c r="S21" s="243" t="s">
        <v>43</v>
      </c>
      <c r="T21" s="263" t="s">
        <v>43</v>
      </c>
      <c r="U21" s="224" t="s">
        <v>53</v>
      </c>
      <c r="V21" s="242" t="s">
        <v>43</v>
      </c>
      <c r="W21" s="242" t="s">
        <v>43</v>
      </c>
      <c r="X21" s="242" t="s">
        <v>43</v>
      </c>
      <c r="Y21" s="224" t="s">
        <v>53</v>
      </c>
      <c r="Z21" s="243" t="s">
        <v>43</v>
      </c>
      <c r="AA21" s="263" t="s">
        <v>43</v>
      </c>
      <c r="AB21" s="224" t="s">
        <v>53</v>
      </c>
      <c r="AC21" s="242" t="s">
        <v>43</v>
      </c>
      <c r="AD21" s="242" t="s">
        <v>43</v>
      </c>
      <c r="AE21" s="242" t="s">
        <v>43</v>
      </c>
      <c r="AF21" s="229" t="s">
        <v>53</v>
      </c>
      <c r="AG21" s="25"/>
      <c r="AH21" s="47">
        <f t="shared" si="2"/>
        <v>21</v>
      </c>
      <c r="AI21" s="48">
        <f t="shared" si="3"/>
        <v>21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0</v>
      </c>
      <c r="AN21" s="52">
        <f t="shared" ref="AN21:AO21" si="23">COUNTIF($C21:$AF21,"PH")</f>
        <v>0</v>
      </c>
      <c r="AO21" s="52">
        <f t="shared" si="23"/>
        <v>0</v>
      </c>
      <c r="AP21" s="67"/>
      <c r="AQ21" s="67"/>
      <c r="AR21" s="67"/>
      <c r="AS21" s="67"/>
      <c r="AT21" s="67"/>
    </row>
    <row r="22" ht="12.75" customHeight="1">
      <c r="A22" s="232" t="s">
        <v>250</v>
      </c>
      <c r="B22" s="222" t="s">
        <v>110</v>
      </c>
      <c r="C22" s="254" t="s">
        <v>53</v>
      </c>
      <c r="D22" s="236" t="s">
        <v>49</v>
      </c>
      <c r="E22" s="255" t="s">
        <v>47</v>
      </c>
      <c r="F22" s="231" t="s">
        <v>46</v>
      </c>
      <c r="G22" s="227" t="s">
        <v>45</v>
      </c>
      <c r="H22" s="227" t="s">
        <v>44</v>
      </c>
      <c r="I22" s="224" t="s">
        <v>53</v>
      </c>
      <c r="J22" s="224" t="s">
        <v>53</v>
      </c>
      <c r="K22" s="235" t="s">
        <v>47</v>
      </c>
      <c r="L22" s="247" t="s">
        <v>46</v>
      </c>
      <c r="M22" s="231" t="s">
        <v>46</v>
      </c>
      <c r="N22" s="227" t="s">
        <v>44</v>
      </c>
      <c r="O22" s="236" t="s">
        <v>49</v>
      </c>
      <c r="P22" s="224" t="s">
        <v>53</v>
      </c>
      <c r="Q22" s="224" t="s">
        <v>53</v>
      </c>
      <c r="R22" s="235" t="s">
        <v>47</v>
      </c>
      <c r="S22" s="247" t="s">
        <v>46</v>
      </c>
      <c r="T22" s="231" t="s">
        <v>44</v>
      </c>
      <c r="U22" s="227" t="s">
        <v>43</v>
      </c>
      <c r="V22" s="236" t="s">
        <v>49</v>
      </c>
      <c r="W22" s="224" t="s">
        <v>53</v>
      </c>
      <c r="X22" s="224" t="s">
        <v>53</v>
      </c>
      <c r="Y22" s="235" t="s">
        <v>47</v>
      </c>
      <c r="Z22" s="247" t="s">
        <v>46</v>
      </c>
      <c r="AA22" s="231" t="s">
        <v>46</v>
      </c>
      <c r="AB22" s="227" t="s">
        <v>45</v>
      </c>
      <c r="AC22" s="227" t="s">
        <v>43</v>
      </c>
      <c r="AD22" s="224" t="s">
        <v>53</v>
      </c>
      <c r="AE22" s="224" t="s">
        <v>53</v>
      </c>
      <c r="AF22" s="250" t="s">
        <v>46</v>
      </c>
      <c r="AG22" s="25"/>
      <c r="AH22" s="47">
        <f t="shared" si="2"/>
        <v>5</v>
      </c>
      <c r="AI22" s="48">
        <f t="shared" si="3"/>
        <v>2</v>
      </c>
      <c r="AJ22" s="48">
        <f t="shared" si="4"/>
        <v>3</v>
      </c>
      <c r="AK22" s="49">
        <f t="shared" si="5"/>
        <v>2</v>
      </c>
      <c r="AL22" s="50">
        <f t="shared" si="6"/>
        <v>7</v>
      </c>
      <c r="AM22" s="51">
        <f t="shared" si="7"/>
        <v>4</v>
      </c>
      <c r="AN22" s="52">
        <f t="shared" ref="AN22:AO22" si="24">COUNTIF($C22:$AF22,"PH")</f>
        <v>3</v>
      </c>
      <c r="AO22" s="52">
        <f t="shared" si="24"/>
        <v>3</v>
      </c>
      <c r="AP22" s="67"/>
      <c r="AQ22" s="67"/>
      <c r="AR22" s="67"/>
      <c r="AS22" s="67"/>
      <c r="AT22" s="67"/>
    </row>
    <row r="23" ht="12.75" customHeight="1">
      <c r="A23" s="221" t="s">
        <v>251</v>
      </c>
      <c r="B23" s="222" t="s">
        <v>113</v>
      </c>
      <c r="C23" s="254" t="s">
        <v>53</v>
      </c>
      <c r="D23" s="224" t="s">
        <v>53</v>
      </c>
      <c r="E23" s="251" t="s">
        <v>49</v>
      </c>
      <c r="F23" s="231" t="s">
        <v>45</v>
      </c>
      <c r="G23" s="227" t="s">
        <v>43</v>
      </c>
      <c r="H23" s="236" t="s">
        <v>49</v>
      </c>
      <c r="I23" s="236" t="s">
        <v>49</v>
      </c>
      <c r="J23" s="224" t="s">
        <v>53</v>
      </c>
      <c r="K23" s="224" t="s">
        <v>53</v>
      </c>
      <c r="L23" s="267" t="s">
        <v>49</v>
      </c>
      <c r="M23" s="268" t="s">
        <v>45</v>
      </c>
      <c r="N23" s="228" t="s">
        <v>43</v>
      </c>
      <c r="O23" s="228" t="s">
        <v>43</v>
      </c>
      <c r="P23" s="237" t="s">
        <v>48</v>
      </c>
      <c r="Q23" s="224" t="s">
        <v>53</v>
      </c>
      <c r="R23" s="224" t="s">
        <v>53</v>
      </c>
      <c r="S23" s="259" t="s">
        <v>47</v>
      </c>
      <c r="T23" s="269" t="s">
        <v>47</v>
      </c>
      <c r="U23" s="228" t="s">
        <v>43</v>
      </c>
      <c r="V23" s="228" t="s">
        <v>43</v>
      </c>
      <c r="W23" s="237" t="s">
        <v>48</v>
      </c>
      <c r="X23" s="224" t="s">
        <v>53</v>
      </c>
      <c r="Y23" s="224" t="s">
        <v>53</v>
      </c>
      <c r="Z23" s="259" t="s">
        <v>47</v>
      </c>
      <c r="AA23" s="231" t="s">
        <v>45</v>
      </c>
      <c r="AB23" s="227" t="s">
        <v>45</v>
      </c>
      <c r="AC23" s="228" t="s">
        <v>43</v>
      </c>
      <c r="AD23" s="228" t="s">
        <v>43</v>
      </c>
      <c r="AE23" s="224" t="s">
        <v>53</v>
      </c>
      <c r="AF23" s="229" t="s">
        <v>53</v>
      </c>
      <c r="AG23" s="25"/>
      <c r="AH23" s="47">
        <f t="shared" si="2"/>
        <v>7</v>
      </c>
      <c r="AI23" s="48">
        <f t="shared" si="3"/>
        <v>7</v>
      </c>
      <c r="AJ23" s="48">
        <f t="shared" si="4"/>
        <v>0</v>
      </c>
      <c r="AK23" s="49">
        <f t="shared" si="5"/>
        <v>4</v>
      </c>
      <c r="AL23" s="50">
        <f t="shared" si="6"/>
        <v>0</v>
      </c>
      <c r="AM23" s="51">
        <f t="shared" si="7"/>
        <v>3</v>
      </c>
      <c r="AN23" s="52">
        <f t="shared" ref="AN23:AO23" si="25">COUNTIF($C23:$AF23,"PH")</f>
        <v>4</v>
      </c>
      <c r="AO23" s="52">
        <f t="shared" si="25"/>
        <v>4</v>
      </c>
      <c r="AP23" s="67"/>
      <c r="AQ23" s="67"/>
      <c r="AR23" s="67"/>
      <c r="AS23" s="67"/>
      <c r="AT23" s="67"/>
    </row>
    <row r="24" ht="12.75" customHeight="1">
      <c r="A24" s="232" t="s">
        <v>252</v>
      </c>
      <c r="B24" s="222" t="s">
        <v>116</v>
      </c>
      <c r="C24" s="233" t="s">
        <v>47</v>
      </c>
      <c r="D24" s="228" t="s">
        <v>45</v>
      </c>
      <c r="E24" s="270" t="s">
        <v>45</v>
      </c>
      <c r="F24" s="268" t="s">
        <v>43</v>
      </c>
      <c r="G24" s="224" t="s">
        <v>53</v>
      </c>
      <c r="H24" s="224" t="s">
        <v>53</v>
      </c>
      <c r="I24" s="227" t="s">
        <v>44</v>
      </c>
      <c r="J24" s="236" t="s">
        <v>49</v>
      </c>
      <c r="K24" s="236" t="s">
        <v>49</v>
      </c>
      <c r="L24" s="267" t="s">
        <v>49</v>
      </c>
      <c r="M24" s="226" t="s">
        <v>49</v>
      </c>
      <c r="N24" s="224" t="s">
        <v>53</v>
      </c>
      <c r="O24" s="224" t="s">
        <v>53</v>
      </c>
      <c r="P24" s="227" t="s">
        <v>45</v>
      </c>
      <c r="Q24" s="227" t="s">
        <v>45</v>
      </c>
      <c r="R24" s="227" t="s">
        <v>45</v>
      </c>
      <c r="S24" s="247" t="s">
        <v>44</v>
      </c>
      <c r="T24" s="231" t="s">
        <v>43</v>
      </c>
      <c r="U24" s="224" t="s">
        <v>53</v>
      </c>
      <c r="V24" s="224" t="s">
        <v>53</v>
      </c>
      <c r="W24" s="236" t="s">
        <v>49</v>
      </c>
      <c r="X24" s="227" t="s">
        <v>45</v>
      </c>
      <c r="Y24" s="227" t="s">
        <v>45</v>
      </c>
      <c r="Z24" s="247" t="s">
        <v>43</v>
      </c>
      <c r="AA24" s="231" t="s">
        <v>43</v>
      </c>
      <c r="AB24" s="224" t="s">
        <v>53</v>
      </c>
      <c r="AC24" s="224" t="s">
        <v>53</v>
      </c>
      <c r="AD24" s="236" t="s">
        <v>49</v>
      </c>
      <c r="AE24" s="235" t="s">
        <v>47</v>
      </c>
      <c r="AF24" s="247" t="s">
        <v>46</v>
      </c>
      <c r="AG24" s="25"/>
      <c r="AH24" s="47">
        <f t="shared" si="2"/>
        <v>6</v>
      </c>
      <c r="AI24" s="48">
        <f t="shared" si="3"/>
        <v>4</v>
      </c>
      <c r="AJ24" s="48">
        <f t="shared" si="4"/>
        <v>2</v>
      </c>
      <c r="AK24" s="49">
        <f t="shared" si="5"/>
        <v>7</v>
      </c>
      <c r="AL24" s="50">
        <f t="shared" si="6"/>
        <v>1</v>
      </c>
      <c r="AM24" s="51">
        <f t="shared" si="7"/>
        <v>2</v>
      </c>
      <c r="AN24" s="52">
        <f t="shared" ref="AN24:AO24" si="26">COUNTIF($C24:$AF24,"PH")</f>
        <v>6</v>
      </c>
      <c r="AO24" s="52">
        <f t="shared" si="26"/>
        <v>6</v>
      </c>
      <c r="AP24" s="67"/>
      <c r="AQ24" s="67"/>
      <c r="AR24" s="67"/>
      <c r="AS24" s="67"/>
      <c r="AT24" s="67"/>
    </row>
    <row r="25" ht="12.75" customHeight="1">
      <c r="A25" s="221" t="s">
        <v>253</v>
      </c>
      <c r="B25" s="222" t="s">
        <v>119</v>
      </c>
      <c r="C25" s="254" t="s">
        <v>53</v>
      </c>
      <c r="D25" s="224" t="s">
        <v>53</v>
      </c>
      <c r="E25" s="251" t="s">
        <v>49</v>
      </c>
      <c r="F25" s="226" t="s">
        <v>49</v>
      </c>
      <c r="G25" s="235" t="s">
        <v>47</v>
      </c>
      <c r="H25" s="227" t="s">
        <v>43</v>
      </c>
      <c r="I25" s="227" t="s">
        <v>43</v>
      </c>
      <c r="J25" s="224" t="s">
        <v>53</v>
      </c>
      <c r="K25" s="224" t="s">
        <v>53</v>
      </c>
      <c r="L25" s="253" t="s">
        <v>47</v>
      </c>
      <c r="M25" s="231" t="s">
        <v>47</v>
      </c>
      <c r="N25" s="227" t="s">
        <v>43</v>
      </c>
      <c r="O25" s="227" t="s">
        <v>43</v>
      </c>
      <c r="P25" s="236" t="s">
        <v>49</v>
      </c>
      <c r="Q25" s="224" t="s">
        <v>53</v>
      </c>
      <c r="R25" s="224" t="s">
        <v>53</v>
      </c>
      <c r="S25" s="248" t="s">
        <v>48</v>
      </c>
      <c r="T25" s="230" t="s">
        <v>47</v>
      </c>
      <c r="U25" s="227" t="s">
        <v>43</v>
      </c>
      <c r="V25" s="227" t="s">
        <v>43</v>
      </c>
      <c r="W25" s="227" t="s">
        <v>43</v>
      </c>
      <c r="X25" s="224" t="s">
        <v>53</v>
      </c>
      <c r="Y25" s="224" t="s">
        <v>53</v>
      </c>
      <c r="Z25" s="253" t="s">
        <v>47</v>
      </c>
      <c r="AA25" s="230" t="s">
        <v>47</v>
      </c>
      <c r="AB25" s="227" t="s">
        <v>43</v>
      </c>
      <c r="AC25" s="227" t="s">
        <v>43</v>
      </c>
      <c r="AD25" s="237" t="s">
        <v>48</v>
      </c>
      <c r="AE25" s="224" t="s">
        <v>53</v>
      </c>
      <c r="AF25" s="229" t="s">
        <v>53</v>
      </c>
      <c r="AG25" s="25"/>
      <c r="AH25" s="47">
        <f t="shared" si="2"/>
        <v>9</v>
      </c>
      <c r="AI25" s="48">
        <f t="shared" si="3"/>
        <v>9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6</v>
      </c>
      <c r="AN25" s="52">
        <f t="shared" ref="AN25:AO25" si="27">COUNTIF($C25:$AF25,"PH")</f>
        <v>3</v>
      </c>
      <c r="AO25" s="52">
        <f t="shared" si="27"/>
        <v>3</v>
      </c>
      <c r="AP25" s="67"/>
      <c r="AQ25" s="67"/>
      <c r="AR25" s="67"/>
      <c r="AS25" s="67"/>
      <c r="AT25" s="67"/>
    </row>
    <row r="26" ht="12.75" customHeight="1">
      <c r="A26" s="232" t="s">
        <v>254</v>
      </c>
      <c r="B26" s="222" t="s">
        <v>122</v>
      </c>
      <c r="C26" s="271" t="s">
        <v>46</v>
      </c>
      <c r="D26" s="228" t="s">
        <v>45</v>
      </c>
      <c r="E26" s="270" t="s">
        <v>46</v>
      </c>
      <c r="F26" s="231" t="s">
        <v>44</v>
      </c>
      <c r="G26" s="264" t="s">
        <v>53</v>
      </c>
      <c r="H26" s="224" t="s">
        <v>53</v>
      </c>
      <c r="I26" s="235" t="s">
        <v>47</v>
      </c>
      <c r="J26" s="228" t="s">
        <v>46</v>
      </c>
      <c r="K26" s="228" t="s">
        <v>47</v>
      </c>
      <c r="L26" s="247" t="s">
        <v>44</v>
      </c>
      <c r="M26" s="231" t="s">
        <v>43</v>
      </c>
      <c r="N26" s="224" t="s">
        <v>53</v>
      </c>
      <c r="O26" s="224" t="s">
        <v>53</v>
      </c>
      <c r="P26" s="235" t="s">
        <v>47</v>
      </c>
      <c r="Q26" s="227" t="s">
        <v>45</v>
      </c>
      <c r="R26" s="227" t="s">
        <v>45</v>
      </c>
      <c r="S26" s="247" t="s">
        <v>45</v>
      </c>
      <c r="T26" s="258" t="s">
        <v>48</v>
      </c>
      <c r="U26" s="224" t="s">
        <v>53</v>
      </c>
      <c r="V26" s="224" t="s">
        <v>53</v>
      </c>
      <c r="W26" s="237" t="s">
        <v>48</v>
      </c>
      <c r="X26" s="237" t="s">
        <v>48</v>
      </c>
      <c r="Y26" s="237" t="s">
        <v>48</v>
      </c>
      <c r="Z26" s="247" t="s">
        <v>44</v>
      </c>
      <c r="AA26" s="231" t="s">
        <v>44</v>
      </c>
      <c r="AB26" s="224" t="s">
        <v>53</v>
      </c>
      <c r="AC26" s="224" t="s">
        <v>53</v>
      </c>
      <c r="AD26" s="237" t="s">
        <v>48</v>
      </c>
      <c r="AE26" s="237" t="s">
        <v>48</v>
      </c>
      <c r="AF26" s="253" t="s">
        <v>47</v>
      </c>
      <c r="AG26" s="25"/>
      <c r="AH26" s="47">
        <f t="shared" si="2"/>
        <v>5</v>
      </c>
      <c r="AI26" s="48">
        <f t="shared" si="3"/>
        <v>1</v>
      </c>
      <c r="AJ26" s="48">
        <f t="shared" si="4"/>
        <v>4</v>
      </c>
      <c r="AK26" s="49">
        <f t="shared" si="5"/>
        <v>4</v>
      </c>
      <c r="AL26" s="50">
        <f t="shared" si="6"/>
        <v>3</v>
      </c>
      <c r="AM26" s="51">
        <f t="shared" si="7"/>
        <v>4</v>
      </c>
      <c r="AN26" s="52">
        <f t="shared" ref="AN26:AO26" si="28">COUNTIF($C26:$AF26,"PH")</f>
        <v>0</v>
      </c>
      <c r="AO26" s="52">
        <f t="shared" si="28"/>
        <v>0</v>
      </c>
      <c r="AP26" s="67"/>
      <c r="AQ26" s="67"/>
      <c r="AR26" s="67"/>
      <c r="AS26" s="67"/>
      <c r="AT26" s="67"/>
    </row>
    <row r="27" ht="12.75" customHeight="1">
      <c r="A27" s="232" t="s">
        <v>255</v>
      </c>
      <c r="B27" s="260" t="s">
        <v>125</v>
      </c>
      <c r="C27" s="271" t="s">
        <v>45</v>
      </c>
      <c r="D27" s="228" t="s">
        <v>43</v>
      </c>
      <c r="E27" s="270" t="s">
        <v>43</v>
      </c>
      <c r="F27" s="268" t="s">
        <v>43</v>
      </c>
      <c r="G27" s="224" t="s">
        <v>53</v>
      </c>
      <c r="H27" s="224" t="s">
        <v>53</v>
      </c>
      <c r="I27" s="227" t="s">
        <v>46</v>
      </c>
      <c r="J27" s="228" t="s">
        <v>45</v>
      </c>
      <c r="K27" s="228" t="s">
        <v>45</v>
      </c>
      <c r="L27" s="250" t="s">
        <v>43</v>
      </c>
      <c r="M27" s="268" t="s">
        <v>43</v>
      </c>
      <c r="N27" s="224" t="s">
        <v>53</v>
      </c>
      <c r="O27" s="224" t="s">
        <v>53</v>
      </c>
      <c r="P27" s="227" t="s">
        <v>47</v>
      </c>
      <c r="Q27" s="228" t="s">
        <v>47</v>
      </c>
      <c r="R27" s="228" t="s">
        <v>47</v>
      </c>
      <c r="S27" s="247" t="s">
        <v>44</v>
      </c>
      <c r="T27" s="231" t="s">
        <v>43</v>
      </c>
      <c r="U27" s="224" t="s">
        <v>53</v>
      </c>
      <c r="V27" s="224" t="s">
        <v>53</v>
      </c>
      <c r="W27" s="235" t="s">
        <v>47</v>
      </c>
      <c r="X27" s="235" t="s">
        <v>47</v>
      </c>
      <c r="Y27" s="235" t="s">
        <v>47</v>
      </c>
      <c r="Z27" s="247" t="s">
        <v>45</v>
      </c>
      <c r="AA27" s="226" t="s">
        <v>49</v>
      </c>
      <c r="AB27" s="224" t="s">
        <v>53</v>
      </c>
      <c r="AC27" s="224" t="s">
        <v>53</v>
      </c>
      <c r="AD27" s="227" t="s">
        <v>47</v>
      </c>
      <c r="AE27" s="227" t="s">
        <v>45</v>
      </c>
      <c r="AF27" s="247" t="s">
        <v>43</v>
      </c>
      <c r="AG27" s="25"/>
      <c r="AH27" s="47">
        <f t="shared" si="2"/>
        <v>8</v>
      </c>
      <c r="AI27" s="48">
        <f t="shared" si="3"/>
        <v>7</v>
      </c>
      <c r="AJ27" s="48">
        <f t="shared" si="4"/>
        <v>1</v>
      </c>
      <c r="AK27" s="49">
        <f t="shared" si="5"/>
        <v>5</v>
      </c>
      <c r="AL27" s="50">
        <f t="shared" si="6"/>
        <v>1</v>
      </c>
      <c r="AM27" s="51">
        <f t="shared" si="7"/>
        <v>7</v>
      </c>
      <c r="AN27" s="52">
        <f t="shared" ref="AN27:AO27" si="29">COUNTIF($C27:$AF27,"PH")</f>
        <v>1</v>
      </c>
      <c r="AO27" s="52">
        <f t="shared" si="29"/>
        <v>1</v>
      </c>
      <c r="AP27" s="67"/>
      <c r="AQ27" s="67"/>
      <c r="AR27" s="67"/>
      <c r="AS27" s="67"/>
      <c r="AT27" s="67"/>
    </row>
    <row r="28" ht="12.75" customHeight="1">
      <c r="A28" s="221" t="s">
        <v>256</v>
      </c>
      <c r="B28" s="222" t="s">
        <v>128</v>
      </c>
      <c r="C28" s="254" t="s">
        <v>53</v>
      </c>
      <c r="D28" s="224" t="s">
        <v>53</v>
      </c>
      <c r="E28" s="249" t="s">
        <v>46</v>
      </c>
      <c r="F28" s="231" t="s">
        <v>45</v>
      </c>
      <c r="G28" s="236" t="s">
        <v>49</v>
      </c>
      <c r="H28" s="227" t="s">
        <v>47</v>
      </c>
      <c r="I28" s="227" t="s">
        <v>44</v>
      </c>
      <c r="J28" s="224" t="s">
        <v>53</v>
      </c>
      <c r="K28" s="224" t="s">
        <v>53</v>
      </c>
      <c r="L28" s="253" t="s">
        <v>47</v>
      </c>
      <c r="M28" s="231" t="s">
        <v>47</v>
      </c>
      <c r="N28" s="236" t="s">
        <v>49</v>
      </c>
      <c r="O28" s="227" t="s">
        <v>44</v>
      </c>
      <c r="P28" s="227" t="s">
        <v>43</v>
      </c>
      <c r="Q28" s="224" t="s">
        <v>53</v>
      </c>
      <c r="R28" s="224" t="s">
        <v>53</v>
      </c>
      <c r="S28" s="253" t="s">
        <v>47</v>
      </c>
      <c r="T28" s="231" t="s">
        <v>45</v>
      </c>
      <c r="U28" s="236" t="s">
        <v>49</v>
      </c>
      <c r="V28" s="227" t="s">
        <v>44</v>
      </c>
      <c r="W28" s="227" t="s">
        <v>43</v>
      </c>
      <c r="X28" s="224" t="s">
        <v>53</v>
      </c>
      <c r="Y28" s="224" t="s">
        <v>53</v>
      </c>
      <c r="Z28" s="253" t="s">
        <v>47</v>
      </c>
      <c r="AA28" s="268" t="s">
        <v>45</v>
      </c>
      <c r="AB28" s="236" t="s">
        <v>49</v>
      </c>
      <c r="AC28" s="227" t="s">
        <v>44</v>
      </c>
      <c r="AD28" s="227" t="s">
        <v>43</v>
      </c>
      <c r="AE28" s="224" t="s">
        <v>53</v>
      </c>
      <c r="AF28" s="229" t="s">
        <v>53</v>
      </c>
      <c r="AG28" s="25"/>
      <c r="AH28" s="47">
        <f t="shared" si="2"/>
        <v>7</v>
      </c>
      <c r="AI28" s="48">
        <f t="shared" si="3"/>
        <v>3</v>
      </c>
      <c r="AJ28" s="48">
        <f t="shared" si="4"/>
        <v>4</v>
      </c>
      <c r="AK28" s="49">
        <f t="shared" si="5"/>
        <v>3</v>
      </c>
      <c r="AL28" s="50">
        <f t="shared" si="6"/>
        <v>1</v>
      </c>
      <c r="AM28" s="51">
        <f t="shared" si="7"/>
        <v>5</v>
      </c>
      <c r="AN28" s="52">
        <f t="shared" ref="AN28:AO28" si="30">COUNTIF($C28:$AF28,"PH")</f>
        <v>4</v>
      </c>
      <c r="AO28" s="52">
        <f t="shared" si="30"/>
        <v>4</v>
      </c>
      <c r="AP28" s="67"/>
      <c r="AQ28" s="67"/>
      <c r="AR28" s="67"/>
      <c r="AS28" s="67"/>
      <c r="AT28" s="67"/>
    </row>
    <row r="29" ht="12.75" customHeight="1">
      <c r="A29" s="221" t="s">
        <v>257</v>
      </c>
      <c r="B29" s="222" t="s">
        <v>131</v>
      </c>
      <c r="C29" s="223" t="s">
        <v>45</v>
      </c>
      <c r="D29" s="227" t="s">
        <v>44</v>
      </c>
      <c r="E29" s="249" t="s">
        <v>43</v>
      </c>
      <c r="F29" s="234" t="s">
        <v>53</v>
      </c>
      <c r="G29" s="224" t="s">
        <v>53</v>
      </c>
      <c r="H29" s="227" t="s">
        <v>45</v>
      </c>
      <c r="I29" s="227" t="s">
        <v>45</v>
      </c>
      <c r="J29" s="227" t="s">
        <v>45</v>
      </c>
      <c r="K29" s="227" t="s">
        <v>44</v>
      </c>
      <c r="L29" s="247" t="s">
        <v>43</v>
      </c>
      <c r="M29" s="234" t="s">
        <v>53</v>
      </c>
      <c r="N29" s="224" t="s">
        <v>53</v>
      </c>
      <c r="O29" s="236" t="s">
        <v>49</v>
      </c>
      <c r="P29" s="236" t="s">
        <v>49</v>
      </c>
      <c r="Q29" s="227" t="s">
        <v>45</v>
      </c>
      <c r="R29" s="227" t="s">
        <v>45</v>
      </c>
      <c r="S29" s="250" t="s">
        <v>43</v>
      </c>
      <c r="T29" s="234" t="s">
        <v>53</v>
      </c>
      <c r="U29" s="224" t="s">
        <v>53</v>
      </c>
      <c r="V29" s="236" t="s">
        <v>49</v>
      </c>
      <c r="W29" s="227" t="s">
        <v>45</v>
      </c>
      <c r="X29" s="227" t="s">
        <v>45</v>
      </c>
      <c r="Y29" s="236" t="s">
        <v>49</v>
      </c>
      <c r="Z29" s="267" t="s">
        <v>49</v>
      </c>
      <c r="AA29" s="234" t="s">
        <v>53</v>
      </c>
      <c r="AB29" s="224" t="s">
        <v>53</v>
      </c>
      <c r="AC29" s="227" t="s">
        <v>45</v>
      </c>
      <c r="AD29" s="227" t="s">
        <v>45</v>
      </c>
      <c r="AE29" s="227" t="s">
        <v>45</v>
      </c>
      <c r="AF29" s="247" t="s">
        <v>43</v>
      </c>
      <c r="AG29" s="25"/>
      <c r="AH29" s="47">
        <f t="shared" si="2"/>
        <v>6</v>
      </c>
      <c r="AI29" s="48">
        <f t="shared" si="3"/>
        <v>4</v>
      </c>
      <c r="AJ29" s="48">
        <f t="shared" si="4"/>
        <v>2</v>
      </c>
      <c r="AK29" s="49">
        <f t="shared" si="5"/>
        <v>11</v>
      </c>
      <c r="AL29" s="50">
        <f t="shared" si="6"/>
        <v>0</v>
      </c>
      <c r="AM29" s="51">
        <f t="shared" si="7"/>
        <v>0</v>
      </c>
      <c r="AN29" s="52">
        <f t="shared" ref="AN29:AO29" si="31">COUNTIF($C29:$AF29,"PH")</f>
        <v>5</v>
      </c>
      <c r="AO29" s="52">
        <f t="shared" si="31"/>
        <v>5</v>
      </c>
      <c r="AP29" s="67"/>
      <c r="AQ29" s="67"/>
      <c r="AR29" s="67"/>
      <c r="AS29" s="67"/>
      <c r="AT29" s="67"/>
    </row>
    <row r="30" ht="12.75" customHeight="1">
      <c r="A30" s="221" t="s">
        <v>258</v>
      </c>
      <c r="B30" s="222" t="s">
        <v>134</v>
      </c>
      <c r="C30" s="245" t="s">
        <v>49</v>
      </c>
      <c r="D30" s="224" t="s">
        <v>53</v>
      </c>
      <c r="E30" s="225" t="s">
        <v>53</v>
      </c>
      <c r="F30" s="230" t="s">
        <v>47</v>
      </c>
      <c r="G30" s="227" t="s">
        <v>46</v>
      </c>
      <c r="H30" s="237" t="s">
        <v>48</v>
      </c>
      <c r="I30" s="237" t="s">
        <v>48</v>
      </c>
      <c r="J30" s="237" t="s">
        <v>48</v>
      </c>
      <c r="K30" s="224" t="s">
        <v>53</v>
      </c>
      <c r="L30" s="229" t="s">
        <v>53</v>
      </c>
      <c r="M30" s="231" t="s">
        <v>46</v>
      </c>
      <c r="N30" s="227" t="s">
        <v>46</v>
      </c>
      <c r="O30" s="227" t="s">
        <v>45</v>
      </c>
      <c r="P30" s="227" t="s">
        <v>43</v>
      </c>
      <c r="Q30" s="227" t="s">
        <v>43</v>
      </c>
      <c r="R30" s="224" t="s">
        <v>53</v>
      </c>
      <c r="S30" s="229" t="s">
        <v>53</v>
      </c>
      <c r="T30" s="230" t="s">
        <v>47</v>
      </c>
      <c r="U30" s="227" t="s">
        <v>46</v>
      </c>
      <c r="V30" s="227" t="s">
        <v>46</v>
      </c>
      <c r="W30" s="227" t="s">
        <v>46</v>
      </c>
      <c r="X30" s="227" t="s">
        <v>43</v>
      </c>
      <c r="Y30" s="224" t="s">
        <v>53</v>
      </c>
      <c r="Z30" s="229" t="s">
        <v>53</v>
      </c>
      <c r="AA30" s="231" t="s">
        <v>45</v>
      </c>
      <c r="AB30" s="227" t="s">
        <v>45</v>
      </c>
      <c r="AC30" s="227" t="s">
        <v>45</v>
      </c>
      <c r="AD30" s="227" t="s">
        <v>43</v>
      </c>
      <c r="AE30" s="227" t="s">
        <v>43</v>
      </c>
      <c r="AF30" s="229" t="s">
        <v>53</v>
      </c>
      <c r="AG30" s="25"/>
      <c r="AH30" s="47">
        <f t="shared" si="2"/>
        <v>5</v>
      </c>
      <c r="AI30" s="48">
        <f t="shared" si="3"/>
        <v>5</v>
      </c>
      <c r="AJ30" s="48">
        <f t="shared" si="4"/>
        <v>0</v>
      </c>
      <c r="AK30" s="49">
        <f t="shared" si="5"/>
        <v>4</v>
      </c>
      <c r="AL30" s="50">
        <f t="shared" si="6"/>
        <v>6</v>
      </c>
      <c r="AM30" s="51">
        <f t="shared" si="7"/>
        <v>2</v>
      </c>
      <c r="AN30" s="52">
        <f t="shared" ref="AN30:AO30" si="32">COUNTIF($C30:$AF30,"PH")</f>
        <v>1</v>
      </c>
      <c r="AO30" s="52">
        <f t="shared" si="32"/>
        <v>1</v>
      </c>
      <c r="AP30" s="67"/>
      <c r="AQ30" s="67"/>
      <c r="AR30" s="67"/>
      <c r="AS30" s="67"/>
      <c r="AT30" s="67"/>
    </row>
    <row r="31" ht="12.75" customHeight="1">
      <c r="A31" s="221" t="s">
        <v>259</v>
      </c>
      <c r="B31" s="222" t="s">
        <v>137</v>
      </c>
      <c r="C31" s="223" t="s">
        <v>45</v>
      </c>
      <c r="D31" s="227" t="s">
        <v>44</v>
      </c>
      <c r="E31" s="249" t="s">
        <v>43</v>
      </c>
      <c r="F31" s="234" t="s">
        <v>53</v>
      </c>
      <c r="G31" s="224" t="s">
        <v>53</v>
      </c>
      <c r="H31" s="227" t="s">
        <v>45</v>
      </c>
      <c r="I31" s="227" t="s">
        <v>45</v>
      </c>
      <c r="J31" s="227" t="s">
        <v>45</v>
      </c>
      <c r="K31" s="227" t="s">
        <v>44</v>
      </c>
      <c r="L31" s="247" t="s">
        <v>43</v>
      </c>
      <c r="M31" s="234" t="s">
        <v>53</v>
      </c>
      <c r="N31" s="224" t="s">
        <v>53</v>
      </c>
      <c r="O31" s="236" t="s">
        <v>49</v>
      </c>
      <c r="P31" s="236" t="s">
        <v>49</v>
      </c>
      <c r="Q31" s="236" t="s">
        <v>49</v>
      </c>
      <c r="R31" s="227" t="s">
        <v>45</v>
      </c>
      <c r="S31" s="250" t="s">
        <v>43</v>
      </c>
      <c r="T31" s="234" t="s">
        <v>53</v>
      </c>
      <c r="U31" s="224" t="s">
        <v>53</v>
      </c>
      <c r="V31" s="227" t="s">
        <v>45</v>
      </c>
      <c r="W31" s="227" t="s">
        <v>45</v>
      </c>
      <c r="X31" s="227" t="s">
        <v>44</v>
      </c>
      <c r="Y31" s="236" t="s">
        <v>49</v>
      </c>
      <c r="Z31" s="267" t="s">
        <v>49</v>
      </c>
      <c r="AA31" s="234" t="s">
        <v>53</v>
      </c>
      <c r="AB31" s="224" t="s">
        <v>53</v>
      </c>
      <c r="AC31" s="227" t="s">
        <v>45</v>
      </c>
      <c r="AD31" s="227" t="s">
        <v>45</v>
      </c>
      <c r="AE31" s="227" t="s">
        <v>45</v>
      </c>
      <c r="AF31" s="247" t="s">
        <v>44</v>
      </c>
      <c r="AG31" s="25"/>
      <c r="AH31" s="47">
        <f t="shared" si="2"/>
        <v>7</v>
      </c>
      <c r="AI31" s="48">
        <f t="shared" si="3"/>
        <v>3</v>
      </c>
      <c r="AJ31" s="48">
        <f t="shared" si="4"/>
        <v>4</v>
      </c>
      <c r="AK31" s="49">
        <f t="shared" si="5"/>
        <v>10</v>
      </c>
      <c r="AL31" s="50">
        <f t="shared" si="6"/>
        <v>0</v>
      </c>
      <c r="AM31" s="51">
        <f t="shared" si="7"/>
        <v>0</v>
      </c>
      <c r="AN31" s="52">
        <f t="shared" ref="AN31:AO31" si="33">COUNTIF($C31:$AF31,"PH")</f>
        <v>5</v>
      </c>
      <c r="AO31" s="52">
        <f t="shared" si="33"/>
        <v>5</v>
      </c>
      <c r="AP31" s="67"/>
      <c r="AQ31" s="67"/>
      <c r="AR31" s="67"/>
      <c r="AS31" s="67"/>
      <c r="AT31" s="67"/>
    </row>
    <row r="32" ht="12.75" customHeight="1">
      <c r="A32" s="221" t="s">
        <v>260</v>
      </c>
      <c r="B32" s="222" t="s">
        <v>140</v>
      </c>
      <c r="C32" s="223" t="s">
        <v>46</v>
      </c>
      <c r="D32" s="227" t="s">
        <v>47</v>
      </c>
      <c r="E32" s="249" t="s">
        <v>45</v>
      </c>
      <c r="F32" s="234" t="s">
        <v>53</v>
      </c>
      <c r="G32" s="224" t="s">
        <v>53</v>
      </c>
      <c r="H32" s="227" t="s">
        <v>46</v>
      </c>
      <c r="I32" s="227" t="s">
        <v>46</v>
      </c>
      <c r="J32" s="227" t="s">
        <v>45</v>
      </c>
      <c r="K32" s="227" t="s">
        <v>45</v>
      </c>
      <c r="L32" s="247" t="s">
        <v>45</v>
      </c>
      <c r="M32" s="234" t="s">
        <v>53</v>
      </c>
      <c r="N32" s="224" t="s">
        <v>53</v>
      </c>
      <c r="O32" s="227" t="s">
        <v>46</v>
      </c>
      <c r="P32" s="227" t="s">
        <v>46</v>
      </c>
      <c r="Q32" s="227" t="s">
        <v>47</v>
      </c>
      <c r="R32" s="227" t="s">
        <v>44</v>
      </c>
      <c r="S32" s="247" t="s">
        <v>44</v>
      </c>
      <c r="T32" s="234" t="s">
        <v>53</v>
      </c>
      <c r="U32" s="224" t="s">
        <v>53</v>
      </c>
      <c r="V32" s="227" t="s">
        <v>46</v>
      </c>
      <c r="W32" s="227" t="s">
        <v>46</v>
      </c>
      <c r="X32" s="227" t="s">
        <v>47</v>
      </c>
      <c r="Y32" s="227" t="s">
        <v>45</v>
      </c>
      <c r="Z32" s="247" t="s">
        <v>45</v>
      </c>
      <c r="AA32" s="234" t="s">
        <v>53</v>
      </c>
      <c r="AB32" s="224" t="s">
        <v>53</v>
      </c>
      <c r="AC32" s="235" t="s">
        <v>47</v>
      </c>
      <c r="AD32" s="227" t="s">
        <v>46</v>
      </c>
      <c r="AE32" s="227" t="s">
        <v>47</v>
      </c>
      <c r="AF32" s="247" t="s">
        <v>45</v>
      </c>
      <c r="AG32" s="25"/>
      <c r="AH32" s="47">
        <f t="shared" si="2"/>
        <v>2</v>
      </c>
      <c r="AI32" s="48">
        <f t="shared" si="3"/>
        <v>0</v>
      </c>
      <c r="AJ32" s="48">
        <f t="shared" si="4"/>
        <v>2</v>
      </c>
      <c r="AK32" s="49">
        <f t="shared" si="5"/>
        <v>7</v>
      </c>
      <c r="AL32" s="50">
        <f t="shared" si="6"/>
        <v>8</v>
      </c>
      <c r="AM32" s="51">
        <f t="shared" si="7"/>
        <v>5</v>
      </c>
      <c r="AN32" s="52">
        <f t="shared" ref="AN32:AO32" si="34">COUNTIF($C32:$AF32,"PH")</f>
        <v>0</v>
      </c>
      <c r="AO32" s="52">
        <f t="shared" si="34"/>
        <v>0</v>
      </c>
      <c r="AP32" s="67"/>
      <c r="AQ32" s="67"/>
      <c r="AR32" s="67"/>
      <c r="AS32" s="67"/>
      <c r="AT32" s="67"/>
    </row>
    <row r="33" ht="12.75" customHeight="1">
      <c r="A33" s="232" t="s">
        <v>261</v>
      </c>
      <c r="B33" s="222" t="s">
        <v>143</v>
      </c>
      <c r="C33" s="245" t="s">
        <v>49</v>
      </c>
      <c r="D33" s="236" t="s">
        <v>49</v>
      </c>
      <c r="E33" s="251" t="s">
        <v>49</v>
      </c>
      <c r="F33" s="258" t="s">
        <v>48</v>
      </c>
      <c r="G33" s="224" t="s">
        <v>53</v>
      </c>
      <c r="H33" s="224" t="s">
        <v>53</v>
      </c>
      <c r="I33" s="237" t="s">
        <v>48</v>
      </c>
      <c r="J33" s="237" t="s">
        <v>48</v>
      </c>
      <c r="K33" s="237" t="s">
        <v>48</v>
      </c>
      <c r="L33" s="248" t="s">
        <v>48</v>
      </c>
      <c r="M33" s="258" t="s">
        <v>48</v>
      </c>
      <c r="N33" s="224" t="s">
        <v>53</v>
      </c>
      <c r="O33" s="224" t="s">
        <v>53</v>
      </c>
      <c r="P33" s="240" t="s">
        <v>47</v>
      </c>
      <c r="Q33" s="240" t="s">
        <v>47</v>
      </c>
      <c r="R33" s="240" t="s">
        <v>47</v>
      </c>
      <c r="S33" s="272" t="s">
        <v>47</v>
      </c>
      <c r="T33" s="273" t="s">
        <v>47</v>
      </c>
      <c r="U33" s="224" t="s">
        <v>53</v>
      </c>
      <c r="V33" s="224" t="s">
        <v>53</v>
      </c>
      <c r="W33" s="240" t="s">
        <v>47</v>
      </c>
      <c r="X33" s="240" t="s">
        <v>47</v>
      </c>
      <c r="Y33" s="240" t="s">
        <v>47</v>
      </c>
      <c r="Z33" s="272" t="s">
        <v>47</v>
      </c>
      <c r="AA33" s="273" t="s">
        <v>47</v>
      </c>
      <c r="AB33" s="224" t="s">
        <v>53</v>
      </c>
      <c r="AC33" s="224" t="s">
        <v>53</v>
      </c>
      <c r="AD33" s="240" t="s">
        <v>47</v>
      </c>
      <c r="AE33" s="240" t="s">
        <v>47</v>
      </c>
      <c r="AF33" s="272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13</v>
      </c>
      <c r="AN33" s="52">
        <f t="shared" ref="AN33:AO33" si="35">COUNTIF($C33:$AF33,"PH")</f>
        <v>3</v>
      </c>
      <c r="AO33" s="52">
        <f t="shared" si="35"/>
        <v>3</v>
      </c>
      <c r="AP33" s="67"/>
      <c r="AQ33" s="67"/>
      <c r="AR33" s="67"/>
      <c r="AS33" s="67"/>
      <c r="AT33" s="67"/>
    </row>
    <row r="34" ht="12.75" customHeight="1">
      <c r="A34" s="221" t="s">
        <v>262</v>
      </c>
      <c r="B34" s="222" t="s">
        <v>146</v>
      </c>
      <c r="C34" s="254" t="s">
        <v>53</v>
      </c>
      <c r="D34" s="227" t="s">
        <v>46</v>
      </c>
      <c r="E34" s="249" t="s">
        <v>45</v>
      </c>
      <c r="F34" s="231" t="s">
        <v>45</v>
      </c>
      <c r="G34" s="227" t="s">
        <v>44</v>
      </c>
      <c r="H34" s="227" t="s">
        <v>44</v>
      </c>
      <c r="I34" s="224" t="s">
        <v>53</v>
      </c>
      <c r="J34" s="224" t="s">
        <v>53</v>
      </c>
      <c r="K34" s="235" t="s">
        <v>47</v>
      </c>
      <c r="L34" s="247" t="s">
        <v>46</v>
      </c>
      <c r="M34" s="231" t="s">
        <v>45</v>
      </c>
      <c r="N34" s="227" t="s">
        <v>44</v>
      </c>
      <c r="O34" s="227" t="s">
        <v>44</v>
      </c>
      <c r="P34" s="224" t="s">
        <v>53</v>
      </c>
      <c r="Q34" s="224" t="s">
        <v>53</v>
      </c>
      <c r="R34" s="235" t="s">
        <v>47</v>
      </c>
      <c r="S34" s="247" t="s">
        <v>47</v>
      </c>
      <c r="T34" s="231" t="s">
        <v>45</v>
      </c>
      <c r="U34" s="227" t="s">
        <v>44</v>
      </c>
      <c r="V34" s="227" t="s">
        <v>44</v>
      </c>
      <c r="W34" s="224" t="s">
        <v>53</v>
      </c>
      <c r="X34" s="224" t="s">
        <v>53</v>
      </c>
      <c r="Y34" s="235" t="s">
        <v>47</v>
      </c>
      <c r="Z34" s="247" t="s">
        <v>45</v>
      </c>
      <c r="AA34" s="231" t="s">
        <v>44</v>
      </c>
      <c r="AB34" s="227" t="s">
        <v>43</v>
      </c>
      <c r="AC34" s="227" t="s">
        <v>44</v>
      </c>
      <c r="AD34" s="224" t="s">
        <v>53</v>
      </c>
      <c r="AE34" s="224" t="s">
        <v>53</v>
      </c>
      <c r="AF34" s="247" t="s">
        <v>45</v>
      </c>
      <c r="AG34" s="25" t="s">
        <v>148</v>
      </c>
      <c r="AH34" s="47">
        <f t="shared" si="2"/>
        <v>9</v>
      </c>
      <c r="AI34" s="48">
        <f t="shared" si="3"/>
        <v>1</v>
      </c>
      <c r="AJ34" s="48">
        <f t="shared" si="4"/>
        <v>8</v>
      </c>
      <c r="AK34" s="49">
        <f t="shared" si="5"/>
        <v>6</v>
      </c>
      <c r="AL34" s="50">
        <f t="shared" si="6"/>
        <v>2</v>
      </c>
      <c r="AM34" s="51">
        <f t="shared" si="7"/>
        <v>4</v>
      </c>
      <c r="AN34" s="52">
        <f t="shared" ref="AN34:AO34" si="36">COUNTIF($C34:$AF34,"PH")</f>
        <v>0</v>
      </c>
      <c r="AO34" s="52">
        <f t="shared" si="36"/>
        <v>0</v>
      </c>
      <c r="AP34" s="67"/>
      <c r="AQ34" s="67"/>
      <c r="AR34" s="67"/>
      <c r="AS34" s="67"/>
      <c r="AT34" s="67"/>
    </row>
    <row r="35" ht="12.75" customHeight="1">
      <c r="A35" s="221" t="s">
        <v>263</v>
      </c>
      <c r="B35" s="222" t="s">
        <v>150</v>
      </c>
      <c r="C35" s="223" t="s">
        <v>45</v>
      </c>
      <c r="D35" s="227" t="s">
        <v>45</v>
      </c>
      <c r="E35" s="270" t="s">
        <v>44</v>
      </c>
      <c r="F35" s="268" t="s">
        <v>43</v>
      </c>
      <c r="G35" s="224" t="s">
        <v>53</v>
      </c>
      <c r="H35" s="224" t="s">
        <v>53</v>
      </c>
      <c r="I35" s="235" t="s">
        <v>47</v>
      </c>
      <c r="J35" s="227" t="s">
        <v>45</v>
      </c>
      <c r="K35" s="227" t="s">
        <v>45</v>
      </c>
      <c r="L35" s="247" t="s">
        <v>45</v>
      </c>
      <c r="M35" s="231" t="s">
        <v>43</v>
      </c>
      <c r="N35" s="224" t="s">
        <v>53</v>
      </c>
      <c r="O35" s="224" t="s">
        <v>53</v>
      </c>
      <c r="P35" s="237" t="s">
        <v>48</v>
      </c>
      <c r="Q35" s="227" t="s">
        <v>45</v>
      </c>
      <c r="R35" s="227" t="s">
        <v>45</v>
      </c>
      <c r="S35" s="247" t="s">
        <v>45</v>
      </c>
      <c r="T35" s="231" t="s">
        <v>43</v>
      </c>
      <c r="U35" s="224" t="s">
        <v>53</v>
      </c>
      <c r="V35" s="224" t="s">
        <v>53</v>
      </c>
      <c r="W35" s="235" t="s">
        <v>47</v>
      </c>
      <c r="X35" s="227" t="s">
        <v>45</v>
      </c>
      <c r="Y35" s="227" t="s">
        <v>45</v>
      </c>
      <c r="Z35" s="247" t="s">
        <v>45</v>
      </c>
      <c r="AA35" s="231" t="s">
        <v>43</v>
      </c>
      <c r="AB35" s="224" t="s">
        <v>53</v>
      </c>
      <c r="AC35" s="224" t="s">
        <v>53</v>
      </c>
      <c r="AD35" s="237" t="s">
        <v>48</v>
      </c>
      <c r="AE35" s="227" t="s">
        <v>45</v>
      </c>
      <c r="AF35" s="247" t="s">
        <v>45</v>
      </c>
      <c r="AG35" s="25"/>
      <c r="AH35" s="47">
        <f t="shared" si="2"/>
        <v>5</v>
      </c>
      <c r="AI35" s="48">
        <f t="shared" si="3"/>
        <v>4</v>
      </c>
      <c r="AJ35" s="48">
        <f t="shared" si="4"/>
        <v>1</v>
      </c>
      <c r="AK35" s="49">
        <f t="shared" si="5"/>
        <v>13</v>
      </c>
      <c r="AL35" s="50">
        <f t="shared" si="6"/>
        <v>0</v>
      </c>
      <c r="AM35" s="51">
        <f t="shared" si="7"/>
        <v>2</v>
      </c>
      <c r="AN35" s="52">
        <f t="shared" ref="AN35:AO35" si="37">COUNTIF($C35:$AF35,"PH")</f>
        <v>0</v>
      </c>
      <c r="AO35" s="52">
        <f t="shared" si="37"/>
        <v>0</v>
      </c>
      <c r="AP35" s="67"/>
      <c r="AQ35" s="67"/>
      <c r="AR35" s="67"/>
      <c r="AS35" s="67"/>
      <c r="AT35" s="67"/>
    </row>
    <row r="36" ht="12.75" customHeight="1">
      <c r="A36" s="221" t="s">
        <v>264</v>
      </c>
      <c r="B36" s="222" t="s">
        <v>153</v>
      </c>
      <c r="C36" s="261" t="s">
        <v>45</v>
      </c>
      <c r="D36" s="242" t="s">
        <v>45</v>
      </c>
      <c r="E36" s="249" t="s">
        <v>44</v>
      </c>
      <c r="F36" s="231" t="s">
        <v>44</v>
      </c>
      <c r="G36" s="224" t="s">
        <v>53</v>
      </c>
      <c r="H36" s="224" t="s">
        <v>53</v>
      </c>
      <c r="I36" s="236" t="s">
        <v>49</v>
      </c>
      <c r="J36" s="236" t="s">
        <v>49</v>
      </c>
      <c r="K36" s="227" t="s">
        <v>45</v>
      </c>
      <c r="L36" s="247" t="s">
        <v>44</v>
      </c>
      <c r="M36" s="226" t="s">
        <v>49</v>
      </c>
      <c r="N36" s="224" t="s">
        <v>53</v>
      </c>
      <c r="O36" s="224" t="s">
        <v>53</v>
      </c>
      <c r="P36" s="240" t="s">
        <v>47</v>
      </c>
      <c r="Q36" s="240" t="s">
        <v>47</v>
      </c>
      <c r="R36" s="227" t="s">
        <v>45</v>
      </c>
      <c r="S36" s="247" t="s">
        <v>45</v>
      </c>
      <c r="T36" s="226" t="s">
        <v>49</v>
      </c>
      <c r="U36" s="224" t="s">
        <v>53</v>
      </c>
      <c r="V36" s="224" t="s">
        <v>53</v>
      </c>
      <c r="W36" s="240" t="s">
        <v>47</v>
      </c>
      <c r="X36" s="240" t="s">
        <v>47</v>
      </c>
      <c r="Y36" s="227" t="s">
        <v>45</v>
      </c>
      <c r="Z36" s="247" t="s">
        <v>44</v>
      </c>
      <c r="AA36" s="231" t="s">
        <v>43</v>
      </c>
      <c r="AB36" s="224" t="s">
        <v>53</v>
      </c>
      <c r="AC36" s="224" t="s">
        <v>53</v>
      </c>
      <c r="AD36" s="235" t="s">
        <v>47</v>
      </c>
      <c r="AE36" s="242" t="s">
        <v>46</v>
      </c>
      <c r="AF36" s="247" t="s">
        <v>45</v>
      </c>
      <c r="AG36" s="25"/>
      <c r="AH36" s="47">
        <f t="shared" si="2"/>
        <v>5</v>
      </c>
      <c r="AI36" s="48">
        <f t="shared" si="3"/>
        <v>1</v>
      </c>
      <c r="AJ36" s="48">
        <f t="shared" si="4"/>
        <v>4</v>
      </c>
      <c r="AK36" s="49">
        <f t="shared" si="5"/>
        <v>7</v>
      </c>
      <c r="AL36" s="50">
        <f t="shared" si="6"/>
        <v>1</v>
      </c>
      <c r="AM36" s="51">
        <f t="shared" si="7"/>
        <v>5</v>
      </c>
      <c r="AN36" s="52">
        <f t="shared" ref="AN36:AO36" si="38">COUNTIF($C36:$AF36,"PH")</f>
        <v>4</v>
      </c>
      <c r="AO36" s="52">
        <f t="shared" si="38"/>
        <v>4</v>
      </c>
      <c r="AP36" s="67"/>
      <c r="AQ36" s="67"/>
      <c r="AR36" s="67"/>
      <c r="AS36" s="67"/>
      <c r="AT36" s="67"/>
    </row>
    <row r="37" ht="12.75" customHeight="1">
      <c r="A37" s="221" t="s">
        <v>265</v>
      </c>
      <c r="B37" s="222" t="s">
        <v>156</v>
      </c>
      <c r="C37" s="223" t="s">
        <v>43</v>
      </c>
      <c r="D37" s="227" t="s">
        <v>43</v>
      </c>
      <c r="E37" s="249" t="s">
        <v>43</v>
      </c>
      <c r="F37" s="234" t="s">
        <v>53</v>
      </c>
      <c r="G37" s="224" t="s">
        <v>53</v>
      </c>
      <c r="H37" s="235" t="s">
        <v>47</v>
      </c>
      <c r="I37" s="274" t="s">
        <v>47</v>
      </c>
      <c r="J37" s="274" t="s">
        <v>47</v>
      </c>
      <c r="K37" s="228" t="s">
        <v>43</v>
      </c>
      <c r="L37" s="250" t="s">
        <v>43</v>
      </c>
      <c r="M37" s="234" t="s">
        <v>53</v>
      </c>
      <c r="N37" s="224" t="s">
        <v>53</v>
      </c>
      <c r="O37" s="235" t="s">
        <v>47</v>
      </c>
      <c r="P37" s="227" t="s">
        <v>47</v>
      </c>
      <c r="Q37" s="227" t="s">
        <v>43</v>
      </c>
      <c r="R37" s="227" t="s">
        <v>43</v>
      </c>
      <c r="S37" s="250" t="s">
        <v>43</v>
      </c>
      <c r="T37" s="234" t="s">
        <v>53</v>
      </c>
      <c r="U37" s="224" t="s">
        <v>53</v>
      </c>
      <c r="V37" s="235" t="s">
        <v>47</v>
      </c>
      <c r="W37" s="235" t="s">
        <v>47</v>
      </c>
      <c r="X37" s="235" t="s">
        <v>47</v>
      </c>
      <c r="Y37" s="227" t="s">
        <v>43</v>
      </c>
      <c r="Z37" s="247" t="s">
        <v>43</v>
      </c>
      <c r="AA37" s="234" t="s">
        <v>53</v>
      </c>
      <c r="AB37" s="224" t="s">
        <v>53</v>
      </c>
      <c r="AC37" s="235" t="s">
        <v>47</v>
      </c>
      <c r="AD37" s="235" t="s">
        <v>47</v>
      </c>
      <c r="AE37" s="227" t="s">
        <v>47</v>
      </c>
      <c r="AF37" s="247" t="s">
        <v>43</v>
      </c>
      <c r="AG37" s="25"/>
      <c r="AH37" s="47">
        <f t="shared" si="2"/>
        <v>11</v>
      </c>
      <c r="AI37" s="48">
        <f t="shared" si="3"/>
        <v>11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11</v>
      </c>
      <c r="AN37" s="52">
        <f t="shared" ref="AN37:AO37" si="39">COUNTIF($C37:$AF37,"PH")</f>
        <v>0</v>
      </c>
      <c r="AO37" s="52">
        <f t="shared" si="39"/>
        <v>0</v>
      </c>
      <c r="AP37" s="67"/>
      <c r="AQ37" s="67"/>
      <c r="AR37" s="67"/>
      <c r="AS37" s="67"/>
      <c r="AT37" s="67"/>
    </row>
    <row r="38" ht="12.75" customHeight="1">
      <c r="A38" s="232" t="s">
        <v>266</v>
      </c>
      <c r="B38" s="260" t="s">
        <v>159</v>
      </c>
      <c r="C38" s="275" t="s">
        <v>47</v>
      </c>
      <c r="D38" s="227" t="s">
        <v>45</v>
      </c>
      <c r="E38" s="249" t="s">
        <v>44</v>
      </c>
      <c r="F38" s="231" t="s">
        <v>43</v>
      </c>
      <c r="G38" s="236" t="s">
        <v>49</v>
      </c>
      <c r="H38" s="224" t="s">
        <v>53</v>
      </c>
      <c r="I38" s="224" t="s">
        <v>53</v>
      </c>
      <c r="J38" s="227" t="s">
        <v>46</v>
      </c>
      <c r="K38" s="227" t="s">
        <v>45</v>
      </c>
      <c r="L38" s="247" t="s">
        <v>45</v>
      </c>
      <c r="M38" s="231" t="s">
        <v>43</v>
      </c>
      <c r="N38" s="236" t="s">
        <v>49</v>
      </c>
      <c r="O38" s="224" t="s">
        <v>53</v>
      </c>
      <c r="P38" s="224" t="s">
        <v>53</v>
      </c>
      <c r="Q38" s="235" t="s">
        <v>47</v>
      </c>
      <c r="R38" s="227" t="s">
        <v>46</v>
      </c>
      <c r="S38" s="247" t="s">
        <v>45</v>
      </c>
      <c r="T38" s="231" t="s">
        <v>44</v>
      </c>
      <c r="U38" s="227" t="s">
        <v>44</v>
      </c>
      <c r="V38" s="224" t="s">
        <v>53</v>
      </c>
      <c r="W38" s="224" t="s">
        <v>53</v>
      </c>
      <c r="X38" s="227" t="s">
        <v>47</v>
      </c>
      <c r="Y38" s="227" t="s">
        <v>45</v>
      </c>
      <c r="Z38" s="267" t="s">
        <v>49</v>
      </c>
      <c r="AA38" s="226" t="s">
        <v>49</v>
      </c>
      <c r="AB38" s="237" t="s">
        <v>48</v>
      </c>
      <c r="AC38" s="224" t="s">
        <v>53</v>
      </c>
      <c r="AD38" s="224" t="s">
        <v>53</v>
      </c>
      <c r="AE38" s="227" t="s">
        <v>46</v>
      </c>
      <c r="AF38" s="247" t="s">
        <v>47</v>
      </c>
      <c r="AG38" s="25"/>
      <c r="AH38" s="47">
        <f t="shared" si="2"/>
        <v>5</v>
      </c>
      <c r="AI38" s="48">
        <f t="shared" si="3"/>
        <v>2</v>
      </c>
      <c r="AJ38" s="48">
        <f t="shared" si="4"/>
        <v>3</v>
      </c>
      <c r="AK38" s="49">
        <f t="shared" si="5"/>
        <v>5</v>
      </c>
      <c r="AL38" s="50">
        <f t="shared" si="6"/>
        <v>3</v>
      </c>
      <c r="AM38" s="51">
        <f t="shared" si="7"/>
        <v>4</v>
      </c>
      <c r="AN38" s="52">
        <f t="shared" ref="AN38:AO38" si="40">COUNTIF($C38:$AF38,"PH")</f>
        <v>4</v>
      </c>
      <c r="AO38" s="52">
        <f t="shared" si="40"/>
        <v>4</v>
      </c>
      <c r="AP38" s="67"/>
      <c r="AQ38" s="67"/>
      <c r="AR38" s="67"/>
      <c r="AS38" s="67"/>
      <c r="AT38" s="67"/>
    </row>
    <row r="39" ht="12.75" customHeight="1">
      <c r="A39" s="232" t="s">
        <v>267</v>
      </c>
      <c r="B39" s="222" t="s">
        <v>162</v>
      </c>
      <c r="C39" s="223" t="s">
        <v>44</v>
      </c>
      <c r="D39" s="228" t="s">
        <v>45</v>
      </c>
      <c r="E39" s="251" t="s">
        <v>49</v>
      </c>
      <c r="F39" s="234" t="s">
        <v>53</v>
      </c>
      <c r="G39" s="224" t="s">
        <v>53</v>
      </c>
      <c r="H39" s="227" t="s">
        <v>46</v>
      </c>
      <c r="I39" s="227" t="s">
        <v>45</v>
      </c>
      <c r="J39" s="227" t="s">
        <v>44</v>
      </c>
      <c r="K39" s="227" t="s">
        <v>44</v>
      </c>
      <c r="L39" s="250" t="s">
        <v>43</v>
      </c>
      <c r="M39" s="234" t="s">
        <v>53</v>
      </c>
      <c r="N39" s="224" t="s">
        <v>53</v>
      </c>
      <c r="O39" s="227" t="s">
        <v>46</v>
      </c>
      <c r="P39" s="227" t="s">
        <v>46</v>
      </c>
      <c r="Q39" s="227" t="s">
        <v>46</v>
      </c>
      <c r="R39" s="227" t="s">
        <v>45</v>
      </c>
      <c r="S39" s="267" t="s">
        <v>49</v>
      </c>
      <c r="T39" s="234" t="s">
        <v>53</v>
      </c>
      <c r="U39" s="224" t="s">
        <v>53</v>
      </c>
      <c r="V39" s="236" t="s">
        <v>49</v>
      </c>
      <c r="W39" s="227" t="s">
        <v>45</v>
      </c>
      <c r="X39" s="227" t="s">
        <v>45</v>
      </c>
      <c r="Y39" s="227" t="s">
        <v>44</v>
      </c>
      <c r="Z39" s="250" t="s">
        <v>43</v>
      </c>
      <c r="AA39" s="234" t="s">
        <v>53</v>
      </c>
      <c r="AB39" s="224" t="s">
        <v>53</v>
      </c>
      <c r="AC39" s="227" t="s">
        <v>46</v>
      </c>
      <c r="AD39" s="227" t="s">
        <v>45</v>
      </c>
      <c r="AE39" s="227" t="s">
        <v>43</v>
      </c>
      <c r="AF39" s="247" t="s">
        <v>43</v>
      </c>
      <c r="AG39" s="25"/>
      <c r="AH39" s="47">
        <f t="shared" si="2"/>
        <v>8</v>
      </c>
      <c r="AI39" s="48">
        <f t="shared" si="3"/>
        <v>4</v>
      </c>
      <c r="AJ39" s="48">
        <f t="shared" si="4"/>
        <v>4</v>
      </c>
      <c r="AK39" s="49">
        <f t="shared" si="5"/>
        <v>6</v>
      </c>
      <c r="AL39" s="50">
        <f t="shared" si="6"/>
        <v>5</v>
      </c>
      <c r="AM39" s="51">
        <f t="shared" si="7"/>
        <v>0</v>
      </c>
      <c r="AN39" s="52">
        <f t="shared" ref="AN39:AO39" si="41">COUNTIF($C39:$AF39,"PH")</f>
        <v>3</v>
      </c>
      <c r="AO39" s="52">
        <f t="shared" si="41"/>
        <v>3</v>
      </c>
      <c r="AP39" s="67"/>
      <c r="AQ39" s="67"/>
      <c r="AR39" s="67"/>
      <c r="AS39" s="67"/>
      <c r="AT39" s="67"/>
    </row>
    <row r="40" ht="12.75" customHeight="1">
      <c r="A40" s="221" t="s">
        <v>268</v>
      </c>
      <c r="B40" s="222" t="s">
        <v>165</v>
      </c>
      <c r="C40" s="223" t="s">
        <v>45</v>
      </c>
      <c r="D40" s="227" t="s">
        <v>45</v>
      </c>
      <c r="E40" s="249" t="s">
        <v>45</v>
      </c>
      <c r="F40" s="231" t="s">
        <v>44</v>
      </c>
      <c r="G40" s="227" t="s">
        <v>43</v>
      </c>
      <c r="H40" s="224" t="s">
        <v>53</v>
      </c>
      <c r="I40" s="224" t="s">
        <v>53</v>
      </c>
      <c r="J40" s="227" t="s">
        <v>47</v>
      </c>
      <c r="K40" s="227" t="s">
        <v>45</v>
      </c>
      <c r="L40" s="247" t="s">
        <v>45</v>
      </c>
      <c r="M40" s="231" t="s">
        <v>45</v>
      </c>
      <c r="N40" s="227" t="s">
        <v>43</v>
      </c>
      <c r="O40" s="224" t="s">
        <v>53</v>
      </c>
      <c r="P40" s="224" t="s">
        <v>53</v>
      </c>
      <c r="Q40" s="227" t="s">
        <v>46</v>
      </c>
      <c r="R40" s="227" t="s">
        <v>43</v>
      </c>
      <c r="S40" s="267" t="s">
        <v>49</v>
      </c>
      <c r="T40" s="231" t="s">
        <v>45</v>
      </c>
      <c r="U40" s="227" t="s">
        <v>44</v>
      </c>
      <c r="V40" s="224" t="s">
        <v>53</v>
      </c>
      <c r="W40" s="224" t="s">
        <v>53</v>
      </c>
      <c r="X40" s="227" t="s">
        <v>46</v>
      </c>
      <c r="Y40" s="227" t="s">
        <v>45</v>
      </c>
      <c r="Z40" s="247" t="s">
        <v>45</v>
      </c>
      <c r="AA40" s="231" t="s">
        <v>43</v>
      </c>
      <c r="AB40" s="227" t="s">
        <v>43</v>
      </c>
      <c r="AC40" s="224" t="s">
        <v>53</v>
      </c>
      <c r="AD40" s="224" t="s">
        <v>53</v>
      </c>
      <c r="AE40" s="235" t="s">
        <v>47</v>
      </c>
      <c r="AF40" s="247" t="s">
        <v>47</v>
      </c>
      <c r="AG40" s="25"/>
      <c r="AH40" s="47">
        <f t="shared" si="2"/>
        <v>7</v>
      </c>
      <c r="AI40" s="48">
        <f t="shared" si="3"/>
        <v>5</v>
      </c>
      <c r="AJ40" s="48">
        <f t="shared" si="4"/>
        <v>2</v>
      </c>
      <c r="AK40" s="49">
        <f t="shared" si="5"/>
        <v>9</v>
      </c>
      <c r="AL40" s="50">
        <f t="shared" si="6"/>
        <v>2</v>
      </c>
      <c r="AM40" s="51">
        <f t="shared" si="7"/>
        <v>3</v>
      </c>
      <c r="AN40" s="52">
        <f t="shared" ref="AN40:AO40" si="42">COUNTIF($C40:$AF40,"PH")</f>
        <v>1</v>
      </c>
      <c r="AO40" s="52">
        <f t="shared" si="42"/>
        <v>1</v>
      </c>
      <c r="AP40" s="67"/>
      <c r="AQ40" s="67"/>
      <c r="AR40" s="67"/>
      <c r="AS40" s="67"/>
      <c r="AT40" s="67"/>
    </row>
    <row r="41" ht="12.75" customHeight="1">
      <c r="A41" s="221" t="s">
        <v>269</v>
      </c>
      <c r="B41" s="222" t="s">
        <v>168</v>
      </c>
      <c r="C41" s="254" t="s">
        <v>53</v>
      </c>
      <c r="D41" s="224" t="s">
        <v>53</v>
      </c>
      <c r="E41" s="249" t="s">
        <v>46</v>
      </c>
      <c r="F41" s="231" t="s">
        <v>45</v>
      </c>
      <c r="G41" s="227" t="s">
        <v>43</v>
      </c>
      <c r="H41" s="227" t="s">
        <v>43</v>
      </c>
      <c r="I41" s="227" t="s">
        <v>43</v>
      </c>
      <c r="J41" s="224" t="s">
        <v>53</v>
      </c>
      <c r="K41" s="224" t="s">
        <v>53</v>
      </c>
      <c r="L41" s="247" t="s">
        <v>46</v>
      </c>
      <c r="M41" s="231" t="s">
        <v>45</v>
      </c>
      <c r="N41" s="227" t="s">
        <v>45</v>
      </c>
      <c r="O41" s="236" t="s">
        <v>49</v>
      </c>
      <c r="P41" s="227" t="s">
        <v>43</v>
      </c>
      <c r="Q41" s="224" t="s">
        <v>53</v>
      </c>
      <c r="R41" s="224" t="s">
        <v>53</v>
      </c>
      <c r="S41" s="247" t="s">
        <v>46</v>
      </c>
      <c r="T41" s="231" t="s">
        <v>45</v>
      </c>
      <c r="U41" s="227" t="s">
        <v>45</v>
      </c>
      <c r="V41" s="227" t="s">
        <v>43</v>
      </c>
      <c r="W41" s="227" t="s">
        <v>43</v>
      </c>
      <c r="X41" s="224" t="s">
        <v>53</v>
      </c>
      <c r="Y41" s="224" t="s">
        <v>53</v>
      </c>
      <c r="Z41" s="247" t="s">
        <v>46</v>
      </c>
      <c r="AA41" s="231" t="s">
        <v>45</v>
      </c>
      <c r="AB41" s="227" t="s">
        <v>45</v>
      </c>
      <c r="AC41" s="227" t="s">
        <v>44</v>
      </c>
      <c r="AD41" s="227" t="s">
        <v>44</v>
      </c>
      <c r="AE41" s="224" t="s">
        <v>53</v>
      </c>
      <c r="AF41" s="229" t="s">
        <v>53</v>
      </c>
      <c r="AG41" s="25"/>
      <c r="AH41" s="47">
        <f t="shared" si="2"/>
        <v>8</v>
      </c>
      <c r="AI41" s="48">
        <f t="shared" si="3"/>
        <v>6</v>
      </c>
      <c r="AJ41" s="48">
        <f t="shared" si="4"/>
        <v>2</v>
      </c>
      <c r="AK41" s="49">
        <f t="shared" si="5"/>
        <v>7</v>
      </c>
      <c r="AL41" s="50">
        <f t="shared" si="6"/>
        <v>4</v>
      </c>
      <c r="AM41" s="51">
        <f t="shared" si="7"/>
        <v>0</v>
      </c>
      <c r="AN41" s="52">
        <f t="shared" ref="AN41:AO41" si="43">COUNTIF($C41:$AF41,"PH")</f>
        <v>1</v>
      </c>
      <c r="AO41" s="52">
        <f t="shared" si="43"/>
        <v>1</v>
      </c>
      <c r="AP41" s="67"/>
      <c r="AQ41" s="67"/>
      <c r="AR41" s="67"/>
      <c r="AS41" s="67"/>
      <c r="AT41" s="67"/>
    </row>
    <row r="42" ht="12.75" customHeight="1">
      <c r="A42" s="221" t="s">
        <v>270</v>
      </c>
      <c r="B42" s="222" t="s">
        <v>171</v>
      </c>
      <c r="C42" s="254" t="s">
        <v>53</v>
      </c>
      <c r="D42" s="235" t="s">
        <v>47</v>
      </c>
      <c r="E42" s="276" t="s">
        <v>47</v>
      </c>
      <c r="F42" s="277" t="s">
        <v>45</v>
      </c>
      <c r="G42" s="278" t="s">
        <v>45</v>
      </c>
      <c r="H42" s="278" t="s">
        <v>45</v>
      </c>
      <c r="I42" s="224" t="s">
        <v>53</v>
      </c>
      <c r="J42" s="224" t="s">
        <v>53</v>
      </c>
      <c r="K42" s="236" t="s">
        <v>49</v>
      </c>
      <c r="L42" s="279" t="s">
        <v>47</v>
      </c>
      <c r="M42" s="277" t="s">
        <v>45</v>
      </c>
      <c r="N42" s="278" t="s">
        <v>45</v>
      </c>
      <c r="O42" s="278" t="s">
        <v>43</v>
      </c>
      <c r="P42" s="224" t="s">
        <v>53</v>
      </c>
      <c r="Q42" s="224" t="s">
        <v>53</v>
      </c>
      <c r="R42" s="235" t="s">
        <v>47</v>
      </c>
      <c r="S42" s="250" t="s">
        <v>45</v>
      </c>
      <c r="T42" s="277" t="s">
        <v>45</v>
      </c>
      <c r="U42" s="278" t="s">
        <v>45</v>
      </c>
      <c r="V42" s="278" t="s">
        <v>43</v>
      </c>
      <c r="W42" s="224" t="s">
        <v>53</v>
      </c>
      <c r="X42" s="224" t="s">
        <v>53</v>
      </c>
      <c r="Y42" s="227" t="s">
        <v>46</v>
      </c>
      <c r="Z42" s="280" t="s">
        <v>45</v>
      </c>
      <c r="AA42" s="277" t="s">
        <v>44</v>
      </c>
      <c r="AB42" s="227" t="s">
        <v>44</v>
      </c>
      <c r="AC42" s="227" t="s">
        <v>43</v>
      </c>
      <c r="AD42" s="224" t="s">
        <v>53</v>
      </c>
      <c r="AE42" s="224" t="s">
        <v>53</v>
      </c>
      <c r="AF42" s="253" t="s">
        <v>47</v>
      </c>
      <c r="AG42" s="25"/>
      <c r="AH42" s="47">
        <f t="shared" si="2"/>
        <v>5</v>
      </c>
      <c r="AI42" s="48">
        <f t="shared" si="3"/>
        <v>3</v>
      </c>
      <c r="AJ42" s="48">
        <f t="shared" si="4"/>
        <v>2</v>
      </c>
      <c r="AK42" s="49">
        <f t="shared" si="5"/>
        <v>9</v>
      </c>
      <c r="AL42" s="50">
        <f t="shared" si="6"/>
        <v>1</v>
      </c>
      <c r="AM42" s="51">
        <f t="shared" si="7"/>
        <v>5</v>
      </c>
      <c r="AN42" s="52">
        <f t="shared" ref="AN42:AO42" si="44">COUNTIF($C42:$AF42,"PH")</f>
        <v>1</v>
      </c>
      <c r="AO42" s="52">
        <f t="shared" si="44"/>
        <v>1</v>
      </c>
      <c r="AP42" s="67"/>
      <c r="AQ42" s="67"/>
      <c r="AR42" s="67"/>
      <c r="AS42" s="67"/>
      <c r="AT42" s="67"/>
    </row>
    <row r="43" ht="12.75" customHeight="1">
      <c r="A43" s="221" t="s">
        <v>271</v>
      </c>
      <c r="B43" s="222" t="s">
        <v>174</v>
      </c>
      <c r="C43" s="254" t="s">
        <v>53</v>
      </c>
      <c r="D43" s="235" t="s">
        <v>47</v>
      </c>
      <c r="E43" s="249" t="s">
        <v>45</v>
      </c>
      <c r="F43" s="231" t="s">
        <v>45</v>
      </c>
      <c r="G43" s="227" t="s">
        <v>43</v>
      </c>
      <c r="H43" s="236" t="s">
        <v>49</v>
      </c>
      <c r="I43" s="224" t="s">
        <v>53</v>
      </c>
      <c r="J43" s="224" t="s">
        <v>53</v>
      </c>
      <c r="K43" s="227" t="s">
        <v>45</v>
      </c>
      <c r="L43" s="247" t="s">
        <v>45</v>
      </c>
      <c r="M43" s="231" t="s">
        <v>44</v>
      </c>
      <c r="N43" s="227" t="s">
        <v>43</v>
      </c>
      <c r="O43" s="236" t="s">
        <v>49</v>
      </c>
      <c r="P43" s="224" t="s">
        <v>53</v>
      </c>
      <c r="Q43" s="224" t="s">
        <v>53</v>
      </c>
      <c r="R43" s="227" t="s">
        <v>43</v>
      </c>
      <c r="S43" s="247" t="s">
        <v>43</v>
      </c>
      <c r="T43" s="231" t="s">
        <v>43</v>
      </c>
      <c r="U43" s="236" t="s">
        <v>49</v>
      </c>
      <c r="V43" s="236" t="s">
        <v>49</v>
      </c>
      <c r="W43" s="224" t="s">
        <v>53</v>
      </c>
      <c r="X43" s="224" t="s">
        <v>53</v>
      </c>
      <c r="Y43" s="228" t="s">
        <v>45</v>
      </c>
      <c r="Z43" s="247" t="s">
        <v>43</v>
      </c>
      <c r="AA43" s="231" t="s">
        <v>43</v>
      </c>
      <c r="AB43" s="227" t="s">
        <v>43</v>
      </c>
      <c r="AC43" s="236" t="s">
        <v>49</v>
      </c>
      <c r="AD43" s="224" t="s">
        <v>53</v>
      </c>
      <c r="AE43" s="224" t="s">
        <v>53</v>
      </c>
      <c r="AF43" s="247" t="s">
        <v>45</v>
      </c>
      <c r="AG43" s="25"/>
      <c r="AH43" s="47">
        <f t="shared" si="2"/>
        <v>9</v>
      </c>
      <c r="AI43" s="48">
        <f t="shared" si="3"/>
        <v>8</v>
      </c>
      <c r="AJ43" s="48">
        <f t="shared" si="4"/>
        <v>1</v>
      </c>
      <c r="AK43" s="49">
        <f t="shared" si="5"/>
        <v>6</v>
      </c>
      <c r="AL43" s="50">
        <f t="shared" si="6"/>
        <v>0</v>
      </c>
      <c r="AM43" s="51">
        <f t="shared" si="7"/>
        <v>1</v>
      </c>
      <c r="AN43" s="52">
        <f t="shared" ref="AN43:AO43" si="45">COUNTIF($C43:$AF43,"PH")</f>
        <v>5</v>
      </c>
      <c r="AO43" s="52">
        <f t="shared" si="45"/>
        <v>5</v>
      </c>
      <c r="AP43" s="67"/>
      <c r="AQ43" s="67"/>
      <c r="AR43" s="67"/>
      <c r="AS43" s="67"/>
      <c r="AT43" s="67"/>
    </row>
    <row r="44" ht="12.75" customHeight="1">
      <c r="A44" s="232" t="s">
        <v>272</v>
      </c>
      <c r="B44" s="260" t="s">
        <v>177</v>
      </c>
      <c r="C44" s="244" t="s">
        <v>47</v>
      </c>
      <c r="D44" s="227" t="s">
        <v>47</v>
      </c>
      <c r="E44" s="249" t="s">
        <v>45</v>
      </c>
      <c r="F44" s="231" t="s">
        <v>43</v>
      </c>
      <c r="G44" s="227" t="s">
        <v>43</v>
      </c>
      <c r="H44" s="224" t="s">
        <v>53</v>
      </c>
      <c r="I44" s="224" t="s">
        <v>53</v>
      </c>
      <c r="J44" s="235" t="s">
        <v>47</v>
      </c>
      <c r="K44" s="227" t="s">
        <v>46</v>
      </c>
      <c r="L44" s="247" t="s">
        <v>44</v>
      </c>
      <c r="M44" s="226" t="s">
        <v>49</v>
      </c>
      <c r="N44" s="236" t="s">
        <v>49</v>
      </c>
      <c r="O44" s="224" t="s">
        <v>53</v>
      </c>
      <c r="P44" s="224" t="s">
        <v>53</v>
      </c>
      <c r="Q44" s="236" t="s">
        <v>49</v>
      </c>
      <c r="R44" s="236" t="s">
        <v>49</v>
      </c>
      <c r="S44" s="267" t="s">
        <v>49</v>
      </c>
      <c r="T44" s="226" t="s">
        <v>49</v>
      </c>
      <c r="U44" s="227" t="s">
        <v>43</v>
      </c>
      <c r="V44" s="224" t="s">
        <v>53</v>
      </c>
      <c r="W44" s="224" t="s">
        <v>53</v>
      </c>
      <c r="X44" s="228" t="s">
        <v>46</v>
      </c>
      <c r="Y44" s="228" t="s">
        <v>44</v>
      </c>
      <c r="Z44" s="248" t="s">
        <v>48</v>
      </c>
      <c r="AA44" s="258" t="s">
        <v>48</v>
      </c>
      <c r="AB44" s="237" t="s">
        <v>48</v>
      </c>
      <c r="AC44" s="224" t="s">
        <v>53</v>
      </c>
      <c r="AD44" s="224" t="s">
        <v>53</v>
      </c>
      <c r="AE44" s="227" t="s">
        <v>45</v>
      </c>
      <c r="AF44" s="247" t="s">
        <v>44</v>
      </c>
      <c r="AG44" s="25"/>
      <c r="AH44" s="47">
        <f t="shared" si="2"/>
        <v>6</v>
      </c>
      <c r="AI44" s="48">
        <f t="shared" si="3"/>
        <v>3</v>
      </c>
      <c r="AJ44" s="48">
        <f t="shared" si="4"/>
        <v>3</v>
      </c>
      <c r="AK44" s="49">
        <f t="shared" si="5"/>
        <v>2</v>
      </c>
      <c r="AL44" s="50">
        <f t="shared" si="6"/>
        <v>2</v>
      </c>
      <c r="AM44" s="51">
        <f t="shared" si="7"/>
        <v>3</v>
      </c>
      <c r="AN44" s="52">
        <f t="shared" ref="AN44:AO44" si="46">COUNTIF($C44:$AF44,"PH")</f>
        <v>6</v>
      </c>
      <c r="AO44" s="52">
        <f t="shared" si="46"/>
        <v>6</v>
      </c>
      <c r="AP44" s="67"/>
      <c r="AQ44" s="67"/>
      <c r="AR44" s="67"/>
      <c r="AS44" s="67"/>
      <c r="AT44" s="67"/>
    </row>
    <row r="45" ht="12.75" customHeight="1">
      <c r="A45" s="281" t="s">
        <v>273</v>
      </c>
      <c r="B45" s="251" t="s">
        <v>180</v>
      </c>
      <c r="C45" s="254" t="s">
        <v>53</v>
      </c>
      <c r="D45" s="236" t="s">
        <v>49</v>
      </c>
      <c r="E45" s="251" t="s">
        <v>49</v>
      </c>
      <c r="F45" s="226" t="s">
        <v>49</v>
      </c>
      <c r="G45" s="278" t="s">
        <v>44</v>
      </c>
      <c r="H45" s="278" t="s">
        <v>43</v>
      </c>
      <c r="I45" s="224" t="s">
        <v>53</v>
      </c>
      <c r="J45" s="224" t="s">
        <v>53</v>
      </c>
      <c r="K45" s="235" t="s">
        <v>47</v>
      </c>
      <c r="L45" s="280" t="s">
        <v>47</v>
      </c>
      <c r="M45" s="231" t="s">
        <v>45</v>
      </c>
      <c r="N45" s="278" t="s">
        <v>45</v>
      </c>
      <c r="O45" s="278" t="s">
        <v>43</v>
      </c>
      <c r="P45" s="224" t="s">
        <v>53</v>
      </c>
      <c r="Q45" s="224" t="s">
        <v>53</v>
      </c>
      <c r="R45" s="227" t="s">
        <v>47</v>
      </c>
      <c r="S45" s="280" t="s">
        <v>47</v>
      </c>
      <c r="T45" s="277" t="s">
        <v>45</v>
      </c>
      <c r="U45" s="227" t="s">
        <v>43</v>
      </c>
      <c r="V45" s="227" t="s">
        <v>43</v>
      </c>
      <c r="W45" s="224" t="s">
        <v>53</v>
      </c>
      <c r="X45" s="224" t="s">
        <v>53</v>
      </c>
      <c r="Y45" s="274" t="s">
        <v>47</v>
      </c>
      <c r="Z45" s="247" t="s">
        <v>47</v>
      </c>
      <c r="AA45" s="231" t="s">
        <v>45</v>
      </c>
      <c r="AB45" s="278" t="s">
        <v>44</v>
      </c>
      <c r="AC45" s="227" t="s">
        <v>45</v>
      </c>
      <c r="AD45" s="224" t="s">
        <v>53</v>
      </c>
      <c r="AE45" s="224" t="s">
        <v>53</v>
      </c>
      <c r="AF45" s="267" t="s">
        <v>49</v>
      </c>
      <c r="AG45" s="112"/>
      <c r="AH45" s="47">
        <f t="shared" si="2"/>
        <v>6</v>
      </c>
      <c r="AI45" s="48">
        <f t="shared" si="3"/>
        <v>4</v>
      </c>
      <c r="AJ45" s="48">
        <f t="shared" si="4"/>
        <v>2</v>
      </c>
      <c r="AK45" s="49">
        <f t="shared" si="5"/>
        <v>5</v>
      </c>
      <c r="AL45" s="50">
        <f t="shared" si="6"/>
        <v>0</v>
      </c>
      <c r="AM45" s="51">
        <f t="shared" si="7"/>
        <v>6</v>
      </c>
      <c r="AN45" s="52">
        <f t="shared" ref="AN45:AO45" si="47">COUNTIF($C45:$AF45,"PH")</f>
        <v>4</v>
      </c>
      <c r="AO45" s="52">
        <f t="shared" si="47"/>
        <v>4</v>
      </c>
      <c r="AP45" s="114"/>
      <c r="AQ45" s="114"/>
      <c r="AR45" s="114"/>
      <c r="AS45" s="114"/>
      <c r="AT45" s="114"/>
    </row>
    <row r="46" ht="12.75" customHeight="1">
      <c r="A46" s="282" t="s">
        <v>274</v>
      </c>
      <c r="B46" s="251" t="s">
        <v>275</v>
      </c>
      <c r="C46" s="283" t="s">
        <v>47</v>
      </c>
      <c r="D46" s="284" t="s">
        <v>46</v>
      </c>
      <c r="E46" s="285" t="s">
        <v>45</v>
      </c>
      <c r="F46" s="286" t="s">
        <v>45</v>
      </c>
      <c r="G46" s="287" t="s">
        <v>43</v>
      </c>
      <c r="H46" s="288" t="s">
        <v>53</v>
      </c>
      <c r="I46" s="288" t="s">
        <v>53</v>
      </c>
      <c r="J46" s="289" t="s">
        <v>47</v>
      </c>
      <c r="K46" s="289" t="s">
        <v>47</v>
      </c>
      <c r="L46" s="290" t="s">
        <v>45</v>
      </c>
      <c r="M46" s="291" t="s">
        <v>43</v>
      </c>
      <c r="N46" s="292" t="s">
        <v>43</v>
      </c>
      <c r="O46" s="293" t="s">
        <v>53</v>
      </c>
      <c r="P46" s="293" t="s">
        <v>53</v>
      </c>
      <c r="Q46" s="294" t="s">
        <v>47</v>
      </c>
      <c r="R46" s="294" t="s">
        <v>46</v>
      </c>
      <c r="S46" s="295" t="s">
        <v>45</v>
      </c>
      <c r="T46" s="291" t="s">
        <v>44</v>
      </c>
      <c r="U46" s="294" t="s">
        <v>43</v>
      </c>
      <c r="V46" s="293" t="s">
        <v>53</v>
      </c>
      <c r="W46" s="293" t="s">
        <v>53</v>
      </c>
      <c r="X46" s="296" t="s">
        <v>45</v>
      </c>
      <c r="Y46" s="296" t="s">
        <v>46</v>
      </c>
      <c r="Z46" s="297" t="s">
        <v>45</v>
      </c>
      <c r="AA46" s="298" t="s">
        <v>48</v>
      </c>
      <c r="AB46" s="299" t="s">
        <v>48</v>
      </c>
      <c r="AC46" s="293" t="s">
        <v>53</v>
      </c>
      <c r="AD46" s="293" t="s">
        <v>53</v>
      </c>
      <c r="AE46" s="300" t="s">
        <v>47</v>
      </c>
      <c r="AF46" s="297" t="s">
        <v>45</v>
      </c>
      <c r="AG46" s="112"/>
      <c r="AH46" s="47">
        <f t="shared" si="2"/>
        <v>5</v>
      </c>
      <c r="AI46" s="48">
        <f t="shared" si="3"/>
        <v>4</v>
      </c>
      <c r="AJ46" s="48">
        <f t="shared" si="4"/>
        <v>1</v>
      </c>
      <c r="AK46" s="49">
        <f t="shared" si="5"/>
        <v>7</v>
      </c>
      <c r="AL46" s="50">
        <f t="shared" si="6"/>
        <v>3</v>
      </c>
      <c r="AM46" s="51">
        <f t="shared" si="7"/>
        <v>5</v>
      </c>
      <c r="AN46" s="52">
        <f>COUNTIF($C46:$AF46,"PH")</f>
        <v>0</v>
      </c>
      <c r="AO46" s="5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301"/>
      <c r="B47" s="302"/>
      <c r="C47" s="303"/>
      <c r="D47" s="303"/>
      <c r="E47" s="304"/>
      <c r="F47" s="304"/>
      <c r="G47" s="303"/>
      <c r="H47" s="303"/>
      <c r="I47" s="303"/>
      <c r="J47" s="303"/>
      <c r="K47" s="303"/>
      <c r="L47" s="304"/>
      <c r="M47" s="304"/>
      <c r="N47" s="303"/>
      <c r="O47" s="303"/>
      <c r="P47" s="303"/>
      <c r="Q47" s="303"/>
      <c r="R47" s="303"/>
      <c r="S47" s="304"/>
      <c r="T47" s="304"/>
      <c r="U47" s="303"/>
      <c r="V47" s="305"/>
      <c r="W47" s="303"/>
      <c r="X47" s="303"/>
      <c r="Y47" s="303"/>
      <c r="Z47" s="304"/>
      <c r="AA47" s="304"/>
      <c r="AB47" s="303"/>
      <c r="AC47" s="303"/>
      <c r="AD47" s="303"/>
      <c r="AE47" s="303"/>
      <c r="AF47" s="303"/>
      <c r="AG47" s="305"/>
      <c r="AH47" s="306"/>
      <c r="AI47" s="306"/>
      <c r="AJ47" s="306"/>
      <c r="AK47" s="306"/>
      <c r="AL47" s="306"/>
      <c r="AM47" s="307"/>
      <c r="AN47" s="307"/>
      <c r="AO47" s="307"/>
      <c r="AP47" s="307"/>
      <c r="AQ47" s="307"/>
      <c r="AR47" s="307"/>
      <c r="AS47" s="307"/>
      <c r="AT47" s="307"/>
    </row>
    <row r="48" ht="22.5" customHeight="1">
      <c r="A48" s="308"/>
      <c r="B48" s="309" t="s">
        <v>276</v>
      </c>
      <c r="C48" s="310" t="s">
        <v>8</v>
      </c>
      <c r="D48" s="311" t="s">
        <v>9</v>
      </c>
      <c r="E48" s="312" t="s">
        <v>10</v>
      </c>
      <c r="F48" s="310" t="s">
        <v>11</v>
      </c>
      <c r="G48" s="311" t="s">
        <v>12</v>
      </c>
      <c r="H48" s="311" t="s">
        <v>13</v>
      </c>
      <c r="I48" s="311" t="s">
        <v>7</v>
      </c>
      <c r="J48" s="311" t="s">
        <v>8</v>
      </c>
      <c r="K48" s="311" t="s">
        <v>9</v>
      </c>
      <c r="L48" s="312" t="s">
        <v>10</v>
      </c>
      <c r="M48" s="310" t="s">
        <v>11</v>
      </c>
      <c r="N48" s="311" t="s">
        <v>12</v>
      </c>
      <c r="O48" s="311" t="s">
        <v>13</v>
      </c>
      <c r="P48" s="313" t="s">
        <v>7</v>
      </c>
      <c r="Q48" s="313" t="s">
        <v>8</v>
      </c>
      <c r="R48" s="313" t="s">
        <v>9</v>
      </c>
      <c r="S48" s="314" t="s">
        <v>10</v>
      </c>
      <c r="T48" s="315" t="s">
        <v>11</v>
      </c>
      <c r="U48" s="313" t="s">
        <v>12</v>
      </c>
      <c r="V48" s="313" t="s">
        <v>13</v>
      </c>
      <c r="W48" s="313" t="s">
        <v>7</v>
      </c>
      <c r="X48" s="313" t="s">
        <v>8</v>
      </c>
      <c r="Y48" s="313" t="s">
        <v>9</v>
      </c>
      <c r="Z48" s="314" t="s">
        <v>10</v>
      </c>
      <c r="AA48" s="315" t="s">
        <v>11</v>
      </c>
      <c r="AB48" s="313" t="s">
        <v>12</v>
      </c>
      <c r="AC48" s="313" t="s">
        <v>13</v>
      </c>
      <c r="AD48" s="313" t="s">
        <v>7</v>
      </c>
      <c r="AE48" s="313" t="s">
        <v>8</v>
      </c>
      <c r="AF48" s="314" t="s">
        <v>9</v>
      </c>
      <c r="AG48" s="193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308"/>
      <c r="B49" s="316" t="s">
        <v>277</v>
      </c>
      <c r="C49" s="317" t="s">
        <v>14</v>
      </c>
      <c r="D49" s="318" t="s">
        <v>15</v>
      </c>
      <c r="E49" s="319" t="s">
        <v>16</v>
      </c>
      <c r="F49" s="317" t="s">
        <v>230</v>
      </c>
      <c r="G49" s="318" t="s">
        <v>231</v>
      </c>
      <c r="H49" s="318" t="s">
        <v>17</v>
      </c>
      <c r="I49" s="318" t="s">
        <v>18</v>
      </c>
      <c r="J49" s="318" t="s">
        <v>19</v>
      </c>
      <c r="K49" s="318" t="s">
        <v>20</v>
      </c>
      <c r="L49" s="319" t="s">
        <v>21</v>
      </c>
      <c r="M49" s="317" t="s">
        <v>22</v>
      </c>
      <c r="N49" s="318" t="s">
        <v>23</v>
      </c>
      <c r="O49" s="318" t="s">
        <v>24</v>
      </c>
      <c r="P49" s="318" t="s">
        <v>25</v>
      </c>
      <c r="Q49" s="318" t="s">
        <v>26</v>
      </c>
      <c r="R49" s="318" t="s">
        <v>27</v>
      </c>
      <c r="S49" s="319" t="s">
        <v>28</v>
      </c>
      <c r="T49" s="317" t="s">
        <v>29</v>
      </c>
      <c r="U49" s="318" t="s">
        <v>30</v>
      </c>
      <c r="V49" s="318" t="s">
        <v>31</v>
      </c>
      <c r="W49" s="318" t="s">
        <v>32</v>
      </c>
      <c r="X49" s="318" t="s">
        <v>33</v>
      </c>
      <c r="Y49" s="318" t="s">
        <v>34</v>
      </c>
      <c r="Z49" s="319" t="s">
        <v>35</v>
      </c>
      <c r="AA49" s="317" t="s">
        <v>36</v>
      </c>
      <c r="AB49" s="318" t="s">
        <v>37</v>
      </c>
      <c r="AC49" s="318" t="s">
        <v>38</v>
      </c>
      <c r="AD49" s="318" t="s">
        <v>39</v>
      </c>
      <c r="AE49" s="318" t="s">
        <v>40</v>
      </c>
      <c r="AF49" s="319" t="s">
        <v>41</v>
      </c>
      <c r="AG49" s="193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308"/>
      <c r="B50" s="320" t="s">
        <v>47</v>
      </c>
      <c r="C50" s="321">
        <f t="shared" ref="C50:O50" si="48">COUNTIF(C5:C46,"A2")</f>
        <v>6</v>
      </c>
      <c r="D50" s="322">
        <f t="shared" si="48"/>
        <v>6</v>
      </c>
      <c r="E50" s="323">
        <f t="shared" si="48"/>
        <v>5</v>
      </c>
      <c r="F50" s="321">
        <f t="shared" si="48"/>
        <v>5</v>
      </c>
      <c r="G50" s="322">
        <f t="shared" si="48"/>
        <v>5</v>
      </c>
      <c r="H50" s="322">
        <f t="shared" si="48"/>
        <v>6</v>
      </c>
      <c r="I50" s="322">
        <f t="shared" si="48"/>
        <v>5</v>
      </c>
      <c r="J50" s="322">
        <f t="shared" si="48"/>
        <v>6</v>
      </c>
      <c r="K50" s="322">
        <f t="shared" si="48"/>
        <v>6</v>
      </c>
      <c r="L50" s="323">
        <f t="shared" si="48"/>
        <v>5</v>
      </c>
      <c r="M50" s="321">
        <f t="shared" si="48"/>
        <v>6</v>
      </c>
      <c r="N50" s="322">
        <f t="shared" si="48"/>
        <v>6</v>
      </c>
      <c r="O50" s="322">
        <f t="shared" si="48"/>
        <v>5</v>
      </c>
      <c r="P50" s="322">
        <f t="shared" ref="P50:T50" si="49">COUNTIF(P5:P46,"A2")-1</f>
        <v>5</v>
      </c>
      <c r="Q50" s="322">
        <f t="shared" si="49"/>
        <v>6</v>
      </c>
      <c r="R50" s="322">
        <f t="shared" si="49"/>
        <v>6</v>
      </c>
      <c r="S50" s="323">
        <f t="shared" si="49"/>
        <v>5</v>
      </c>
      <c r="T50" s="321">
        <f t="shared" si="49"/>
        <v>5</v>
      </c>
      <c r="U50" s="322">
        <f t="shared" ref="U50:V50" si="50">COUNTIF(U5:U46,"A2")</f>
        <v>5</v>
      </c>
      <c r="V50" s="322">
        <f t="shared" si="50"/>
        <v>5</v>
      </c>
      <c r="W50" s="322">
        <f t="shared" ref="W50:AA50" si="51">COUNTIF(W5:W46,"A2")-1</f>
        <v>5</v>
      </c>
      <c r="X50" s="322">
        <f t="shared" si="51"/>
        <v>6</v>
      </c>
      <c r="Y50" s="322">
        <f t="shared" si="51"/>
        <v>6</v>
      </c>
      <c r="Z50" s="323">
        <f t="shared" si="51"/>
        <v>5</v>
      </c>
      <c r="AA50" s="321">
        <f t="shared" si="51"/>
        <v>5</v>
      </c>
      <c r="AB50" s="322">
        <f t="shared" ref="AB50:AC50" si="52">COUNTIF(AB5:AB46,"A2")</f>
        <v>5</v>
      </c>
      <c r="AC50" s="322">
        <f t="shared" si="52"/>
        <v>5</v>
      </c>
      <c r="AD50" s="322">
        <f t="shared" ref="AD50:AF50" si="53">COUNTIF(AD5:AD46,"A2")-1</f>
        <v>5</v>
      </c>
      <c r="AE50" s="322">
        <f t="shared" si="53"/>
        <v>6</v>
      </c>
      <c r="AF50" s="323">
        <f t="shared" si="53"/>
        <v>6</v>
      </c>
      <c r="AG50" s="193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308"/>
      <c r="B51" s="324" t="s">
        <v>46</v>
      </c>
      <c r="C51" s="325">
        <f t="shared" ref="C51:AF51" si="54">COUNTIF(C5:C46,"A8")</f>
        <v>3</v>
      </c>
      <c r="D51" s="140">
        <f t="shared" si="54"/>
        <v>3</v>
      </c>
      <c r="E51" s="326">
        <f t="shared" si="54"/>
        <v>3</v>
      </c>
      <c r="F51" s="325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326">
        <f t="shared" si="54"/>
        <v>3</v>
      </c>
      <c r="M51" s="325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326">
        <f t="shared" si="54"/>
        <v>3</v>
      </c>
      <c r="T51" s="325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326">
        <f t="shared" si="54"/>
        <v>3</v>
      </c>
      <c r="AA51" s="325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326">
        <f t="shared" si="54"/>
        <v>3</v>
      </c>
      <c r="AG51" s="193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308"/>
      <c r="B52" s="324" t="s">
        <v>45</v>
      </c>
      <c r="C52" s="327">
        <f t="shared" ref="C52:AF52" si="55">COUNTIF(C5:C46,"B5")</f>
        <v>7</v>
      </c>
      <c r="D52" s="143">
        <f t="shared" si="55"/>
        <v>7</v>
      </c>
      <c r="E52" s="328">
        <f t="shared" si="55"/>
        <v>7</v>
      </c>
      <c r="F52" s="327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7</v>
      </c>
      <c r="L52" s="328">
        <f t="shared" si="55"/>
        <v>7</v>
      </c>
      <c r="M52" s="327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328">
        <f t="shared" si="55"/>
        <v>7</v>
      </c>
      <c r="T52" s="327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328">
        <f t="shared" si="55"/>
        <v>7</v>
      </c>
      <c r="AA52" s="327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328">
        <f t="shared" si="55"/>
        <v>7</v>
      </c>
      <c r="AG52" s="193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308"/>
      <c r="B53" s="324" t="s">
        <v>44</v>
      </c>
      <c r="C53" s="325">
        <f t="shared" ref="C53:AF53" si="56">COUNTIF(C5:C46,"C6")</f>
        <v>3</v>
      </c>
      <c r="D53" s="140">
        <f t="shared" si="56"/>
        <v>3</v>
      </c>
      <c r="E53" s="326">
        <f t="shared" si="56"/>
        <v>3</v>
      </c>
      <c r="F53" s="325">
        <f t="shared" si="56"/>
        <v>3</v>
      </c>
      <c r="G53" s="140">
        <f t="shared" si="56"/>
        <v>3</v>
      </c>
      <c r="H53" s="140">
        <f t="shared" si="56"/>
        <v>3</v>
      </c>
      <c r="I53" s="140">
        <f t="shared" si="56"/>
        <v>3</v>
      </c>
      <c r="J53" s="140">
        <f t="shared" si="56"/>
        <v>3</v>
      </c>
      <c r="K53" s="140">
        <f t="shared" si="56"/>
        <v>3</v>
      </c>
      <c r="L53" s="326">
        <f t="shared" si="56"/>
        <v>3</v>
      </c>
      <c r="M53" s="325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326">
        <f t="shared" si="56"/>
        <v>3</v>
      </c>
      <c r="T53" s="325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326">
        <f t="shared" si="56"/>
        <v>3</v>
      </c>
      <c r="AA53" s="325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326">
        <f t="shared" si="56"/>
        <v>3</v>
      </c>
      <c r="AG53" s="193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308"/>
      <c r="B54" s="324" t="s">
        <v>43</v>
      </c>
      <c r="C54" s="325">
        <f t="shared" ref="C54:AF54" si="57">COUNTIF(C5:C46,"D5")</f>
        <v>6</v>
      </c>
      <c r="D54" s="140">
        <f t="shared" si="57"/>
        <v>6</v>
      </c>
      <c r="E54" s="326">
        <f t="shared" si="57"/>
        <v>6</v>
      </c>
      <c r="F54" s="325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326">
        <f t="shared" si="57"/>
        <v>6</v>
      </c>
      <c r="M54" s="325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326">
        <f t="shared" si="57"/>
        <v>6</v>
      </c>
      <c r="T54" s="325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326">
        <f t="shared" si="57"/>
        <v>6</v>
      </c>
      <c r="AA54" s="325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326">
        <f t="shared" si="57"/>
        <v>6</v>
      </c>
      <c r="AG54" s="193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308"/>
      <c r="B55" s="324" t="s">
        <v>53</v>
      </c>
      <c r="C55" s="325">
        <f t="shared" ref="C55:AF55" si="58">COUNTIF(C5:C46,"O")</f>
        <v>12</v>
      </c>
      <c r="D55" s="140">
        <f t="shared" si="58"/>
        <v>13</v>
      </c>
      <c r="E55" s="326">
        <f t="shared" si="58"/>
        <v>12</v>
      </c>
      <c r="F55" s="325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326">
        <f t="shared" si="58"/>
        <v>12</v>
      </c>
      <c r="M55" s="325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326">
        <f t="shared" si="58"/>
        <v>12</v>
      </c>
      <c r="T55" s="325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326">
        <f t="shared" si="58"/>
        <v>12</v>
      </c>
      <c r="AA55" s="325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326">
        <f t="shared" si="58"/>
        <v>13</v>
      </c>
      <c r="AG55" s="193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308"/>
      <c r="B56" s="324" t="s">
        <v>48</v>
      </c>
      <c r="C56" s="325">
        <f t="shared" ref="C56:AF56" si="59">COUNTIF(C5:C46,"AL")</f>
        <v>0</v>
      </c>
      <c r="D56" s="140">
        <f t="shared" si="59"/>
        <v>0</v>
      </c>
      <c r="E56" s="326">
        <f t="shared" si="59"/>
        <v>0</v>
      </c>
      <c r="F56" s="325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326">
        <f t="shared" si="59"/>
        <v>4</v>
      </c>
      <c r="M56" s="325">
        <f t="shared" si="59"/>
        <v>2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326">
        <f t="shared" si="59"/>
        <v>2</v>
      </c>
      <c r="T56" s="325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326">
        <f t="shared" si="59"/>
        <v>2</v>
      </c>
      <c r="AA56" s="325">
        <f t="shared" si="59"/>
        <v>2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326">
        <f t="shared" si="59"/>
        <v>2</v>
      </c>
      <c r="AG56" s="193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308"/>
      <c r="B57" s="324" t="s">
        <v>49</v>
      </c>
      <c r="C57" s="325">
        <f t="shared" ref="C57:AF57" si="60">COUNTIF(C5:C46,"PH")</f>
        <v>5</v>
      </c>
      <c r="D57" s="140">
        <f t="shared" si="60"/>
        <v>4</v>
      </c>
      <c r="E57" s="326">
        <f t="shared" si="60"/>
        <v>6</v>
      </c>
      <c r="F57" s="325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326">
        <f t="shared" si="60"/>
        <v>2</v>
      </c>
      <c r="M57" s="325">
        <f t="shared" si="60"/>
        <v>3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326">
        <f t="shared" si="60"/>
        <v>3</v>
      </c>
      <c r="T57" s="325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326">
        <f t="shared" si="60"/>
        <v>3</v>
      </c>
      <c r="AA57" s="325">
        <f t="shared" si="60"/>
        <v>3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326">
        <f t="shared" si="60"/>
        <v>1</v>
      </c>
      <c r="AG57" s="193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308"/>
      <c r="B58" s="329" t="s">
        <v>183</v>
      </c>
      <c r="C58" s="330">
        <f t="shared" ref="C58:AF58" si="61">SUM(C50:C54)</f>
        <v>25</v>
      </c>
      <c r="D58" s="331">
        <f t="shared" si="61"/>
        <v>25</v>
      </c>
      <c r="E58" s="332">
        <f t="shared" si="61"/>
        <v>24</v>
      </c>
      <c r="F58" s="333">
        <f t="shared" si="61"/>
        <v>24</v>
      </c>
      <c r="G58" s="334">
        <f t="shared" si="61"/>
        <v>24</v>
      </c>
      <c r="H58" s="335">
        <f t="shared" si="61"/>
        <v>25</v>
      </c>
      <c r="I58" s="335">
        <f t="shared" si="61"/>
        <v>24</v>
      </c>
      <c r="J58" s="331">
        <f t="shared" si="61"/>
        <v>25</v>
      </c>
      <c r="K58" s="331">
        <f t="shared" si="61"/>
        <v>25</v>
      </c>
      <c r="L58" s="332">
        <f t="shared" si="61"/>
        <v>24</v>
      </c>
      <c r="M58" s="333">
        <f t="shared" si="61"/>
        <v>25</v>
      </c>
      <c r="N58" s="335">
        <f t="shared" si="61"/>
        <v>25</v>
      </c>
      <c r="O58" s="335">
        <f t="shared" si="61"/>
        <v>24</v>
      </c>
      <c r="P58" s="335">
        <f t="shared" si="61"/>
        <v>24</v>
      </c>
      <c r="Q58" s="331">
        <f t="shared" si="61"/>
        <v>25</v>
      </c>
      <c r="R58" s="331">
        <f t="shared" si="61"/>
        <v>25</v>
      </c>
      <c r="S58" s="332">
        <f t="shared" si="61"/>
        <v>24</v>
      </c>
      <c r="T58" s="333">
        <f t="shared" si="61"/>
        <v>24</v>
      </c>
      <c r="U58" s="335">
        <f t="shared" si="61"/>
        <v>24</v>
      </c>
      <c r="V58" s="335">
        <f t="shared" si="61"/>
        <v>24</v>
      </c>
      <c r="W58" s="335">
        <f t="shared" si="61"/>
        <v>24</v>
      </c>
      <c r="X58" s="331">
        <f t="shared" si="61"/>
        <v>25</v>
      </c>
      <c r="Y58" s="331">
        <f t="shared" si="61"/>
        <v>25</v>
      </c>
      <c r="Z58" s="332">
        <f t="shared" si="61"/>
        <v>24</v>
      </c>
      <c r="AA58" s="333">
        <f t="shared" si="61"/>
        <v>24</v>
      </c>
      <c r="AB58" s="335">
        <f t="shared" si="61"/>
        <v>24</v>
      </c>
      <c r="AC58" s="335">
        <f t="shared" si="61"/>
        <v>24</v>
      </c>
      <c r="AD58" s="335">
        <f t="shared" si="61"/>
        <v>24</v>
      </c>
      <c r="AE58" s="331">
        <f t="shared" si="61"/>
        <v>25</v>
      </c>
      <c r="AF58" s="336">
        <f t="shared" si="61"/>
        <v>25</v>
      </c>
      <c r="AG58" s="193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301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301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301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301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301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301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301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301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301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301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301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301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301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301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301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301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301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301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301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301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301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301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301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301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301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301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301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301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301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301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301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301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301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301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301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301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301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301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301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301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301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301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301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301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301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301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301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301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301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301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301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301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301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301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301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301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301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301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301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301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301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301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301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301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301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301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301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301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301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301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301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301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301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301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301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301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301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301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301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301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301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301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301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301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301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301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301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301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301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301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301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301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301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301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301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301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301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301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301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301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301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301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301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301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301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301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301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301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301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301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301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301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301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301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301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301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301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301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301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301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301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301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301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301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301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301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301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301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301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301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301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301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301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301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301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301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301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301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301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301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301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301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301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301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301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301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301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301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301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301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301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301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301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301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301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301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301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301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301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301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301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301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301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301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301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301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301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301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301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301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301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301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301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301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301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301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301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301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301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301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301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301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301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301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301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301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301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301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301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301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301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301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301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301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301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301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301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301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301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301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337"/>
    </row>
    <row r="260" ht="15.75" customHeight="1">
      <c r="A260" s="337"/>
    </row>
    <row r="261" ht="15.75" customHeight="1">
      <c r="A261" s="337"/>
    </row>
    <row r="262" ht="15.75" customHeight="1">
      <c r="A262" s="337"/>
    </row>
    <row r="263" ht="15.75" customHeight="1">
      <c r="A263" s="337"/>
    </row>
    <row r="264" ht="15.75" customHeight="1">
      <c r="A264" s="337"/>
    </row>
    <row r="265" ht="15.75" customHeight="1">
      <c r="A265" s="337"/>
    </row>
    <row r="266" ht="15.75" customHeight="1">
      <c r="A266" s="337"/>
    </row>
    <row r="267" ht="15.75" customHeight="1">
      <c r="A267" s="337"/>
    </row>
    <row r="268" ht="15.75" customHeight="1">
      <c r="A268" s="337"/>
    </row>
    <row r="269" ht="15.75" customHeight="1">
      <c r="A269" s="337"/>
    </row>
    <row r="270" ht="15.75" customHeight="1">
      <c r="A270" s="337"/>
    </row>
    <row r="271" ht="15.75" customHeight="1">
      <c r="A271" s="337"/>
    </row>
    <row r="272" ht="15.75" customHeight="1">
      <c r="A272" s="337"/>
    </row>
    <row r="273" ht="15.75" customHeight="1">
      <c r="A273" s="337"/>
    </row>
    <row r="274" ht="15.75" customHeight="1">
      <c r="A274" s="337"/>
    </row>
    <row r="275" ht="15.75" customHeight="1">
      <c r="A275" s="337"/>
    </row>
    <row r="276" ht="15.75" customHeight="1">
      <c r="A276" s="337"/>
    </row>
    <row r="277" ht="15.75" customHeight="1">
      <c r="A277" s="337"/>
    </row>
    <row r="278" ht="15.75" customHeight="1">
      <c r="A278" s="337"/>
    </row>
    <row r="279" ht="15.75" customHeight="1">
      <c r="A279" s="337"/>
    </row>
    <row r="280" ht="15.75" customHeight="1">
      <c r="A280" s="337"/>
    </row>
    <row r="281" ht="15.75" customHeight="1">
      <c r="A281" s="337"/>
    </row>
    <row r="282" ht="15.75" customHeight="1">
      <c r="A282" s="337"/>
    </row>
    <row r="283" ht="15.75" customHeight="1">
      <c r="A283" s="337"/>
    </row>
    <row r="284" ht="15.75" customHeight="1">
      <c r="A284" s="337"/>
    </row>
    <row r="285" ht="15.75" customHeight="1">
      <c r="A285" s="337"/>
    </row>
    <row r="286" ht="15.75" customHeight="1">
      <c r="A286" s="337"/>
    </row>
    <row r="287" ht="15.75" customHeight="1">
      <c r="A287" s="337"/>
    </row>
    <row r="288" ht="15.75" customHeight="1">
      <c r="A288" s="337"/>
    </row>
    <row r="289" ht="15.75" customHeight="1">
      <c r="A289" s="337"/>
    </row>
    <row r="290" ht="15.75" customHeight="1">
      <c r="A290" s="337"/>
    </row>
    <row r="291" ht="15.75" customHeight="1">
      <c r="A291" s="337"/>
    </row>
    <row r="292" ht="15.75" customHeight="1">
      <c r="A292" s="337"/>
    </row>
    <row r="293" ht="15.75" customHeight="1">
      <c r="A293" s="337"/>
    </row>
    <row r="294" ht="15.75" customHeight="1">
      <c r="A294" s="337"/>
    </row>
    <row r="295" ht="15.75" customHeight="1">
      <c r="A295" s="337"/>
    </row>
    <row r="296" ht="15.75" customHeight="1">
      <c r="A296" s="337"/>
    </row>
    <row r="297" ht="15.75" customHeight="1">
      <c r="A297" s="337"/>
    </row>
    <row r="298" ht="15.75" customHeight="1">
      <c r="A298" s="337"/>
    </row>
    <row r="299" ht="15.75" customHeight="1">
      <c r="A299" s="337"/>
    </row>
    <row r="300" ht="15.75" customHeight="1">
      <c r="A300" s="337"/>
    </row>
    <row r="301" ht="15.75" customHeight="1">
      <c r="A301" s="337"/>
    </row>
    <row r="302" ht="15.75" customHeight="1">
      <c r="A302" s="337"/>
    </row>
    <row r="303" ht="15.75" customHeight="1">
      <c r="A303" s="337"/>
    </row>
    <row r="304" ht="15.75" customHeight="1">
      <c r="A304" s="337"/>
    </row>
    <row r="305" ht="15.75" customHeight="1">
      <c r="A305" s="337"/>
    </row>
    <row r="306" ht="15.75" customHeight="1">
      <c r="A306" s="337"/>
    </row>
    <row r="307" ht="15.75" customHeight="1">
      <c r="A307" s="337"/>
    </row>
    <row r="308" ht="15.75" customHeight="1">
      <c r="A308" s="337"/>
    </row>
    <row r="309" ht="15.75" customHeight="1">
      <c r="A309" s="337"/>
    </row>
    <row r="310" ht="15.75" customHeight="1">
      <c r="A310" s="337"/>
    </row>
    <row r="311" ht="15.75" customHeight="1">
      <c r="A311" s="337"/>
    </row>
    <row r="312" ht="15.75" customHeight="1">
      <c r="A312" s="337"/>
    </row>
    <row r="313" ht="15.75" customHeight="1">
      <c r="A313" s="337"/>
    </row>
    <row r="314" ht="15.75" customHeight="1">
      <c r="A314" s="337"/>
    </row>
    <row r="315" ht="15.75" customHeight="1">
      <c r="A315" s="337"/>
    </row>
    <row r="316" ht="15.75" customHeight="1">
      <c r="A316" s="337"/>
    </row>
    <row r="317" ht="15.75" customHeight="1">
      <c r="A317" s="337"/>
    </row>
    <row r="318" ht="15.75" customHeight="1">
      <c r="A318" s="337"/>
    </row>
    <row r="319" ht="15.75" customHeight="1">
      <c r="A319" s="337"/>
    </row>
    <row r="320" ht="15.75" customHeight="1">
      <c r="A320" s="337"/>
    </row>
    <row r="321" ht="15.75" customHeight="1">
      <c r="A321" s="337"/>
    </row>
    <row r="322" ht="15.75" customHeight="1">
      <c r="A322" s="337"/>
    </row>
    <row r="323" ht="15.75" customHeight="1">
      <c r="A323" s="337"/>
    </row>
    <row r="324" ht="15.75" customHeight="1">
      <c r="A324" s="337"/>
    </row>
    <row r="325" ht="15.75" customHeight="1">
      <c r="A325" s="337"/>
    </row>
    <row r="326" ht="15.75" customHeight="1">
      <c r="A326" s="337"/>
    </row>
    <row r="327" ht="15.75" customHeight="1">
      <c r="A327" s="337"/>
    </row>
    <row r="328" ht="15.75" customHeight="1">
      <c r="A328" s="337"/>
    </row>
    <row r="329" ht="15.75" customHeight="1">
      <c r="A329" s="337"/>
    </row>
    <row r="330" ht="15.75" customHeight="1">
      <c r="A330" s="337"/>
    </row>
    <row r="331" ht="15.75" customHeight="1">
      <c r="A331" s="337"/>
    </row>
    <row r="332" ht="15.75" customHeight="1">
      <c r="A332" s="337"/>
    </row>
    <row r="333" ht="15.75" customHeight="1">
      <c r="A333" s="337"/>
    </row>
    <row r="334" ht="15.75" customHeight="1">
      <c r="A334" s="337"/>
    </row>
    <row r="335" ht="15.75" customHeight="1">
      <c r="A335" s="337"/>
    </row>
    <row r="336" ht="15.75" customHeight="1">
      <c r="A336" s="337"/>
    </row>
    <row r="337" ht="15.75" customHeight="1">
      <c r="A337" s="337"/>
    </row>
    <row r="338" ht="15.75" customHeight="1">
      <c r="A338" s="337"/>
    </row>
    <row r="339" ht="15.75" customHeight="1">
      <c r="A339" s="337"/>
    </row>
    <row r="340" ht="15.75" customHeight="1">
      <c r="A340" s="337"/>
    </row>
    <row r="341" ht="15.75" customHeight="1">
      <c r="A341" s="337"/>
    </row>
    <row r="342" ht="15.75" customHeight="1">
      <c r="A342" s="337"/>
    </row>
    <row r="343" ht="15.75" customHeight="1">
      <c r="A343" s="337"/>
    </row>
    <row r="344" ht="15.75" customHeight="1">
      <c r="A344" s="337"/>
    </row>
    <row r="345" ht="15.75" customHeight="1">
      <c r="A345" s="337"/>
    </row>
    <row r="346" ht="15.75" customHeight="1">
      <c r="A346" s="337"/>
    </row>
    <row r="347" ht="15.75" customHeight="1">
      <c r="A347" s="337"/>
    </row>
    <row r="348" ht="15.75" customHeight="1">
      <c r="A348" s="337"/>
    </row>
    <row r="349" ht="15.75" customHeight="1">
      <c r="A349" s="337"/>
    </row>
    <row r="350" ht="15.75" customHeight="1">
      <c r="A350" s="337"/>
    </row>
    <row r="351" ht="15.75" customHeight="1">
      <c r="A351" s="337"/>
    </row>
    <row r="352" ht="15.75" customHeight="1">
      <c r="A352" s="337"/>
    </row>
    <row r="353" ht="15.75" customHeight="1">
      <c r="A353" s="337"/>
    </row>
    <row r="354" ht="15.75" customHeight="1">
      <c r="A354" s="337"/>
    </row>
    <row r="355" ht="15.75" customHeight="1">
      <c r="A355" s="337"/>
    </row>
    <row r="356" ht="15.75" customHeight="1">
      <c r="A356" s="337"/>
    </row>
    <row r="357" ht="15.75" customHeight="1">
      <c r="A357" s="337"/>
    </row>
    <row r="358" ht="15.75" customHeight="1">
      <c r="A358" s="337"/>
    </row>
    <row r="359" ht="15.75" customHeight="1">
      <c r="A359" s="337"/>
    </row>
    <row r="360" ht="15.75" customHeight="1">
      <c r="A360" s="337"/>
    </row>
    <row r="361" ht="15.75" customHeight="1">
      <c r="A361" s="337"/>
    </row>
    <row r="362" ht="15.75" customHeight="1">
      <c r="A362" s="337"/>
    </row>
    <row r="363" ht="15.75" customHeight="1">
      <c r="A363" s="337"/>
    </row>
    <row r="364" ht="15.75" customHeight="1">
      <c r="A364" s="337"/>
    </row>
    <row r="365" ht="15.75" customHeight="1">
      <c r="A365" s="337"/>
    </row>
    <row r="366" ht="15.75" customHeight="1">
      <c r="A366" s="337"/>
    </row>
    <row r="367" ht="15.75" customHeight="1">
      <c r="A367" s="337"/>
    </row>
    <row r="368" ht="15.75" customHeight="1">
      <c r="A368" s="337"/>
    </row>
    <row r="369" ht="15.75" customHeight="1">
      <c r="A369" s="337"/>
    </row>
    <row r="370" ht="15.75" customHeight="1">
      <c r="A370" s="337"/>
    </row>
    <row r="371" ht="15.75" customHeight="1">
      <c r="A371" s="337"/>
    </row>
    <row r="372" ht="15.75" customHeight="1">
      <c r="A372" s="337"/>
    </row>
    <row r="373" ht="15.75" customHeight="1">
      <c r="A373" s="337"/>
    </row>
    <row r="374" ht="15.75" customHeight="1">
      <c r="A374" s="337"/>
    </row>
    <row r="375" ht="15.75" customHeight="1">
      <c r="A375" s="337"/>
    </row>
    <row r="376" ht="15.75" customHeight="1">
      <c r="A376" s="337"/>
    </row>
    <row r="377" ht="15.75" customHeight="1">
      <c r="A377" s="337"/>
    </row>
    <row r="378" ht="15.75" customHeight="1">
      <c r="A378" s="337"/>
    </row>
    <row r="379" ht="15.75" customHeight="1">
      <c r="A379" s="337"/>
    </row>
    <row r="380" ht="15.75" customHeight="1">
      <c r="A380" s="337"/>
    </row>
    <row r="381" ht="15.75" customHeight="1">
      <c r="A381" s="337"/>
    </row>
    <row r="382" ht="15.75" customHeight="1">
      <c r="A382" s="337"/>
    </row>
    <row r="383" ht="15.75" customHeight="1">
      <c r="A383" s="337"/>
    </row>
    <row r="384" ht="15.75" customHeight="1">
      <c r="A384" s="337"/>
    </row>
    <row r="385" ht="15.75" customHeight="1">
      <c r="A385" s="337"/>
    </row>
    <row r="386" ht="15.75" customHeight="1">
      <c r="A386" s="337"/>
    </row>
    <row r="387" ht="15.75" customHeight="1">
      <c r="A387" s="337"/>
    </row>
    <row r="388" ht="15.75" customHeight="1">
      <c r="A388" s="337"/>
    </row>
    <row r="389" ht="15.75" customHeight="1">
      <c r="A389" s="337"/>
    </row>
    <row r="390" ht="15.75" customHeight="1">
      <c r="A390" s="337"/>
    </row>
    <row r="391" ht="15.75" customHeight="1">
      <c r="A391" s="337"/>
    </row>
    <row r="392" ht="15.75" customHeight="1">
      <c r="A392" s="337"/>
    </row>
    <row r="393" ht="15.75" customHeight="1">
      <c r="A393" s="337"/>
    </row>
    <row r="394" ht="15.75" customHeight="1">
      <c r="A394" s="337"/>
    </row>
    <row r="395" ht="15.75" customHeight="1">
      <c r="A395" s="337"/>
    </row>
    <row r="396" ht="15.75" customHeight="1">
      <c r="A396" s="337"/>
    </row>
    <row r="397" ht="15.75" customHeight="1">
      <c r="A397" s="337"/>
    </row>
    <row r="398" ht="15.75" customHeight="1">
      <c r="A398" s="337"/>
    </row>
    <row r="399" ht="15.75" customHeight="1">
      <c r="A399" s="337"/>
    </row>
    <row r="400" ht="15.75" customHeight="1">
      <c r="A400" s="337"/>
    </row>
    <row r="401" ht="15.75" customHeight="1">
      <c r="A401" s="337"/>
    </row>
    <row r="402" ht="15.75" customHeight="1">
      <c r="A402" s="337"/>
    </row>
    <row r="403" ht="15.75" customHeight="1">
      <c r="A403" s="337"/>
    </row>
    <row r="404" ht="15.75" customHeight="1">
      <c r="A404" s="337"/>
    </row>
    <row r="405" ht="15.75" customHeight="1">
      <c r="A405" s="337"/>
    </row>
    <row r="406" ht="15.75" customHeight="1">
      <c r="A406" s="337"/>
    </row>
    <row r="407" ht="15.75" customHeight="1">
      <c r="A407" s="337"/>
    </row>
    <row r="408" ht="15.75" customHeight="1">
      <c r="A408" s="337"/>
    </row>
    <row r="409" ht="15.75" customHeight="1">
      <c r="A409" s="337"/>
    </row>
    <row r="410" ht="15.75" customHeight="1">
      <c r="A410" s="337"/>
    </row>
    <row r="411" ht="15.75" customHeight="1">
      <c r="A411" s="337"/>
    </row>
    <row r="412" ht="15.75" customHeight="1">
      <c r="A412" s="337"/>
    </row>
    <row r="413" ht="15.75" customHeight="1">
      <c r="A413" s="337"/>
    </row>
    <row r="414" ht="15.75" customHeight="1">
      <c r="A414" s="337"/>
    </row>
    <row r="415" ht="15.75" customHeight="1">
      <c r="A415" s="337"/>
    </row>
    <row r="416" ht="15.75" customHeight="1">
      <c r="A416" s="337"/>
    </row>
    <row r="417" ht="15.75" customHeight="1">
      <c r="A417" s="337"/>
    </row>
    <row r="418" ht="15.75" customHeight="1">
      <c r="A418" s="337"/>
    </row>
    <row r="419" ht="15.75" customHeight="1">
      <c r="A419" s="337"/>
    </row>
    <row r="420" ht="15.75" customHeight="1">
      <c r="A420" s="337"/>
    </row>
    <row r="421" ht="15.75" customHeight="1">
      <c r="A421" s="337"/>
    </row>
    <row r="422" ht="15.75" customHeight="1">
      <c r="A422" s="337"/>
    </row>
    <row r="423" ht="15.75" customHeight="1">
      <c r="A423" s="337"/>
    </row>
    <row r="424" ht="15.75" customHeight="1">
      <c r="A424" s="337"/>
    </row>
    <row r="425" ht="15.75" customHeight="1">
      <c r="A425" s="337"/>
    </row>
    <row r="426" ht="15.75" customHeight="1">
      <c r="A426" s="337"/>
    </row>
    <row r="427" ht="15.75" customHeight="1">
      <c r="A427" s="337"/>
    </row>
    <row r="428" ht="15.75" customHeight="1">
      <c r="A428" s="337"/>
    </row>
    <row r="429" ht="15.75" customHeight="1">
      <c r="A429" s="337"/>
    </row>
    <row r="430" ht="15.75" customHeight="1">
      <c r="A430" s="337"/>
    </row>
    <row r="431" ht="15.75" customHeight="1">
      <c r="A431" s="337"/>
    </row>
    <row r="432" ht="15.75" customHeight="1">
      <c r="A432" s="337"/>
    </row>
    <row r="433" ht="15.75" customHeight="1">
      <c r="A433" s="337"/>
    </row>
    <row r="434" ht="15.75" customHeight="1">
      <c r="A434" s="337"/>
    </row>
    <row r="435" ht="15.75" customHeight="1">
      <c r="A435" s="337"/>
    </row>
    <row r="436" ht="15.75" customHeight="1">
      <c r="A436" s="337"/>
    </row>
    <row r="437" ht="15.75" customHeight="1">
      <c r="A437" s="337"/>
    </row>
    <row r="438" ht="15.75" customHeight="1">
      <c r="A438" s="337"/>
    </row>
    <row r="439" ht="15.75" customHeight="1">
      <c r="A439" s="337"/>
    </row>
    <row r="440" ht="15.75" customHeight="1">
      <c r="A440" s="337"/>
    </row>
    <row r="441" ht="15.75" customHeight="1">
      <c r="A441" s="337"/>
    </row>
    <row r="442" ht="15.75" customHeight="1">
      <c r="A442" s="337"/>
    </row>
    <row r="443" ht="15.75" customHeight="1">
      <c r="A443" s="337"/>
    </row>
    <row r="444" ht="15.75" customHeight="1">
      <c r="A444" s="337"/>
    </row>
    <row r="445" ht="15.75" customHeight="1">
      <c r="A445" s="337"/>
    </row>
    <row r="446" ht="15.75" customHeight="1">
      <c r="A446" s="337"/>
    </row>
    <row r="447" ht="15.75" customHeight="1">
      <c r="A447" s="337"/>
    </row>
    <row r="448" ht="15.75" customHeight="1">
      <c r="A448" s="337"/>
    </row>
    <row r="449" ht="15.75" customHeight="1">
      <c r="A449" s="337"/>
    </row>
    <row r="450" ht="15.75" customHeight="1">
      <c r="A450" s="337"/>
    </row>
    <row r="451" ht="15.75" customHeight="1">
      <c r="A451" s="337"/>
    </row>
    <row r="452" ht="15.75" customHeight="1">
      <c r="A452" s="337"/>
    </row>
    <row r="453" ht="15.75" customHeight="1">
      <c r="A453" s="337"/>
    </row>
    <row r="454" ht="15.75" customHeight="1">
      <c r="A454" s="337"/>
    </row>
    <row r="455" ht="15.75" customHeight="1">
      <c r="A455" s="337"/>
    </row>
    <row r="456" ht="15.75" customHeight="1">
      <c r="A456" s="337"/>
    </row>
    <row r="457" ht="15.75" customHeight="1">
      <c r="A457" s="337"/>
    </row>
    <row r="458" ht="15.75" customHeight="1">
      <c r="A458" s="337"/>
    </row>
    <row r="459" ht="15.75" customHeight="1">
      <c r="A459" s="337"/>
    </row>
    <row r="460" ht="15.75" customHeight="1">
      <c r="A460" s="337"/>
    </row>
    <row r="461" ht="15.75" customHeight="1">
      <c r="A461" s="337"/>
    </row>
    <row r="462" ht="15.75" customHeight="1">
      <c r="A462" s="337"/>
    </row>
    <row r="463" ht="15.75" customHeight="1">
      <c r="A463" s="337"/>
    </row>
    <row r="464" ht="15.75" customHeight="1">
      <c r="A464" s="337"/>
    </row>
    <row r="465" ht="15.75" customHeight="1">
      <c r="A465" s="337"/>
    </row>
    <row r="466" ht="15.75" customHeight="1">
      <c r="A466" s="337"/>
    </row>
    <row r="467" ht="15.75" customHeight="1">
      <c r="A467" s="337"/>
    </row>
    <row r="468" ht="15.75" customHeight="1">
      <c r="A468" s="337"/>
    </row>
    <row r="469" ht="15.75" customHeight="1">
      <c r="A469" s="337"/>
    </row>
    <row r="470" ht="15.75" customHeight="1">
      <c r="A470" s="337"/>
    </row>
    <row r="471" ht="15.75" customHeight="1">
      <c r="A471" s="337"/>
    </row>
    <row r="472" ht="15.75" customHeight="1">
      <c r="A472" s="337"/>
    </row>
    <row r="473" ht="15.75" customHeight="1">
      <c r="A473" s="337"/>
    </row>
    <row r="474" ht="15.75" customHeight="1">
      <c r="A474" s="337"/>
    </row>
    <row r="475" ht="15.75" customHeight="1">
      <c r="A475" s="337"/>
    </row>
    <row r="476" ht="15.75" customHeight="1">
      <c r="A476" s="337"/>
    </row>
    <row r="477" ht="15.75" customHeight="1">
      <c r="A477" s="337"/>
    </row>
    <row r="478" ht="15.75" customHeight="1">
      <c r="A478" s="337"/>
    </row>
    <row r="479" ht="15.75" customHeight="1">
      <c r="A479" s="337"/>
    </row>
    <row r="480" ht="15.75" customHeight="1">
      <c r="A480" s="337"/>
    </row>
    <row r="481" ht="15.75" customHeight="1">
      <c r="A481" s="337"/>
    </row>
    <row r="482" ht="15.75" customHeight="1">
      <c r="A482" s="337"/>
    </row>
    <row r="483" ht="15.75" customHeight="1">
      <c r="A483" s="337"/>
    </row>
    <row r="484" ht="15.75" customHeight="1">
      <c r="A484" s="337"/>
    </row>
    <row r="485" ht="15.75" customHeight="1">
      <c r="A485" s="337"/>
    </row>
    <row r="486" ht="15.75" customHeight="1">
      <c r="A486" s="337"/>
    </row>
    <row r="487" ht="15.75" customHeight="1">
      <c r="A487" s="337"/>
    </row>
    <row r="488" ht="15.75" customHeight="1">
      <c r="A488" s="337"/>
    </row>
    <row r="489" ht="15.75" customHeight="1">
      <c r="A489" s="337"/>
    </row>
    <row r="490" ht="15.75" customHeight="1">
      <c r="A490" s="337"/>
    </row>
    <row r="491" ht="15.75" customHeight="1">
      <c r="A491" s="337"/>
    </row>
    <row r="492" ht="15.75" customHeight="1">
      <c r="A492" s="337"/>
    </row>
    <row r="493" ht="15.75" customHeight="1">
      <c r="A493" s="337"/>
    </row>
    <row r="494" ht="15.75" customHeight="1">
      <c r="A494" s="337"/>
    </row>
    <row r="495" ht="15.75" customHeight="1">
      <c r="A495" s="337"/>
    </row>
    <row r="496" ht="15.75" customHeight="1">
      <c r="A496" s="337"/>
    </row>
    <row r="497" ht="15.75" customHeight="1">
      <c r="A497" s="337"/>
    </row>
    <row r="498" ht="15.75" customHeight="1">
      <c r="A498" s="337"/>
    </row>
    <row r="499" ht="15.75" customHeight="1">
      <c r="A499" s="337"/>
    </row>
    <row r="500" ht="15.75" customHeight="1">
      <c r="A500" s="337"/>
    </row>
    <row r="501" ht="15.75" customHeight="1">
      <c r="A501" s="337"/>
    </row>
    <row r="502" ht="15.75" customHeight="1">
      <c r="A502" s="337"/>
    </row>
    <row r="503" ht="15.75" customHeight="1">
      <c r="A503" s="337"/>
    </row>
    <row r="504" ht="15.75" customHeight="1">
      <c r="A504" s="337"/>
    </row>
    <row r="505" ht="15.75" customHeight="1">
      <c r="A505" s="337"/>
    </row>
    <row r="506" ht="15.75" customHeight="1">
      <c r="A506" s="337"/>
    </row>
    <row r="507" ht="15.75" customHeight="1">
      <c r="A507" s="337"/>
    </row>
    <row r="508" ht="15.75" customHeight="1">
      <c r="A508" s="337"/>
    </row>
    <row r="509" ht="15.75" customHeight="1">
      <c r="A509" s="337"/>
    </row>
    <row r="510" ht="15.75" customHeight="1">
      <c r="A510" s="337"/>
    </row>
    <row r="511" ht="15.75" customHeight="1">
      <c r="A511" s="337"/>
    </row>
    <row r="512" ht="15.75" customHeight="1">
      <c r="A512" s="337"/>
    </row>
    <row r="513" ht="15.75" customHeight="1">
      <c r="A513" s="337"/>
    </row>
    <row r="514" ht="15.75" customHeight="1">
      <c r="A514" s="337"/>
    </row>
    <row r="515" ht="15.75" customHeight="1">
      <c r="A515" s="337"/>
    </row>
    <row r="516" ht="15.75" customHeight="1">
      <c r="A516" s="337"/>
    </row>
    <row r="517" ht="15.75" customHeight="1">
      <c r="A517" s="337"/>
    </row>
    <row r="518" ht="15.75" customHeight="1">
      <c r="A518" s="337"/>
    </row>
    <row r="519" ht="15.75" customHeight="1">
      <c r="A519" s="337"/>
    </row>
    <row r="520" ht="15.75" customHeight="1">
      <c r="A520" s="337"/>
    </row>
    <row r="521" ht="15.75" customHeight="1">
      <c r="A521" s="337"/>
    </row>
    <row r="522" ht="15.75" customHeight="1">
      <c r="A522" s="337"/>
    </row>
    <row r="523" ht="15.75" customHeight="1">
      <c r="A523" s="337"/>
    </row>
    <row r="524" ht="15.75" customHeight="1">
      <c r="A524" s="337"/>
    </row>
    <row r="525" ht="15.75" customHeight="1">
      <c r="A525" s="337"/>
    </row>
    <row r="526" ht="15.75" customHeight="1">
      <c r="A526" s="337"/>
    </row>
    <row r="527" ht="15.75" customHeight="1">
      <c r="A527" s="337"/>
    </row>
    <row r="528" ht="15.75" customHeight="1">
      <c r="A528" s="337"/>
    </row>
    <row r="529" ht="15.75" customHeight="1">
      <c r="A529" s="337"/>
    </row>
    <row r="530" ht="15.75" customHeight="1">
      <c r="A530" s="337"/>
    </row>
    <row r="531" ht="15.75" customHeight="1">
      <c r="A531" s="337"/>
    </row>
    <row r="532" ht="15.75" customHeight="1">
      <c r="A532" s="337"/>
    </row>
    <row r="533" ht="15.75" customHeight="1">
      <c r="A533" s="337"/>
    </row>
    <row r="534" ht="15.75" customHeight="1">
      <c r="A534" s="337"/>
    </row>
    <row r="535" ht="15.75" customHeight="1">
      <c r="A535" s="337"/>
    </row>
    <row r="536" ht="15.75" customHeight="1">
      <c r="A536" s="337"/>
    </row>
    <row r="537" ht="15.75" customHeight="1">
      <c r="A537" s="337"/>
    </row>
    <row r="538" ht="15.75" customHeight="1">
      <c r="A538" s="337"/>
    </row>
    <row r="539" ht="15.75" customHeight="1">
      <c r="A539" s="337"/>
    </row>
    <row r="540" ht="15.75" customHeight="1">
      <c r="A540" s="337"/>
    </row>
    <row r="541" ht="15.75" customHeight="1">
      <c r="A541" s="337"/>
    </row>
    <row r="542" ht="15.75" customHeight="1">
      <c r="A542" s="337"/>
    </row>
    <row r="543" ht="15.75" customHeight="1">
      <c r="A543" s="337"/>
    </row>
    <row r="544" ht="15.75" customHeight="1">
      <c r="A544" s="337"/>
    </row>
    <row r="545" ht="15.75" customHeight="1">
      <c r="A545" s="337"/>
    </row>
    <row r="546" ht="15.75" customHeight="1">
      <c r="A546" s="337"/>
    </row>
    <row r="547" ht="15.75" customHeight="1">
      <c r="A547" s="337"/>
    </row>
    <row r="548" ht="15.75" customHeight="1">
      <c r="A548" s="337"/>
    </row>
    <row r="549" ht="15.75" customHeight="1">
      <c r="A549" s="337"/>
    </row>
    <row r="550" ht="15.75" customHeight="1">
      <c r="A550" s="337"/>
    </row>
    <row r="551" ht="15.75" customHeight="1">
      <c r="A551" s="337"/>
    </row>
    <row r="552" ht="15.75" customHeight="1">
      <c r="A552" s="337"/>
    </row>
    <row r="553" ht="15.75" customHeight="1">
      <c r="A553" s="337"/>
    </row>
    <row r="554" ht="15.75" customHeight="1">
      <c r="A554" s="337"/>
    </row>
    <row r="555" ht="15.75" customHeight="1">
      <c r="A555" s="337"/>
    </row>
    <row r="556" ht="15.75" customHeight="1">
      <c r="A556" s="337"/>
    </row>
    <row r="557" ht="15.75" customHeight="1">
      <c r="A557" s="337"/>
    </row>
    <row r="558" ht="15.75" customHeight="1">
      <c r="A558" s="337"/>
    </row>
    <row r="559" ht="15.75" customHeight="1">
      <c r="A559" s="337"/>
    </row>
    <row r="560" ht="15.75" customHeight="1">
      <c r="A560" s="337"/>
    </row>
    <row r="561" ht="15.75" customHeight="1">
      <c r="A561" s="337"/>
    </row>
    <row r="562" ht="15.75" customHeight="1">
      <c r="A562" s="337"/>
    </row>
    <row r="563" ht="15.75" customHeight="1">
      <c r="A563" s="337"/>
    </row>
    <row r="564" ht="15.75" customHeight="1">
      <c r="A564" s="337"/>
    </row>
    <row r="565" ht="15.75" customHeight="1">
      <c r="A565" s="337"/>
    </row>
    <row r="566" ht="15.75" customHeight="1">
      <c r="A566" s="337"/>
    </row>
    <row r="567" ht="15.75" customHeight="1">
      <c r="A567" s="337"/>
    </row>
    <row r="568" ht="15.75" customHeight="1">
      <c r="A568" s="337"/>
    </row>
    <row r="569" ht="15.75" customHeight="1">
      <c r="A569" s="337"/>
    </row>
    <row r="570" ht="15.75" customHeight="1">
      <c r="A570" s="337"/>
    </row>
    <row r="571" ht="15.75" customHeight="1">
      <c r="A571" s="337"/>
    </row>
    <row r="572" ht="15.75" customHeight="1">
      <c r="A572" s="337"/>
    </row>
    <row r="573" ht="15.75" customHeight="1">
      <c r="A573" s="337"/>
    </row>
    <row r="574" ht="15.75" customHeight="1">
      <c r="A574" s="337"/>
    </row>
    <row r="575" ht="15.75" customHeight="1">
      <c r="A575" s="337"/>
    </row>
    <row r="576" ht="15.75" customHeight="1">
      <c r="A576" s="337"/>
    </row>
    <row r="577" ht="15.75" customHeight="1">
      <c r="A577" s="337"/>
    </row>
    <row r="578" ht="15.75" customHeight="1">
      <c r="A578" s="337"/>
    </row>
    <row r="579" ht="15.75" customHeight="1">
      <c r="A579" s="337"/>
    </row>
    <row r="580" ht="15.75" customHeight="1">
      <c r="A580" s="337"/>
    </row>
    <row r="581" ht="15.75" customHeight="1">
      <c r="A581" s="337"/>
    </row>
    <row r="582" ht="15.75" customHeight="1">
      <c r="A582" s="337"/>
    </row>
    <row r="583" ht="15.75" customHeight="1">
      <c r="A583" s="337"/>
    </row>
    <row r="584" ht="15.75" customHeight="1">
      <c r="A584" s="337"/>
    </row>
    <row r="585" ht="15.75" customHeight="1">
      <c r="A585" s="337"/>
    </row>
    <row r="586" ht="15.75" customHeight="1">
      <c r="A586" s="337"/>
    </row>
    <row r="587" ht="15.75" customHeight="1">
      <c r="A587" s="337"/>
    </row>
    <row r="588" ht="15.75" customHeight="1">
      <c r="A588" s="337"/>
    </row>
    <row r="589" ht="15.75" customHeight="1">
      <c r="A589" s="337"/>
    </row>
    <row r="590" ht="15.75" customHeight="1">
      <c r="A590" s="337"/>
    </row>
    <row r="591" ht="15.75" customHeight="1">
      <c r="A591" s="337"/>
    </row>
    <row r="592" ht="15.75" customHeight="1">
      <c r="A592" s="337"/>
    </row>
    <row r="593" ht="15.75" customHeight="1">
      <c r="A593" s="337"/>
    </row>
    <row r="594" ht="15.75" customHeight="1">
      <c r="A594" s="337"/>
    </row>
    <row r="595" ht="15.75" customHeight="1">
      <c r="A595" s="337"/>
    </row>
    <row r="596" ht="15.75" customHeight="1">
      <c r="A596" s="337"/>
    </row>
    <row r="597" ht="15.75" customHeight="1">
      <c r="A597" s="337"/>
    </row>
    <row r="598" ht="15.75" customHeight="1">
      <c r="A598" s="337"/>
    </row>
    <row r="599" ht="15.75" customHeight="1">
      <c r="A599" s="337"/>
    </row>
    <row r="600" ht="15.75" customHeight="1">
      <c r="A600" s="337"/>
    </row>
    <row r="601" ht="15.75" customHeight="1">
      <c r="A601" s="337"/>
    </row>
    <row r="602" ht="15.75" customHeight="1">
      <c r="A602" s="337"/>
    </row>
    <row r="603" ht="15.75" customHeight="1">
      <c r="A603" s="337"/>
    </row>
    <row r="604" ht="15.75" customHeight="1">
      <c r="A604" s="337"/>
    </row>
    <row r="605" ht="15.75" customHeight="1">
      <c r="A605" s="337"/>
    </row>
    <row r="606" ht="15.75" customHeight="1">
      <c r="A606" s="337"/>
    </row>
    <row r="607" ht="15.75" customHeight="1">
      <c r="A607" s="337"/>
    </row>
    <row r="608" ht="15.75" customHeight="1">
      <c r="A608" s="337"/>
    </row>
    <row r="609" ht="15.75" customHeight="1">
      <c r="A609" s="337"/>
    </row>
    <row r="610" ht="15.75" customHeight="1">
      <c r="A610" s="337"/>
    </row>
    <row r="611" ht="15.75" customHeight="1">
      <c r="A611" s="337"/>
    </row>
    <row r="612" ht="15.75" customHeight="1">
      <c r="A612" s="337"/>
    </row>
    <row r="613" ht="15.75" customHeight="1">
      <c r="A613" s="337"/>
    </row>
    <row r="614" ht="15.75" customHeight="1">
      <c r="A614" s="337"/>
    </row>
    <row r="615" ht="15.75" customHeight="1">
      <c r="A615" s="337"/>
    </row>
    <row r="616" ht="15.75" customHeight="1">
      <c r="A616" s="337"/>
    </row>
    <row r="617" ht="15.75" customHeight="1">
      <c r="A617" s="337"/>
    </row>
    <row r="618" ht="15.75" customHeight="1">
      <c r="A618" s="337"/>
    </row>
    <row r="619" ht="15.75" customHeight="1">
      <c r="A619" s="337"/>
    </row>
    <row r="620" ht="15.75" customHeight="1">
      <c r="A620" s="337"/>
    </row>
    <row r="621" ht="15.75" customHeight="1">
      <c r="A621" s="337"/>
    </row>
    <row r="622" ht="15.75" customHeight="1">
      <c r="A622" s="337"/>
    </row>
    <row r="623" ht="15.75" customHeight="1">
      <c r="A623" s="337"/>
    </row>
    <row r="624" ht="15.75" customHeight="1">
      <c r="A624" s="337"/>
    </row>
    <row r="625" ht="15.75" customHeight="1">
      <c r="A625" s="337"/>
    </row>
    <row r="626" ht="15.75" customHeight="1">
      <c r="A626" s="337"/>
    </row>
    <row r="627" ht="15.75" customHeight="1">
      <c r="A627" s="337"/>
    </row>
    <row r="628" ht="15.75" customHeight="1">
      <c r="A628" s="337"/>
    </row>
    <row r="629" ht="15.75" customHeight="1">
      <c r="A629" s="337"/>
    </row>
    <row r="630" ht="15.75" customHeight="1">
      <c r="A630" s="337"/>
    </row>
    <row r="631" ht="15.75" customHeight="1">
      <c r="A631" s="337"/>
    </row>
    <row r="632" ht="15.75" customHeight="1">
      <c r="A632" s="337"/>
    </row>
    <row r="633" ht="15.75" customHeight="1">
      <c r="A633" s="337"/>
    </row>
    <row r="634" ht="15.75" customHeight="1">
      <c r="A634" s="337"/>
    </row>
    <row r="635" ht="15.75" customHeight="1">
      <c r="A635" s="337"/>
    </row>
    <row r="636" ht="15.75" customHeight="1">
      <c r="A636" s="337"/>
    </row>
    <row r="637" ht="15.75" customHeight="1">
      <c r="A637" s="337"/>
    </row>
    <row r="638" ht="15.75" customHeight="1">
      <c r="A638" s="337"/>
    </row>
    <row r="639" ht="15.75" customHeight="1">
      <c r="A639" s="337"/>
    </row>
    <row r="640" ht="15.75" customHeight="1">
      <c r="A640" s="337"/>
    </row>
    <row r="641" ht="15.75" customHeight="1">
      <c r="A641" s="337"/>
    </row>
    <row r="642" ht="15.75" customHeight="1">
      <c r="A642" s="337"/>
    </row>
    <row r="643" ht="15.75" customHeight="1">
      <c r="A643" s="337"/>
    </row>
    <row r="644" ht="15.75" customHeight="1">
      <c r="A644" s="337"/>
    </row>
    <row r="645" ht="15.75" customHeight="1">
      <c r="A645" s="337"/>
    </row>
    <row r="646" ht="15.75" customHeight="1">
      <c r="A646" s="337"/>
    </row>
    <row r="647" ht="15.75" customHeight="1">
      <c r="A647" s="337"/>
    </row>
    <row r="648" ht="15.75" customHeight="1">
      <c r="A648" s="337"/>
    </row>
    <row r="649" ht="15.75" customHeight="1">
      <c r="A649" s="337"/>
    </row>
    <row r="650" ht="15.75" customHeight="1">
      <c r="A650" s="337"/>
    </row>
    <row r="651" ht="15.75" customHeight="1">
      <c r="A651" s="337"/>
    </row>
    <row r="652" ht="15.75" customHeight="1">
      <c r="A652" s="337"/>
    </row>
    <row r="653" ht="15.75" customHeight="1">
      <c r="A653" s="337"/>
    </row>
    <row r="654" ht="15.75" customHeight="1">
      <c r="A654" s="337"/>
    </row>
    <row r="655" ht="15.75" customHeight="1">
      <c r="A655" s="337"/>
    </row>
    <row r="656" ht="15.75" customHeight="1">
      <c r="A656" s="337"/>
    </row>
    <row r="657" ht="15.75" customHeight="1">
      <c r="A657" s="337"/>
    </row>
    <row r="658" ht="15.75" customHeight="1">
      <c r="A658" s="337"/>
    </row>
    <row r="659" ht="15.75" customHeight="1">
      <c r="A659" s="337"/>
    </row>
    <row r="660" ht="15.75" customHeight="1">
      <c r="A660" s="337"/>
    </row>
    <row r="661" ht="15.75" customHeight="1">
      <c r="A661" s="337"/>
    </row>
    <row r="662" ht="15.75" customHeight="1">
      <c r="A662" s="337"/>
    </row>
    <row r="663" ht="15.75" customHeight="1">
      <c r="A663" s="337"/>
    </row>
    <row r="664" ht="15.75" customHeight="1">
      <c r="A664" s="337"/>
    </row>
    <row r="665" ht="15.75" customHeight="1">
      <c r="A665" s="337"/>
    </row>
    <row r="666" ht="15.75" customHeight="1">
      <c r="A666" s="337"/>
    </row>
    <row r="667" ht="15.75" customHeight="1">
      <c r="A667" s="337"/>
    </row>
    <row r="668" ht="15.75" customHeight="1">
      <c r="A668" s="337"/>
    </row>
    <row r="669" ht="15.75" customHeight="1">
      <c r="A669" s="337"/>
    </row>
    <row r="670" ht="15.75" customHeight="1">
      <c r="A670" s="337"/>
    </row>
    <row r="671" ht="15.75" customHeight="1">
      <c r="A671" s="337"/>
    </row>
    <row r="672" ht="15.75" customHeight="1">
      <c r="A672" s="337"/>
    </row>
    <row r="673" ht="15.75" customHeight="1">
      <c r="A673" s="337"/>
    </row>
    <row r="674" ht="15.75" customHeight="1">
      <c r="A674" s="337"/>
    </row>
    <row r="675" ht="15.75" customHeight="1">
      <c r="A675" s="337"/>
    </row>
    <row r="676" ht="15.75" customHeight="1">
      <c r="A676" s="337"/>
    </row>
    <row r="677" ht="15.75" customHeight="1">
      <c r="A677" s="337"/>
    </row>
    <row r="678" ht="15.75" customHeight="1">
      <c r="A678" s="337"/>
    </row>
    <row r="679" ht="15.75" customHeight="1">
      <c r="A679" s="337"/>
    </row>
    <row r="680" ht="15.75" customHeight="1">
      <c r="A680" s="337"/>
    </row>
    <row r="681" ht="15.75" customHeight="1">
      <c r="A681" s="337"/>
    </row>
    <row r="682" ht="15.75" customHeight="1">
      <c r="A682" s="337"/>
    </row>
    <row r="683" ht="15.75" customHeight="1">
      <c r="A683" s="337"/>
    </row>
    <row r="684" ht="15.75" customHeight="1">
      <c r="A684" s="337"/>
    </row>
    <row r="685" ht="15.75" customHeight="1">
      <c r="A685" s="337"/>
    </row>
    <row r="686" ht="15.75" customHeight="1">
      <c r="A686" s="337"/>
    </row>
    <row r="687" ht="15.75" customHeight="1">
      <c r="A687" s="337"/>
    </row>
    <row r="688" ht="15.75" customHeight="1">
      <c r="A688" s="337"/>
    </row>
    <row r="689" ht="15.75" customHeight="1">
      <c r="A689" s="337"/>
    </row>
    <row r="690" ht="15.75" customHeight="1">
      <c r="A690" s="337"/>
    </row>
    <row r="691" ht="15.75" customHeight="1">
      <c r="A691" s="337"/>
    </row>
    <row r="692" ht="15.75" customHeight="1">
      <c r="A692" s="337"/>
    </row>
    <row r="693" ht="15.75" customHeight="1">
      <c r="A693" s="337"/>
    </row>
    <row r="694" ht="15.75" customHeight="1">
      <c r="A694" s="337"/>
    </row>
    <row r="695" ht="15.75" customHeight="1">
      <c r="A695" s="337"/>
    </row>
    <row r="696" ht="15.75" customHeight="1">
      <c r="A696" s="337"/>
    </row>
    <row r="697" ht="15.75" customHeight="1">
      <c r="A697" s="337"/>
    </row>
    <row r="698" ht="15.75" customHeight="1">
      <c r="A698" s="337"/>
    </row>
    <row r="699" ht="15.75" customHeight="1">
      <c r="A699" s="337"/>
    </row>
    <row r="700" ht="15.75" customHeight="1">
      <c r="A700" s="337"/>
    </row>
    <row r="701" ht="15.75" customHeight="1">
      <c r="A701" s="337"/>
    </row>
    <row r="702" ht="15.75" customHeight="1">
      <c r="A702" s="337"/>
    </row>
    <row r="703" ht="15.75" customHeight="1">
      <c r="A703" s="337"/>
    </row>
    <row r="704" ht="15.75" customHeight="1">
      <c r="A704" s="337"/>
    </row>
    <row r="705" ht="15.75" customHeight="1">
      <c r="A705" s="337"/>
    </row>
    <row r="706" ht="15.75" customHeight="1">
      <c r="A706" s="337"/>
    </row>
    <row r="707" ht="15.75" customHeight="1">
      <c r="A707" s="337"/>
    </row>
    <row r="708" ht="15.75" customHeight="1">
      <c r="A708" s="337"/>
    </row>
    <row r="709" ht="15.75" customHeight="1">
      <c r="A709" s="337"/>
    </row>
    <row r="710" ht="15.75" customHeight="1">
      <c r="A710" s="337"/>
    </row>
    <row r="711" ht="15.75" customHeight="1">
      <c r="A711" s="337"/>
    </row>
    <row r="712" ht="15.75" customHeight="1">
      <c r="A712" s="337"/>
    </row>
    <row r="713" ht="15.75" customHeight="1">
      <c r="A713" s="337"/>
    </row>
    <row r="714" ht="15.75" customHeight="1">
      <c r="A714" s="337"/>
    </row>
    <row r="715" ht="15.75" customHeight="1">
      <c r="A715" s="337"/>
    </row>
    <row r="716" ht="15.75" customHeight="1">
      <c r="A716" s="337"/>
    </row>
    <row r="717" ht="15.75" customHeight="1">
      <c r="A717" s="337"/>
    </row>
    <row r="718" ht="15.75" customHeight="1">
      <c r="A718" s="337"/>
    </row>
    <row r="719" ht="15.75" customHeight="1">
      <c r="A719" s="337"/>
    </row>
    <row r="720" ht="15.75" customHeight="1">
      <c r="A720" s="337"/>
    </row>
    <row r="721" ht="15.75" customHeight="1">
      <c r="A721" s="337"/>
    </row>
    <row r="722" ht="15.75" customHeight="1">
      <c r="A722" s="337"/>
    </row>
    <row r="723" ht="15.75" customHeight="1">
      <c r="A723" s="337"/>
    </row>
    <row r="724" ht="15.75" customHeight="1">
      <c r="A724" s="337"/>
    </row>
    <row r="725" ht="15.75" customHeight="1">
      <c r="A725" s="337"/>
    </row>
    <row r="726" ht="15.75" customHeight="1">
      <c r="A726" s="337"/>
    </row>
    <row r="727" ht="15.75" customHeight="1">
      <c r="A727" s="337"/>
    </row>
    <row r="728" ht="15.75" customHeight="1">
      <c r="A728" s="337"/>
    </row>
    <row r="729" ht="15.75" customHeight="1">
      <c r="A729" s="337"/>
    </row>
    <row r="730" ht="15.75" customHeight="1">
      <c r="A730" s="337"/>
    </row>
    <row r="731" ht="15.75" customHeight="1">
      <c r="A731" s="337"/>
    </row>
    <row r="732" ht="15.75" customHeight="1">
      <c r="A732" s="337"/>
    </row>
    <row r="733" ht="15.75" customHeight="1">
      <c r="A733" s="337"/>
    </row>
    <row r="734" ht="15.75" customHeight="1">
      <c r="A734" s="337"/>
    </row>
    <row r="735" ht="15.75" customHeight="1">
      <c r="A735" s="337"/>
    </row>
    <row r="736" ht="15.75" customHeight="1">
      <c r="A736" s="337"/>
    </row>
    <row r="737" ht="15.75" customHeight="1">
      <c r="A737" s="337"/>
    </row>
    <row r="738" ht="15.75" customHeight="1">
      <c r="A738" s="337"/>
    </row>
    <row r="739" ht="15.75" customHeight="1">
      <c r="A739" s="337"/>
    </row>
    <row r="740" ht="15.75" customHeight="1">
      <c r="A740" s="337"/>
    </row>
    <row r="741" ht="15.75" customHeight="1">
      <c r="A741" s="337"/>
    </row>
    <row r="742" ht="15.75" customHeight="1">
      <c r="A742" s="337"/>
    </row>
    <row r="743" ht="15.75" customHeight="1">
      <c r="A743" s="337"/>
    </row>
    <row r="744" ht="15.75" customHeight="1">
      <c r="A744" s="337"/>
    </row>
    <row r="745" ht="15.75" customHeight="1">
      <c r="A745" s="337"/>
    </row>
    <row r="746" ht="15.75" customHeight="1">
      <c r="A746" s="337"/>
    </row>
    <row r="747" ht="15.75" customHeight="1">
      <c r="A747" s="337"/>
    </row>
    <row r="748" ht="15.75" customHeight="1">
      <c r="A748" s="337"/>
    </row>
    <row r="749" ht="15.75" customHeight="1">
      <c r="A749" s="337"/>
    </row>
    <row r="750" ht="15.75" customHeight="1">
      <c r="A750" s="337"/>
    </row>
    <row r="751" ht="15.75" customHeight="1">
      <c r="A751" s="337"/>
    </row>
    <row r="752" ht="15.75" customHeight="1">
      <c r="A752" s="337"/>
    </row>
    <row r="753" ht="15.75" customHeight="1">
      <c r="A753" s="337"/>
    </row>
    <row r="754" ht="15.75" customHeight="1">
      <c r="A754" s="337"/>
    </row>
    <row r="755" ht="15.75" customHeight="1">
      <c r="A755" s="337"/>
    </row>
    <row r="756" ht="15.75" customHeight="1">
      <c r="A756" s="337"/>
    </row>
    <row r="757" ht="15.75" customHeight="1">
      <c r="A757" s="337"/>
    </row>
    <row r="758" ht="15.75" customHeight="1">
      <c r="A758" s="337"/>
    </row>
    <row r="759" ht="15.75" customHeight="1">
      <c r="A759" s="337"/>
    </row>
    <row r="760" ht="15.75" customHeight="1">
      <c r="A760" s="337"/>
    </row>
    <row r="761" ht="15.75" customHeight="1">
      <c r="A761" s="337"/>
    </row>
    <row r="762" ht="15.75" customHeight="1">
      <c r="A762" s="337"/>
    </row>
    <row r="763" ht="15.75" customHeight="1">
      <c r="A763" s="337"/>
    </row>
    <row r="764" ht="15.75" customHeight="1">
      <c r="A764" s="337"/>
    </row>
    <row r="765" ht="15.75" customHeight="1">
      <c r="A765" s="337"/>
    </row>
    <row r="766" ht="15.75" customHeight="1">
      <c r="A766" s="337"/>
    </row>
    <row r="767" ht="15.75" customHeight="1">
      <c r="A767" s="337"/>
    </row>
    <row r="768" ht="15.75" customHeight="1">
      <c r="A768" s="337"/>
    </row>
    <row r="769" ht="15.75" customHeight="1">
      <c r="A769" s="337"/>
    </row>
    <row r="770" ht="15.75" customHeight="1">
      <c r="A770" s="337"/>
    </row>
    <row r="771" ht="15.75" customHeight="1">
      <c r="A771" s="337"/>
    </row>
    <row r="772" ht="15.75" customHeight="1">
      <c r="A772" s="337"/>
    </row>
    <row r="773" ht="15.75" customHeight="1">
      <c r="A773" s="337"/>
    </row>
    <row r="774" ht="15.75" customHeight="1">
      <c r="A774" s="337"/>
    </row>
    <row r="775" ht="15.75" customHeight="1">
      <c r="A775" s="337"/>
    </row>
    <row r="776" ht="15.75" customHeight="1">
      <c r="A776" s="337"/>
    </row>
    <row r="777" ht="15.75" customHeight="1">
      <c r="A777" s="337"/>
    </row>
    <row r="778" ht="15.75" customHeight="1">
      <c r="A778" s="337"/>
    </row>
    <row r="779" ht="15.75" customHeight="1">
      <c r="A779" s="337"/>
    </row>
    <row r="780" ht="15.75" customHeight="1">
      <c r="A780" s="337"/>
    </row>
    <row r="781" ht="15.75" customHeight="1">
      <c r="A781" s="337"/>
    </row>
    <row r="782" ht="15.75" customHeight="1">
      <c r="A782" s="337"/>
    </row>
    <row r="783" ht="15.75" customHeight="1">
      <c r="A783" s="337"/>
    </row>
    <row r="784" ht="15.75" customHeight="1">
      <c r="A784" s="337"/>
    </row>
    <row r="785" ht="15.75" customHeight="1">
      <c r="A785" s="337"/>
    </row>
    <row r="786" ht="15.75" customHeight="1">
      <c r="A786" s="337"/>
    </row>
    <row r="787" ht="15.75" customHeight="1">
      <c r="A787" s="337"/>
    </row>
    <row r="788" ht="15.75" customHeight="1">
      <c r="A788" s="337"/>
    </row>
    <row r="789" ht="15.75" customHeight="1">
      <c r="A789" s="337"/>
    </row>
    <row r="790" ht="15.75" customHeight="1">
      <c r="A790" s="337"/>
    </row>
    <row r="791" ht="15.75" customHeight="1">
      <c r="A791" s="337"/>
    </row>
    <row r="792" ht="15.75" customHeight="1">
      <c r="A792" s="337"/>
    </row>
    <row r="793" ht="15.75" customHeight="1">
      <c r="A793" s="337"/>
    </row>
    <row r="794" ht="15.75" customHeight="1">
      <c r="A794" s="337"/>
    </row>
    <row r="795" ht="15.75" customHeight="1">
      <c r="A795" s="337"/>
    </row>
    <row r="796" ht="15.75" customHeight="1">
      <c r="A796" s="337"/>
    </row>
    <row r="797" ht="15.75" customHeight="1">
      <c r="A797" s="337"/>
    </row>
    <row r="798" ht="15.75" customHeight="1">
      <c r="A798" s="337"/>
    </row>
    <row r="799" ht="15.75" customHeight="1">
      <c r="A799" s="337"/>
    </row>
    <row r="800" ht="15.75" customHeight="1">
      <c r="A800" s="337"/>
    </row>
    <row r="801" ht="15.75" customHeight="1">
      <c r="A801" s="337"/>
    </row>
    <row r="802" ht="15.75" customHeight="1">
      <c r="A802" s="337"/>
    </row>
    <row r="803" ht="15.75" customHeight="1">
      <c r="A803" s="337"/>
    </row>
    <row r="804" ht="15.75" customHeight="1">
      <c r="A804" s="337"/>
    </row>
    <row r="805" ht="15.75" customHeight="1">
      <c r="A805" s="337"/>
    </row>
    <row r="806" ht="15.75" customHeight="1">
      <c r="A806" s="337"/>
    </row>
    <row r="807" ht="15.75" customHeight="1">
      <c r="A807" s="337"/>
    </row>
    <row r="808" ht="15.75" customHeight="1">
      <c r="A808" s="337"/>
    </row>
    <row r="809" ht="15.75" customHeight="1">
      <c r="A809" s="337"/>
    </row>
    <row r="810" ht="15.75" customHeight="1">
      <c r="A810" s="337"/>
    </row>
    <row r="811" ht="15.75" customHeight="1">
      <c r="A811" s="337"/>
    </row>
    <row r="812" ht="15.75" customHeight="1">
      <c r="A812" s="337"/>
    </row>
    <row r="813" ht="15.75" customHeight="1">
      <c r="A813" s="337"/>
    </row>
    <row r="814" ht="15.75" customHeight="1">
      <c r="A814" s="337"/>
    </row>
    <row r="815" ht="15.75" customHeight="1">
      <c r="A815" s="337"/>
    </row>
    <row r="816" ht="15.75" customHeight="1">
      <c r="A816" s="337"/>
    </row>
    <row r="817" ht="15.75" customHeight="1">
      <c r="A817" s="337"/>
    </row>
    <row r="818" ht="15.75" customHeight="1">
      <c r="A818" s="337"/>
    </row>
    <row r="819" ht="15.75" customHeight="1">
      <c r="A819" s="337"/>
    </row>
    <row r="820" ht="15.75" customHeight="1">
      <c r="A820" s="337"/>
    </row>
    <row r="821" ht="15.75" customHeight="1">
      <c r="A821" s="337"/>
    </row>
    <row r="822" ht="15.75" customHeight="1">
      <c r="A822" s="337"/>
    </row>
    <row r="823" ht="15.75" customHeight="1">
      <c r="A823" s="337"/>
    </row>
    <row r="824" ht="15.75" customHeight="1">
      <c r="A824" s="337"/>
    </row>
    <row r="825" ht="15.75" customHeight="1">
      <c r="A825" s="337"/>
    </row>
    <row r="826" ht="15.75" customHeight="1">
      <c r="A826" s="337"/>
    </row>
    <row r="827" ht="15.75" customHeight="1">
      <c r="A827" s="337"/>
    </row>
    <row r="828" ht="15.75" customHeight="1">
      <c r="A828" s="337"/>
    </row>
    <row r="829" ht="15.75" customHeight="1">
      <c r="A829" s="337"/>
    </row>
    <row r="830" ht="15.75" customHeight="1">
      <c r="A830" s="337"/>
    </row>
    <row r="831" ht="15.75" customHeight="1">
      <c r="A831" s="337"/>
    </row>
    <row r="832" ht="15.75" customHeight="1">
      <c r="A832" s="337"/>
    </row>
    <row r="833" ht="15.75" customHeight="1">
      <c r="A833" s="337"/>
    </row>
    <row r="834" ht="15.75" customHeight="1">
      <c r="A834" s="337"/>
    </row>
    <row r="835" ht="15.75" customHeight="1">
      <c r="A835" s="337"/>
    </row>
    <row r="836" ht="15.75" customHeight="1">
      <c r="A836" s="337"/>
    </row>
    <row r="837" ht="15.75" customHeight="1">
      <c r="A837" s="337"/>
    </row>
    <row r="838" ht="15.75" customHeight="1">
      <c r="A838" s="337"/>
    </row>
    <row r="839" ht="15.75" customHeight="1">
      <c r="A839" s="337"/>
    </row>
    <row r="840" ht="15.75" customHeight="1">
      <c r="A840" s="337"/>
    </row>
    <row r="841" ht="15.75" customHeight="1">
      <c r="A841" s="337"/>
    </row>
    <row r="842" ht="15.75" customHeight="1">
      <c r="A842" s="337"/>
    </row>
    <row r="843" ht="15.75" customHeight="1">
      <c r="A843" s="337"/>
    </row>
    <row r="844" ht="15.75" customHeight="1">
      <c r="A844" s="337"/>
    </row>
    <row r="845" ht="15.75" customHeight="1">
      <c r="A845" s="337"/>
    </row>
    <row r="846" ht="15.75" customHeight="1">
      <c r="A846" s="337"/>
    </row>
    <row r="847" ht="15.75" customHeight="1">
      <c r="A847" s="337"/>
    </row>
    <row r="848" ht="15.75" customHeight="1">
      <c r="A848" s="337"/>
    </row>
    <row r="849" ht="15.75" customHeight="1">
      <c r="A849" s="337"/>
    </row>
    <row r="850" ht="15.75" customHeight="1">
      <c r="A850" s="337"/>
    </row>
    <row r="851" ht="15.75" customHeight="1">
      <c r="A851" s="337"/>
    </row>
    <row r="852" ht="15.75" customHeight="1">
      <c r="A852" s="337"/>
    </row>
    <row r="853" ht="15.75" customHeight="1">
      <c r="A853" s="337"/>
    </row>
    <row r="854" ht="15.75" customHeight="1">
      <c r="A854" s="337"/>
    </row>
    <row r="855" ht="15.75" customHeight="1">
      <c r="A855" s="337"/>
    </row>
    <row r="856" ht="15.75" customHeight="1">
      <c r="A856" s="337"/>
    </row>
    <row r="857" ht="15.75" customHeight="1">
      <c r="A857" s="337"/>
    </row>
    <row r="858" ht="15.75" customHeight="1">
      <c r="A858" s="337"/>
    </row>
    <row r="859" ht="15.75" customHeight="1">
      <c r="A859" s="337"/>
    </row>
    <row r="860" ht="15.75" customHeight="1">
      <c r="A860" s="337"/>
    </row>
    <row r="861" ht="15.75" customHeight="1">
      <c r="A861" s="337"/>
    </row>
    <row r="862" ht="15.75" customHeight="1">
      <c r="A862" s="337"/>
    </row>
    <row r="863" ht="15.75" customHeight="1">
      <c r="A863" s="337"/>
    </row>
    <row r="864" ht="15.75" customHeight="1">
      <c r="A864" s="337"/>
    </row>
    <row r="865" ht="15.75" customHeight="1">
      <c r="A865" s="337"/>
    </row>
    <row r="866" ht="15.75" customHeight="1">
      <c r="A866" s="337"/>
    </row>
    <row r="867" ht="15.75" customHeight="1">
      <c r="A867" s="337"/>
    </row>
    <row r="868" ht="15.75" customHeight="1">
      <c r="A868" s="337"/>
    </row>
    <row r="869" ht="15.75" customHeight="1">
      <c r="A869" s="337"/>
    </row>
    <row r="870" ht="15.75" customHeight="1">
      <c r="A870" s="337"/>
    </row>
    <row r="871" ht="15.75" customHeight="1">
      <c r="A871" s="337"/>
    </row>
    <row r="872" ht="15.75" customHeight="1">
      <c r="A872" s="337"/>
    </row>
    <row r="873" ht="15.75" customHeight="1">
      <c r="A873" s="337"/>
    </row>
    <row r="874" ht="15.75" customHeight="1">
      <c r="A874" s="337"/>
    </row>
    <row r="875" ht="15.75" customHeight="1">
      <c r="A875" s="337"/>
    </row>
    <row r="876" ht="15.75" customHeight="1">
      <c r="A876" s="337"/>
    </row>
    <row r="877" ht="15.75" customHeight="1">
      <c r="A877" s="337"/>
    </row>
    <row r="878" ht="15.75" customHeight="1">
      <c r="A878" s="337"/>
    </row>
    <row r="879" ht="15.75" customHeight="1">
      <c r="A879" s="337"/>
    </row>
    <row r="880" ht="15.75" customHeight="1">
      <c r="A880" s="337"/>
    </row>
    <row r="881" ht="15.75" customHeight="1">
      <c r="A881" s="337"/>
    </row>
    <row r="882" ht="15.75" customHeight="1">
      <c r="A882" s="337"/>
    </row>
    <row r="883" ht="15.75" customHeight="1">
      <c r="A883" s="337"/>
    </row>
    <row r="884" ht="15.75" customHeight="1">
      <c r="A884" s="337"/>
    </row>
    <row r="885" ht="15.75" customHeight="1">
      <c r="A885" s="337"/>
    </row>
    <row r="886" ht="15.75" customHeight="1">
      <c r="A886" s="337"/>
    </row>
    <row r="887" ht="15.75" customHeight="1">
      <c r="A887" s="337"/>
    </row>
    <row r="888" ht="15.75" customHeight="1">
      <c r="A888" s="337"/>
    </row>
    <row r="889" ht="15.75" customHeight="1">
      <c r="A889" s="337"/>
    </row>
    <row r="890" ht="15.75" customHeight="1">
      <c r="A890" s="337"/>
    </row>
    <row r="891" ht="15.75" customHeight="1">
      <c r="A891" s="337"/>
    </row>
    <row r="892" ht="15.75" customHeight="1">
      <c r="A892" s="337"/>
    </row>
    <row r="893" ht="15.75" customHeight="1">
      <c r="A893" s="337"/>
    </row>
    <row r="894" ht="15.75" customHeight="1">
      <c r="A894" s="337"/>
    </row>
    <row r="895" ht="15.75" customHeight="1">
      <c r="A895" s="337"/>
    </row>
    <row r="896" ht="15.75" customHeight="1">
      <c r="A896" s="337"/>
    </row>
    <row r="897" ht="15.75" customHeight="1">
      <c r="A897" s="337"/>
    </row>
    <row r="898" ht="15.75" customHeight="1">
      <c r="A898" s="337"/>
    </row>
    <row r="899" ht="15.75" customHeight="1">
      <c r="A899" s="337"/>
    </row>
    <row r="900" ht="15.75" customHeight="1">
      <c r="A900" s="337"/>
    </row>
    <row r="901" ht="15.75" customHeight="1">
      <c r="A901" s="337"/>
    </row>
    <row r="902" ht="15.75" customHeight="1">
      <c r="A902" s="337"/>
    </row>
    <row r="903" ht="15.75" customHeight="1">
      <c r="A903" s="337"/>
    </row>
    <row r="904" ht="15.75" customHeight="1">
      <c r="A904" s="337"/>
    </row>
    <row r="905" ht="15.75" customHeight="1">
      <c r="A905" s="337"/>
    </row>
    <row r="906" ht="15.75" customHeight="1">
      <c r="A906" s="337"/>
    </row>
    <row r="907" ht="15.75" customHeight="1">
      <c r="A907" s="337"/>
    </row>
    <row r="908" ht="15.75" customHeight="1">
      <c r="A908" s="337"/>
    </row>
    <row r="909" ht="15.75" customHeight="1">
      <c r="A909" s="337"/>
    </row>
    <row r="910" ht="15.75" customHeight="1">
      <c r="A910" s="337"/>
    </row>
    <row r="911" ht="15.75" customHeight="1">
      <c r="A911" s="337"/>
    </row>
    <row r="912" ht="15.75" customHeight="1">
      <c r="A912" s="337"/>
    </row>
    <row r="913" ht="15.75" customHeight="1">
      <c r="A913" s="337"/>
    </row>
    <row r="914" ht="15.75" customHeight="1">
      <c r="A914" s="337"/>
    </row>
    <row r="915" ht="15.75" customHeight="1">
      <c r="A915" s="337"/>
    </row>
    <row r="916" ht="15.75" customHeight="1">
      <c r="A916" s="337"/>
    </row>
    <row r="917" ht="15.75" customHeight="1">
      <c r="A917" s="337"/>
    </row>
    <row r="918" ht="15.75" customHeight="1">
      <c r="A918" s="337"/>
    </row>
    <row r="919" ht="15.75" customHeight="1">
      <c r="A919" s="337"/>
    </row>
    <row r="920" ht="15.75" customHeight="1">
      <c r="A920" s="337"/>
    </row>
    <row r="921" ht="15.75" customHeight="1">
      <c r="A921" s="337"/>
    </row>
    <row r="922" ht="15.75" customHeight="1">
      <c r="A922" s="337"/>
    </row>
    <row r="923" ht="15.75" customHeight="1">
      <c r="A923" s="337"/>
    </row>
    <row r="924" ht="15.75" customHeight="1">
      <c r="A924" s="337"/>
    </row>
    <row r="925" ht="15.75" customHeight="1">
      <c r="A925" s="337"/>
    </row>
    <row r="926" ht="15.75" customHeight="1">
      <c r="A926" s="337"/>
    </row>
    <row r="927" ht="15.75" customHeight="1">
      <c r="A927" s="337"/>
    </row>
    <row r="928" ht="15.75" customHeight="1">
      <c r="A928" s="337"/>
    </row>
    <row r="929" ht="15.75" customHeight="1">
      <c r="A929" s="337"/>
    </row>
    <row r="930" ht="15.75" customHeight="1">
      <c r="A930" s="337"/>
    </row>
    <row r="931" ht="15.75" customHeight="1">
      <c r="A931" s="337"/>
    </row>
    <row r="932" ht="15.75" customHeight="1">
      <c r="A932" s="337"/>
    </row>
    <row r="933" ht="15.75" customHeight="1">
      <c r="A933" s="337"/>
    </row>
    <row r="934" ht="15.75" customHeight="1">
      <c r="A934" s="337"/>
    </row>
    <row r="935" ht="15.75" customHeight="1">
      <c r="A935" s="337"/>
    </row>
    <row r="936" ht="15.75" customHeight="1">
      <c r="A936" s="337"/>
    </row>
    <row r="937" ht="15.75" customHeight="1">
      <c r="A937" s="337"/>
    </row>
    <row r="938" ht="15.75" customHeight="1">
      <c r="A938" s="337"/>
    </row>
    <row r="939" ht="15.75" customHeight="1">
      <c r="A939" s="337"/>
    </row>
    <row r="940" ht="15.75" customHeight="1">
      <c r="A940" s="337"/>
    </row>
    <row r="941" ht="15.75" customHeight="1">
      <c r="A941" s="337"/>
    </row>
    <row r="942" ht="15.75" customHeight="1">
      <c r="A942" s="337"/>
    </row>
    <row r="943" ht="15.75" customHeight="1">
      <c r="A943" s="337"/>
    </row>
    <row r="944" ht="15.75" customHeight="1">
      <c r="A944" s="337"/>
    </row>
    <row r="945" ht="15.75" customHeight="1">
      <c r="A945" s="337"/>
    </row>
    <row r="946" ht="15.75" customHeight="1">
      <c r="A946" s="337"/>
    </row>
    <row r="947" ht="15.75" customHeight="1">
      <c r="A947" s="337"/>
    </row>
    <row r="948" ht="15.75" customHeight="1">
      <c r="A948" s="337"/>
    </row>
    <row r="949" ht="15.75" customHeight="1">
      <c r="A949" s="337"/>
    </row>
    <row r="950" ht="15.75" customHeight="1">
      <c r="A950" s="337"/>
    </row>
    <row r="951" ht="15.75" customHeight="1">
      <c r="A951" s="337"/>
    </row>
    <row r="952" ht="15.75" customHeight="1">
      <c r="A952" s="337"/>
    </row>
    <row r="953" ht="15.75" customHeight="1">
      <c r="A953" s="337"/>
    </row>
    <row r="954" ht="15.75" customHeight="1">
      <c r="A954" s="337"/>
    </row>
    <row r="955" ht="15.75" customHeight="1">
      <c r="A955" s="337"/>
    </row>
    <row r="956" ht="15.75" customHeight="1">
      <c r="A956" s="337"/>
    </row>
    <row r="957" ht="15.75" customHeight="1">
      <c r="A957" s="337"/>
    </row>
    <row r="958" ht="15.75" customHeight="1">
      <c r="A958" s="337"/>
    </row>
    <row r="959" ht="15.75" customHeight="1">
      <c r="A959" s="337"/>
    </row>
    <row r="960" ht="15.75" customHeight="1">
      <c r="A960" s="337"/>
    </row>
    <row r="961" ht="15.75" customHeight="1">
      <c r="A961" s="337"/>
    </row>
    <row r="962" ht="15.75" customHeight="1">
      <c r="A962" s="337"/>
    </row>
    <row r="963" ht="15.75" customHeight="1">
      <c r="A963" s="337"/>
    </row>
    <row r="964" ht="15.75" customHeight="1">
      <c r="A964" s="337"/>
    </row>
    <row r="965" ht="15.75" customHeight="1">
      <c r="A965" s="337"/>
    </row>
    <row r="966" ht="15.75" customHeight="1">
      <c r="A966" s="337"/>
    </row>
    <row r="967" ht="15.75" customHeight="1">
      <c r="A967" s="337"/>
    </row>
    <row r="968" ht="15.75" customHeight="1">
      <c r="A968" s="337"/>
    </row>
    <row r="969" ht="15.75" customHeight="1">
      <c r="A969" s="337"/>
    </row>
    <row r="970" ht="15.75" customHeight="1">
      <c r="A970" s="337"/>
    </row>
    <row r="971" ht="15.75" customHeight="1">
      <c r="A971" s="337"/>
    </row>
    <row r="972" ht="15.75" customHeight="1">
      <c r="A972" s="337"/>
    </row>
    <row r="973" ht="15.75" customHeight="1">
      <c r="A973" s="337"/>
    </row>
    <row r="974" ht="15.75" customHeight="1">
      <c r="A974" s="337"/>
    </row>
    <row r="975" ht="15.75" customHeight="1">
      <c r="A975" s="337"/>
    </row>
    <row r="976" ht="15.75" customHeight="1">
      <c r="A976" s="337"/>
    </row>
    <row r="977" ht="15.75" customHeight="1">
      <c r="A977" s="337"/>
    </row>
    <row r="978" ht="15.75" customHeight="1">
      <c r="A978" s="337"/>
    </row>
    <row r="979" ht="15.75" customHeight="1">
      <c r="A979" s="337"/>
    </row>
    <row r="980" ht="15.75" customHeight="1">
      <c r="A980" s="337"/>
    </row>
    <row r="981" ht="15.75" customHeight="1">
      <c r="A981" s="337"/>
    </row>
    <row r="982" ht="15.75" customHeight="1">
      <c r="A982" s="337"/>
    </row>
    <row r="983" ht="15.75" customHeight="1">
      <c r="A983" s="337"/>
    </row>
    <row r="984" ht="15.75" customHeight="1">
      <c r="A984" s="337"/>
    </row>
    <row r="985" ht="15.75" customHeight="1">
      <c r="A985" s="337"/>
    </row>
    <row r="986" ht="15.75" customHeight="1">
      <c r="A986" s="337"/>
    </row>
    <row r="987" ht="15.75" customHeight="1">
      <c r="A987" s="337"/>
    </row>
    <row r="988" ht="15.75" customHeight="1">
      <c r="A988" s="337"/>
    </row>
    <row r="989" ht="15.75" customHeight="1">
      <c r="A989" s="337"/>
    </row>
    <row r="990" ht="15.75" customHeight="1">
      <c r="A990" s="337"/>
    </row>
    <row r="991" ht="15.75" customHeight="1">
      <c r="A991" s="337"/>
    </row>
    <row r="992" ht="15.75" customHeight="1">
      <c r="A992" s="337"/>
    </row>
    <row r="993" ht="15.75" customHeight="1">
      <c r="A993" s="337"/>
    </row>
    <row r="994" ht="15.75" customHeight="1">
      <c r="A994" s="337"/>
    </row>
    <row r="995" ht="15.75" customHeight="1">
      <c r="A995" s="337"/>
    </row>
    <row r="996" ht="15.75" customHeight="1">
      <c r="A996" s="337"/>
    </row>
    <row r="997" ht="15.75" customHeight="1">
      <c r="A997" s="337"/>
    </row>
    <row r="998" ht="15.75" customHeight="1">
      <c r="A998" s="337"/>
    </row>
    <row r="999" ht="15.75" customHeight="1">
      <c r="A999" s="337"/>
    </row>
    <row r="1000" ht="15.75" customHeight="1">
      <c r="A1000" s="337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38" t="str">
        <f t="array" ref="A1:AF44">'ORIGIN MONTH 7'!A3:AF46</f>
        <v>E .NAME</v>
      </c>
      <c r="B1" s="339" t="s">
        <v>5</v>
      </c>
      <c r="C1" s="339" t="s">
        <v>8</v>
      </c>
      <c r="D1" s="339" t="s">
        <v>9</v>
      </c>
      <c r="E1" s="339" t="s">
        <v>10</v>
      </c>
      <c r="F1" s="339" t="s">
        <v>11</v>
      </c>
      <c r="G1" s="339" t="s">
        <v>12</v>
      </c>
      <c r="H1" s="339" t="s">
        <v>13</v>
      </c>
      <c r="I1" s="339" t="s">
        <v>7</v>
      </c>
      <c r="J1" s="339" t="s">
        <v>8</v>
      </c>
      <c r="K1" s="339" t="s">
        <v>9</v>
      </c>
      <c r="L1" s="339" t="s">
        <v>10</v>
      </c>
      <c r="M1" s="339" t="s">
        <v>11</v>
      </c>
      <c r="N1" s="339" t="s">
        <v>12</v>
      </c>
      <c r="O1" s="339" t="s">
        <v>13</v>
      </c>
      <c r="P1" s="339" t="s">
        <v>7</v>
      </c>
      <c r="Q1" s="339" t="s">
        <v>8</v>
      </c>
      <c r="R1" s="339" t="s">
        <v>9</v>
      </c>
      <c r="S1" s="339" t="s">
        <v>10</v>
      </c>
      <c r="T1" s="339" t="s">
        <v>11</v>
      </c>
      <c r="U1" s="339" t="s">
        <v>12</v>
      </c>
      <c r="V1" s="339" t="s">
        <v>13</v>
      </c>
      <c r="W1" s="339" t="s">
        <v>7</v>
      </c>
      <c r="X1" s="339" t="s">
        <v>8</v>
      </c>
      <c r="Y1" s="339" t="s">
        <v>9</v>
      </c>
      <c r="Z1" s="339" t="s">
        <v>10</v>
      </c>
      <c r="AA1" s="339" t="s">
        <v>11</v>
      </c>
      <c r="AB1" s="339" t="s">
        <v>12</v>
      </c>
      <c r="AC1" s="339" t="s">
        <v>13</v>
      </c>
      <c r="AD1" s="339" t="s">
        <v>7</v>
      </c>
      <c r="AE1" s="339" t="s">
        <v>8</v>
      </c>
      <c r="AF1" s="339" t="s">
        <v>9</v>
      </c>
      <c r="AG1" s="340"/>
      <c r="AH1" s="340"/>
    </row>
    <row r="2">
      <c r="A2" s="338"/>
      <c r="B2" s="339"/>
      <c r="C2" s="339" t="s">
        <v>14</v>
      </c>
      <c r="D2" s="339" t="s">
        <v>15</v>
      </c>
      <c r="E2" s="339" t="s">
        <v>16</v>
      </c>
      <c r="F2" s="339" t="s">
        <v>230</v>
      </c>
      <c r="G2" s="339" t="s">
        <v>231</v>
      </c>
      <c r="H2" s="339" t="s">
        <v>17</v>
      </c>
      <c r="I2" s="339" t="s">
        <v>18</v>
      </c>
      <c r="J2" s="339" t="s">
        <v>19</v>
      </c>
      <c r="K2" s="339" t="s">
        <v>20</v>
      </c>
      <c r="L2" s="339" t="s">
        <v>21</v>
      </c>
      <c r="M2" s="339" t="s">
        <v>22</v>
      </c>
      <c r="N2" s="339" t="s">
        <v>23</v>
      </c>
      <c r="O2" s="339" t="s">
        <v>24</v>
      </c>
      <c r="P2" s="339" t="s">
        <v>25</v>
      </c>
      <c r="Q2" s="339" t="s">
        <v>26</v>
      </c>
      <c r="R2" s="339" t="s">
        <v>27</v>
      </c>
      <c r="S2" s="339" t="s">
        <v>28</v>
      </c>
      <c r="T2" s="339" t="s">
        <v>29</v>
      </c>
      <c r="U2" s="339" t="s">
        <v>30</v>
      </c>
      <c r="V2" s="339" t="s">
        <v>31</v>
      </c>
      <c r="W2" s="339" t="s">
        <v>32</v>
      </c>
      <c r="X2" s="339" t="s">
        <v>33</v>
      </c>
      <c r="Y2" s="339" t="s">
        <v>34</v>
      </c>
      <c r="Z2" s="339" t="s">
        <v>35</v>
      </c>
      <c r="AA2" s="339" t="s">
        <v>36</v>
      </c>
      <c r="AB2" s="339" t="s">
        <v>37</v>
      </c>
      <c r="AC2" s="339" t="s">
        <v>38</v>
      </c>
      <c r="AD2" s="339" t="s">
        <v>39</v>
      </c>
      <c r="AE2" s="339" t="s">
        <v>40</v>
      </c>
      <c r="AF2" s="339" t="s">
        <v>41</v>
      </c>
      <c r="AG2" s="340"/>
      <c r="AH2" s="340"/>
    </row>
    <row r="3">
      <c r="A3" s="341" t="s">
        <v>232</v>
      </c>
      <c r="B3" s="339" t="s">
        <v>59</v>
      </c>
      <c r="C3" s="339" t="s">
        <v>43</v>
      </c>
      <c r="D3" s="339" t="s">
        <v>53</v>
      </c>
      <c r="E3" s="339" t="s">
        <v>53</v>
      </c>
      <c r="F3" s="339" t="s">
        <v>47</v>
      </c>
      <c r="G3" s="339" t="s">
        <v>46</v>
      </c>
      <c r="H3" s="339" t="s">
        <v>46</v>
      </c>
      <c r="I3" s="339" t="s">
        <v>45</v>
      </c>
      <c r="J3" s="339" t="s">
        <v>43</v>
      </c>
      <c r="K3" s="339" t="s">
        <v>53</v>
      </c>
      <c r="L3" s="339" t="s">
        <v>53</v>
      </c>
      <c r="M3" s="339" t="s">
        <v>47</v>
      </c>
      <c r="N3" s="339" t="s">
        <v>45</v>
      </c>
      <c r="O3" s="339" t="s">
        <v>45</v>
      </c>
      <c r="P3" s="339" t="s">
        <v>45</v>
      </c>
      <c r="Q3" s="339" t="s">
        <v>44</v>
      </c>
      <c r="R3" s="339" t="s">
        <v>53</v>
      </c>
      <c r="S3" s="339" t="s">
        <v>53</v>
      </c>
      <c r="T3" s="339" t="s">
        <v>45</v>
      </c>
      <c r="U3" s="339" t="s">
        <v>45</v>
      </c>
      <c r="V3" s="339" t="s">
        <v>48</v>
      </c>
      <c r="W3" s="339" t="s">
        <v>48</v>
      </c>
      <c r="X3" s="339" t="s">
        <v>48</v>
      </c>
      <c r="Y3" s="339" t="s">
        <v>53</v>
      </c>
      <c r="Z3" s="339" t="s">
        <v>53</v>
      </c>
      <c r="AA3" s="339" t="s">
        <v>45</v>
      </c>
      <c r="AB3" s="339" t="s">
        <v>45</v>
      </c>
      <c r="AC3" s="339" t="s">
        <v>45</v>
      </c>
      <c r="AD3" s="339" t="s">
        <v>44</v>
      </c>
      <c r="AE3" s="339" t="s">
        <v>44</v>
      </c>
      <c r="AF3" s="339" t="s">
        <v>53</v>
      </c>
      <c r="AG3" s="338"/>
      <c r="AH3" s="338"/>
    </row>
    <row r="4">
      <c r="A4" s="341" t="s">
        <v>233</v>
      </c>
      <c r="B4" s="339" t="s">
        <v>62</v>
      </c>
      <c r="C4" s="339" t="s">
        <v>44</v>
      </c>
      <c r="D4" s="339" t="s">
        <v>53</v>
      </c>
      <c r="E4" s="339" t="s">
        <v>53</v>
      </c>
      <c r="F4" s="339" t="s">
        <v>49</v>
      </c>
      <c r="G4" s="339" t="s">
        <v>45</v>
      </c>
      <c r="H4" s="339" t="s">
        <v>45</v>
      </c>
      <c r="I4" s="339" t="s">
        <v>44</v>
      </c>
      <c r="J4" s="338" t="s">
        <v>44</v>
      </c>
      <c r="K4" s="339" t="s">
        <v>53</v>
      </c>
      <c r="L4" s="339" t="s">
        <v>53</v>
      </c>
      <c r="M4" s="339" t="s">
        <v>47</v>
      </c>
      <c r="N4" s="339" t="s">
        <v>47</v>
      </c>
      <c r="O4" s="339" t="s">
        <v>47</v>
      </c>
      <c r="P4" s="339" t="s">
        <v>45</v>
      </c>
      <c r="Q4" s="339" t="s">
        <v>45</v>
      </c>
      <c r="R4" s="339" t="s">
        <v>53</v>
      </c>
      <c r="S4" s="339" t="s">
        <v>53</v>
      </c>
      <c r="T4" s="339" t="s">
        <v>46</v>
      </c>
      <c r="U4" s="339" t="s">
        <v>46</v>
      </c>
      <c r="V4" s="339" t="s">
        <v>45</v>
      </c>
      <c r="W4" s="339" t="s">
        <v>44</v>
      </c>
      <c r="X4" s="339" t="s">
        <v>43</v>
      </c>
      <c r="Y4" s="339" t="s">
        <v>53</v>
      </c>
      <c r="Z4" s="339" t="s">
        <v>53</v>
      </c>
      <c r="AA4" s="339" t="s">
        <v>45</v>
      </c>
      <c r="AB4" s="339" t="s">
        <v>45</v>
      </c>
      <c r="AC4" s="339" t="s">
        <v>45</v>
      </c>
      <c r="AD4" s="339" t="s">
        <v>43</v>
      </c>
      <c r="AE4" s="339" t="s">
        <v>234</v>
      </c>
      <c r="AF4" s="339" t="s">
        <v>53</v>
      </c>
      <c r="AG4" s="338"/>
      <c r="AH4" s="338"/>
    </row>
    <row r="5">
      <c r="A5" s="341" t="s">
        <v>235</v>
      </c>
      <c r="B5" s="339" t="s">
        <v>65</v>
      </c>
      <c r="C5" s="338" t="s">
        <v>47</v>
      </c>
      <c r="D5" s="338" t="s">
        <v>43</v>
      </c>
      <c r="E5" s="339" t="s">
        <v>53</v>
      </c>
      <c r="F5" s="339" t="s">
        <v>53</v>
      </c>
      <c r="G5" s="339" t="s">
        <v>47</v>
      </c>
      <c r="H5" s="339" t="s">
        <v>47</v>
      </c>
      <c r="I5" s="339" t="s">
        <v>43</v>
      </c>
      <c r="J5" s="339" t="s">
        <v>43</v>
      </c>
      <c r="K5" s="339" t="s">
        <v>43</v>
      </c>
      <c r="L5" s="339" t="s">
        <v>53</v>
      </c>
      <c r="M5" s="339" t="s">
        <v>53</v>
      </c>
      <c r="N5" s="339" t="s">
        <v>47</v>
      </c>
      <c r="O5" s="339" t="s">
        <v>47</v>
      </c>
      <c r="P5" s="339" t="s">
        <v>47</v>
      </c>
      <c r="Q5" s="339" t="s">
        <v>43</v>
      </c>
      <c r="R5" s="339" t="s">
        <v>43</v>
      </c>
      <c r="S5" s="339" t="s">
        <v>53</v>
      </c>
      <c r="T5" s="339" t="s">
        <v>53</v>
      </c>
      <c r="U5" s="339" t="s">
        <v>47</v>
      </c>
      <c r="V5" s="339" t="s">
        <v>47</v>
      </c>
      <c r="W5" s="339" t="s">
        <v>43</v>
      </c>
      <c r="X5" s="339" t="s">
        <v>43</v>
      </c>
      <c r="Y5" s="339" t="s">
        <v>43</v>
      </c>
      <c r="Z5" s="339" t="s">
        <v>53</v>
      </c>
      <c r="AA5" s="339" t="s">
        <v>53</v>
      </c>
      <c r="AB5" s="339" t="s">
        <v>49</v>
      </c>
      <c r="AC5" s="339" t="s">
        <v>49</v>
      </c>
      <c r="AD5" s="339" t="s">
        <v>48</v>
      </c>
      <c r="AE5" s="339" t="s">
        <v>48</v>
      </c>
      <c r="AF5" s="339" t="s">
        <v>48</v>
      </c>
      <c r="AG5" s="338"/>
      <c r="AH5" s="338"/>
    </row>
    <row r="6">
      <c r="A6" s="341" t="s">
        <v>236</v>
      </c>
      <c r="B6" s="339" t="s">
        <v>68</v>
      </c>
      <c r="C6" s="338" t="s">
        <v>46</v>
      </c>
      <c r="D6" s="338" t="s">
        <v>46</v>
      </c>
      <c r="E6" s="339" t="s">
        <v>53</v>
      </c>
      <c r="F6" s="339" t="s">
        <v>53</v>
      </c>
      <c r="G6" s="339" t="s">
        <v>47</v>
      </c>
      <c r="H6" s="338" t="s">
        <v>47</v>
      </c>
      <c r="I6" s="338" t="s">
        <v>47</v>
      </c>
      <c r="J6" s="339" t="s">
        <v>47</v>
      </c>
      <c r="K6" s="339" t="s">
        <v>46</v>
      </c>
      <c r="L6" s="339" t="s">
        <v>53</v>
      </c>
      <c r="M6" s="339" t="s">
        <v>53</v>
      </c>
      <c r="N6" s="339" t="s">
        <v>47</v>
      </c>
      <c r="O6" s="339" t="s">
        <v>46</v>
      </c>
      <c r="P6" s="339" t="s">
        <v>49</v>
      </c>
      <c r="Q6" s="339" t="s">
        <v>48</v>
      </c>
      <c r="R6" s="339" t="s">
        <v>48</v>
      </c>
      <c r="S6" s="339" t="s">
        <v>53</v>
      </c>
      <c r="T6" s="339" t="s">
        <v>53</v>
      </c>
      <c r="U6" s="339" t="s">
        <v>47</v>
      </c>
      <c r="V6" s="339" t="s">
        <v>47</v>
      </c>
      <c r="W6" s="339" t="s">
        <v>46</v>
      </c>
      <c r="X6" s="339" t="s">
        <v>46</v>
      </c>
      <c r="Y6" s="339" t="s">
        <v>46</v>
      </c>
      <c r="Z6" s="339" t="s">
        <v>53</v>
      </c>
      <c r="AA6" s="339" t="s">
        <v>53</v>
      </c>
      <c r="AB6" s="339" t="s">
        <v>47</v>
      </c>
      <c r="AC6" s="339" t="s">
        <v>46</v>
      </c>
      <c r="AD6" s="339" t="s">
        <v>46</v>
      </c>
      <c r="AE6" s="339" t="s">
        <v>46</v>
      </c>
      <c r="AF6" s="339" t="s">
        <v>46</v>
      </c>
      <c r="AG6" s="338"/>
      <c r="AH6" s="338"/>
    </row>
    <row r="7">
      <c r="A7" s="341" t="s">
        <v>237</v>
      </c>
      <c r="B7" s="339" t="s">
        <v>71</v>
      </c>
      <c r="C7" s="339" t="s">
        <v>43</v>
      </c>
      <c r="D7" s="339" t="s">
        <v>53</v>
      </c>
      <c r="E7" s="339" t="s">
        <v>53</v>
      </c>
      <c r="F7" s="339" t="s">
        <v>49</v>
      </c>
      <c r="G7" s="339" t="s">
        <v>49</v>
      </c>
      <c r="H7" s="339" t="s">
        <v>48</v>
      </c>
      <c r="I7" s="339" t="s">
        <v>46</v>
      </c>
      <c r="J7" s="338" t="s">
        <v>45</v>
      </c>
      <c r="K7" s="339" t="s">
        <v>53</v>
      </c>
      <c r="L7" s="339" t="s">
        <v>53</v>
      </c>
      <c r="M7" s="339" t="s">
        <v>44</v>
      </c>
      <c r="N7" s="339" t="s">
        <v>44</v>
      </c>
      <c r="O7" s="339" t="s">
        <v>48</v>
      </c>
      <c r="P7" s="339" t="s">
        <v>44</v>
      </c>
      <c r="Q7" s="339" t="s">
        <v>43</v>
      </c>
      <c r="R7" s="339" t="s">
        <v>53</v>
      </c>
      <c r="S7" s="339" t="s">
        <v>53</v>
      </c>
      <c r="T7" s="339" t="s">
        <v>46</v>
      </c>
      <c r="U7" s="339" t="s">
        <v>45</v>
      </c>
      <c r="V7" s="339" t="s">
        <v>48</v>
      </c>
      <c r="W7" s="339" t="s">
        <v>48</v>
      </c>
      <c r="X7" s="339" t="s">
        <v>48</v>
      </c>
      <c r="Y7" s="339" t="s">
        <v>53</v>
      </c>
      <c r="Z7" s="339" t="s">
        <v>53</v>
      </c>
      <c r="AA7" s="339" t="s">
        <v>47</v>
      </c>
      <c r="AB7" s="339" t="s">
        <v>45</v>
      </c>
      <c r="AC7" s="339" t="s">
        <v>48</v>
      </c>
      <c r="AD7" s="339" t="s">
        <v>45</v>
      </c>
      <c r="AE7" s="338" t="s">
        <v>45</v>
      </c>
      <c r="AF7" s="339" t="s">
        <v>53</v>
      </c>
      <c r="AG7" s="338"/>
      <c r="AH7" s="338"/>
    </row>
    <row r="8">
      <c r="A8" s="341" t="s">
        <v>238</v>
      </c>
      <c r="B8" s="339" t="s">
        <v>74</v>
      </c>
      <c r="C8" s="339" t="s">
        <v>47</v>
      </c>
      <c r="D8" s="339" t="s">
        <v>43</v>
      </c>
      <c r="E8" s="339" t="s">
        <v>53</v>
      </c>
      <c r="F8" s="339" t="s">
        <v>53</v>
      </c>
      <c r="G8" s="339" t="s">
        <v>46</v>
      </c>
      <c r="H8" s="339" t="s">
        <v>49</v>
      </c>
      <c r="I8" s="339" t="s">
        <v>45</v>
      </c>
      <c r="J8" s="339" t="s">
        <v>45</v>
      </c>
      <c r="K8" s="339" t="s">
        <v>43</v>
      </c>
      <c r="L8" s="339" t="s">
        <v>53</v>
      </c>
      <c r="M8" s="339" t="s">
        <v>53</v>
      </c>
      <c r="N8" s="339" t="s">
        <v>49</v>
      </c>
      <c r="O8" s="339" t="s">
        <v>49</v>
      </c>
      <c r="P8" s="339" t="s">
        <v>46</v>
      </c>
      <c r="Q8" s="339" t="s">
        <v>47</v>
      </c>
      <c r="R8" s="339" t="s">
        <v>44</v>
      </c>
      <c r="S8" s="339" t="s">
        <v>53</v>
      </c>
      <c r="T8" s="339" t="s">
        <v>53</v>
      </c>
      <c r="U8" s="339" t="s">
        <v>49</v>
      </c>
      <c r="V8" s="339" t="s">
        <v>45</v>
      </c>
      <c r="W8" s="339" t="s">
        <v>45</v>
      </c>
      <c r="X8" s="339" t="s">
        <v>45</v>
      </c>
      <c r="Y8" s="339" t="s">
        <v>44</v>
      </c>
      <c r="Z8" s="339" t="s">
        <v>53</v>
      </c>
      <c r="AA8" s="339" t="s">
        <v>53</v>
      </c>
      <c r="AB8" s="339" t="s">
        <v>46</v>
      </c>
      <c r="AC8" s="339" t="s">
        <v>49</v>
      </c>
      <c r="AD8" s="339" t="s">
        <v>47</v>
      </c>
      <c r="AE8" s="339" t="s">
        <v>44</v>
      </c>
      <c r="AF8" s="339" t="s">
        <v>44</v>
      </c>
      <c r="AG8" s="338"/>
      <c r="AH8" s="338"/>
    </row>
    <row r="9">
      <c r="A9" s="341" t="s">
        <v>239</v>
      </c>
      <c r="B9" s="339" t="s">
        <v>77</v>
      </c>
      <c r="C9" s="339" t="s">
        <v>49</v>
      </c>
      <c r="D9" s="339" t="s">
        <v>53</v>
      </c>
      <c r="E9" s="339" t="s">
        <v>53</v>
      </c>
      <c r="F9" s="339" t="s">
        <v>47</v>
      </c>
      <c r="G9" s="339" t="s">
        <v>45</v>
      </c>
      <c r="H9" s="339" t="s">
        <v>44</v>
      </c>
      <c r="I9" s="339" t="s">
        <v>49</v>
      </c>
      <c r="J9" s="339" t="s">
        <v>49</v>
      </c>
      <c r="K9" s="339" t="s">
        <v>53</v>
      </c>
      <c r="L9" s="339" t="s">
        <v>53</v>
      </c>
      <c r="M9" s="339" t="s">
        <v>47</v>
      </c>
      <c r="N9" s="339" t="s">
        <v>47</v>
      </c>
      <c r="O9" s="339" t="s">
        <v>45</v>
      </c>
      <c r="P9" s="339" t="s">
        <v>44</v>
      </c>
      <c r="Q9" s="339" t="s">
        <v>48</v>
      </c>
      <c r="R9" s="339" t="s">
        <v>53</v>
      </c>
      <c r="S9" s="339" t="s">
        <v>53</v>
      </c>
      <c r="T9" s="339" t="s">
        <v>46</v>
      </c>
      <c r="U9" s="339" t="s">
        <v>46</v>
      </c>
      <c r="V9" s="339" t="s">
        <v>45</v>
      </c>
      <c r="W9" s="339" t="s">
        <v>44</v>
      </c>
      <c r="X9" s="339" t="s">
        <v>43</v>
      </c>
      <c r="Y9" s="339" t="s">
        <v>53</v>
      </c>
      <c r="Z9" s="339" t="s">
        <v>53</v>
      </c>
      <c r="AA9" s="339" t="s">
        <v>47</v>
      </c>
      <c r="AB9" s="339" t="s">
        <v>43</v>
      </c>
      <c r="AC9" s="339" t="s">
        <v>48</v>
      </c>
      <c r="AD9" s="339" t="s">
        <v>45</v>
      </c>
      <c r="AE9" s="339" t="s">
        <v>43</v>
      </c>
      <c r="AF9" s="339" t="s">
        <v>53</v>
      </c>
      <c r="AG9" s="338"/>
      <c r="AH9" s="338"/>
    </row>
    <row r="10">
      <c r="A10" s="341" t="s">
        <v>240</v>
      </c>
      <c r="B10" s="339" t="s">
        <v>80</v>
      </c>
      <c r="C10" s="339" t="s">
        <v>49</v>
      </c>
      <c r="D10" s="339" t="s">
        <v>47</v>
      </c>
      <c r="E10" s="339" t="s">
        <v>53</v>
      </c>
      <c r="F10" s="339" t="s">
        <v>53</v>
      </c>
      <c r="G10" s="339" t="s">
        <v>47</v>
      </c>
      <c r="H10" s="339" t="s">
        <v>47</v>
      </c>
      <c r="I10" s="339" t="s">
        <v>47</v>
      </c>
      <c r="J10" s="338" t="s">
        <v>43</v>
      </c>
      <c r="K10" s="338" t="s">
        <v>43</v>
      </c>
      <c r="L10" s="339" t="s">
        <v>53</v>
      </c>
      <c r="M10" s="339" t="s">
        <v>53</v>
      </c>
      <c r="N10" s="339" t="s">
        <v>47</v>
      </c>
      <c r="O10" s="339" t="s">
        <v>47</v>
      </c>
      <c r="P10" s="339" t="s">
        <v>43</v>
      </c>
      <c r="Q10" s="339" t="s">
        <v>43</v>
      </c>
      <c r="R10" s="339" t="s">
        <v>43</v>
      </c>
      <c r="S10" s="339" t="s">
        <v>53</v>
      </c>
      <c r="T10" s="339" t="s">
        <v>53</v>
      </c>
      <c r="U10" s="339" t="s">
        <v>47</v>
      </c>
      <c r="V10" s="339" t="s">
        <v>47</v>
      </c>
      <c r="W10" s="339" t="s">
        <v>47</v>
      </c>
      <c r="X10" s="339" t="s">
        <v>43</v>
      </c>
      <c r="Y10" s="339" t="s">
        <v>43</v>
      </c>
      <c r="Z10" s="339" t="s">
        <v>53</v>
      </c>
      <c r="AA10" s="339" t="s">
        <v>53</v>
      </c>
      <c r="AB10" s="339" t="s">
        <v>47</v>
      </c>
      <c r="AC10" s="339" t="s">
        <v>47</v>
      </c>
      <c r="AD10" s="339" t="s">
        <v>43</v>
      </c>
      <c r="AE10" s="339" t="s">
        <v>43</v>
      </c>
      <c r="AF10" s="339" t="s">
        <v>43</v>
      </c>
      <c r="AG10" s="338"/>
      <c r="AH10" s="338"/>
    </row>
    <row r="11">
      <c r="A11" s="341" t="s">
        <v>241</v>
      </c>
      <c r="B11" s="339" t="s">
        <v>83</v>
      </c>
      <c r="C11" s="339" t="s">
        <v>43</v>
      </c>
      <c r="D11" s="339" t="s">
        <v>53</v>
      </c>
      <c r="E11" s="339" t="s">
        <v>53</v>
      </c>
      <c r="F11" s="339" t="s">
        <v>47</v>
      </c>
      <c r="G11" s="339" t="s">
        <v>45</v>
      </c>
      <c r="H11" s="339" t="s">
        <v>45</v>
      </c>
      <c r="I11" s="339" t="s">
        <v>43</v>
      </c>
      <c r="J11" s="339" t="s">
        <v>43</v>
      </c>
      <c r="K11" s="339" t="s">
        <v>53</v>
      </c>
      <c r="L11" s="339" t="s">
        <v>53</v>
      </c>
      <c r="M11" s="339" t="s">
        <v>46</v>
      </c>
      <c r="N11" s="339" t="s">
        <v>46</v>
      </c>
      <c r="O11" s="339" t="s">
        <v>45</v>
      </c>
      <c r="P11" s="339" t="s">
        <v>45</v>
      </c>
      <c r="Q11" s="339" t="s">
        <v>44</v>
      </c>
      <c r="R11" s="339" t="s">
        <v>53</v>
      </c>
      <c r="S11" s="339" t="s">
        <v>53</v>
      </c>
      <c r="T11" s="339" t="s">
        <v>49</v>
      </c>
      <c r="U11" s="339" t="s">
        <v>49</v>
      </c>
      <c r="V11" s="339" t="s">
        <v>49</v>
      </c>
      <c r="W11" s="339" t="s">
        <v>48</v>
      </c>
      <c r="X11" s="339" t="s">
        <v>48</v>
      </c>
      <c r="Y11" s="339" t="s">
        <v>53</v>
      </c>
      <c r="Z11" s="339" t="s">
        <v>53</v>
      </c>
      <c r="AA11" s="339" t="s">
        <v>46</v>
      </c>
      <c r="AB11" s="339" t="s">
        <v>46</v>
      </c>
      <c r="AC11" s="339" t="s">
        <v>47</v>
      </c>
      <c r="AD11" s="339" t="s">
        <v>44</v>
      </c>
      <c r="AE11" s="339" t="s">
        <v>43</v>
      </c>
      <c r="AF11" s="339" t="s">
        <v>53</v>
      </c>
      <c r="AG11" s="338"/>
      <c r="AH11" s="338"/>
    </row>
    <row r="12">
      <c r="A12" s="341" t="s">
        <v>242</v>
      </c>
      <c r="B12" s="339" t="s">
        <v>86</v>
      </c>
      <c r="C12" s="339" t="s">
        <v>45</v>
      </c>
      <c r="D12" s="339" t="s">
        <v>43</v>
      </c>
      <c r="E12" s="339" t="s">
        <v>53</v>
      </c>
      <c r="F12" s="339" t="s">
        <v>53</v>
      </c>
      <c r="G12" s="339" t="s">
        <v>48</v>
      </c>
      <c r="H12" s="339" t="s">
        <v>48</v>
      </c>
      <c r="I12" s="339" t="s">
        <v>48</v>
      </c>
      <c r="J12" s="339" t="s">
        <v>47</v>
      </c>
      <c r="K12" s="339" t="s">
        <v>43</v>
      </c>
      <c r="L12" s="339" t="s">
        <v>53</v>
      </c>
      <c r="M12" s="339" t="s">
        <v>53</v>
      </c>
      <c r="N12" s="339" t="s">
        <v>45</v>
      </c>
      <c r="O12" s="339" t="s">
        <v>45</v>
      </c>
      <c r="P12" s="339" t="s">
        <v>45</v>
      </c>
      <c r="Q12" s="339" t="s">
        <v>44</v>
      </c>
      <c r="R12" s="339" t="s">
        <v>48</v>
      </c>
      <c r="S12" s="339" t="s">
        <v>53</v>
      </c>
      <c r="T12" s="339" t="s">
        <v>53</v>
      </c>
      <c r="U12" s="339" t="s">
        <v>47</v>
      </c>
      <c r="V12" s="339" t="s">
        <v>47</v>
      </c>
      <c r="W12" s="339" t="s">
        <v>45</v>
      </c>
      <c r="X12" s="339" t="s">
        <v>44</v>
      </c>
      <c r="Y12" s="339" t="s">
        <v>43</v>
      </c>
      <c r="Z12" s="339" t="s">
        <v>53</v>
      </c>
      <c r="AA12" s="339" t="s">
        <v>53</v>
      </c>
      <c r="AB12" s="339" t="s">
        <v>47</v>
      </c>
      <c r="AC12" s="339" t="s">
        <v>47</v>
      </c>
      <c r="AD12" s="339" t="s">
        <v>47</v>
      </c>
      <c r="AE12" s="339" t="s">
        <v>48</v>
      </c>
      <c r="AF12" s="339" t="s">
        <v>48</v>
      </c>
      <c r="AG12" s="338"/>
      <c r="AH12" s="338"/>
    </row>
    <row r="13">
      <c r="A13" s="341" t="s">
        <v>243</v>
      </c>
      <c r="B13" s="339" t="s">
        <v>89</v>
      </c>
      <c r="C13" s="339" t="s">
        <v>44</v>
      </c>
      <c r="D13" s="339" t="s">
        <v>44</v>
      </c>
      <c r="E13" s="339" t="s">
        <v>43</v>
      </c>
      <c r="F13" s="339" t="s">
        <v>53</v>
      </c>
      <c r="G13" s="339" t="s">
        <v>53</v>
      </c>
      <c r="H13" s="339" t="s">
        <v>45</v>
      </c>
      <c r="I13" s="339" t="s">
        <v>45</v>
      </c>
      <c r="J13" s="339" t="s">
        <v>43</v>
      </c>
      <c r="K13" s="339" t="s">
        <v>48</v>
      </c>
      <c r="L13" s="339" t="s">
        <v>48</v>
      </c>
      <c r="M13" s="339" t="s">
        <v>53</v>
      </c>
      <c r="N13" s="339" t="s">
        <v>53</v>
      </c>
      <c r="O13" s="339" t="s">
        <v>45</v>
      </c>
      <c r="P13" s="339" t="s">
        <v>45</v>
      </c>
      <c r="Q13" s="339" t="s">
        <v>45</v>
      </c>
      <c r="R13" s="339" t="s">
        <v>44</v>
      </c>
      <c r="S13" s="339" t="s">
        <v>43</v>
      </c>
      <c r="T13" s="339" t="s">
        <v>53</v>
      </c>
      <c r="U13" s="339" t="s">
        <v>53</v>
      </c>
      <c r="V13" s="339" t="s">
        <v>45</v>
      </c>
      <c r="W13" s="339" t="s">
        <v>45</v>
      </c>
      <c r="X13" s="339" t="s">
        <v>44</v>
      </c>
      <c r="Y13" s="339" t="s">
        <v>43</v>
      </c>
      <c r="Z13" s="338" t="s">
        <v>43</v>
      </c>
      <c r="AA13" s="339" t="s">
        <v>53</v>
      </c>
      <c r="AB13" s="339" t="s">
        <v>53</v>
      </c>
      <c r="AC13" s="339" t="s">
        <v>48</v>
      </c>
      <c r="AD13" s="339" t="s">
        <v>45</v>
      </c>
      <c r="AE13" s="339" t="s">
        <v>45</v>
      </c>
      <c r="AF13" s="339" t="s">
        <v>45</v>
      </c>
      <c r="AG13" s="338"/>
      <c r="AH13" s="338"/>
    </row>
    <row r="14">
      <c r="A14" s="341" t="s">
        <v>244</v>
      </c>
      <c r="B14" s="339" t="s">
        <v>92</v>
      </c>
      <c r="C14" s="339" t="s">
        <v>49</v>
      </c>
      <c r="D14" s="339" t="s">
        <v>49</v>
      </c>
      <c r="E14" s="339" t="s">
        <v>49</v>
      </c>
      <c r="F14" s="339" t="s">
        <v>49</v>
      </c>
      <c r="G14" s="339" t="s">
        <v>49</v>
      </c>
      <c r="H14" s="339" t="s">
        <v>53</v>
      </c>
      <c r="I14" s="339" t="s">
        <v>53</v>
      </c>
      <c r="J14" s="339" t="s">
        <v>46</v>
      </c>
      <c r="K14" s="339" t="s">
        <v>46</v>
      </c>
      <c r="L14" s="339" t="s">
        <v>45</v>
      </c>
      <c r="M14" s="339" t="s">
        <v>44</v>
      </c>
      <c r="N14" s="339" t="s">
        <v>43</v>
      </c>
      <c r="O14" s="339" t="s">
        <v>53</v>
      </c>
      <c r="P14" s="339" t="s">
        <v>53</v>
      </c>
      <c r="Q14" s="339" t="s">
        <v>46</v>
      </c>
      <c r="R14" s="339" t="s">
        <v>46</v>
      </c>
      <c r="S14" s="339" t="s">
        <v>45</v>
      </c>
      <c r="T14" s="339" t="s">
        <v>43</v>
      </c>
      <c r="U14" s="339" t="s">
        <v>49</v>
      </c>
      <c r="V14" s="339" t="s">
        <v>53</v>
      </c>
      <c r="W14" s="339" t="s">
        <v>53</v>
      </c>
      <c r="X14" s="339" t="s">
        <v>47</v>
      </c>
      <c r="Y14" s="339" t="s">
        <v>47</v>
      </c>
      <c r="Z14" s="339" t="s">
        <v>44</v>
      </c>
      <c r="AA14" s="339" t="s">
        <v>49</v>
      </c>
      <c r="AB14" s="339" t="s">
        <v>43</v>
      </c>
      <c r="AC14" s="339" t="s">
        <v>53</v>
      </c>
      <c r="AD14" s="339" t="s">
        <v>53</v>
      </c>
      <c r="AE14" s="339" t="s">
        <v>47</v>
      </c>
      <c r="AF14" s="339" t="s">
        <v>47</v>
      </c>
      <c r="AG14" s="338"/>
      <c r="AH14" s="338"/>
    </row>
    <row r="15">
      <c r="A15" s="341" t="s">
        <v>245</v>
      </c>
      <c r="B15" s="339" t="s">
        <v>95</v>
      </c>
      <c r="C15" s="339" t="s">
        <v>53</v>
      </c>
      <c r="D15" s="339" t="s">
        <v>53</v>
      </c>
      <c r="E15" s="339" t="s">
        <v>47</v>
      </c>
      <c r="F15" s="339" t="s">
        <v>46</v>
      </c>
      <c r="G15" s="339" t="s">
        <v>44</v>
      </c>
      <c r="H15" s="339" t="s">
        <v>43</v>
      </c>
      <c r="I15" s="339" t="s">
        <v>43</v>
      </c>
      <c r="J15" s="339" t="s">
        <v>53</v>
      </c>
      <c r="K15" s="339" t="s">
        <v>53</v>
      </c>
      <c r="L15" s="339" t="s">
        <v>48</v>
      </c>
      <c r="M15" s="339" t="s">
        <v>45</v>
      </c>
      <c r="N15" s="339" t="s">
        <v>45</v>
      </c>
      <c r="O15" s="339" t="s">
        <v>45</v>
      </c>
      <c r="P15" s="339" t="s">
        <v>44</v>
      </c>
      <c r="Q15" s="339" t="s">
        <v>53</v>
      </c>
      <c r="R15" s="339" t="s">
        <v>53</v>
      </c>
      <c r="S15" s="339" t="s">
        <v>48</v>
      </c>
      <c r="T15" s="339" t="s">
        <v>47</v>
      </c>
      <c r="U15" s="339" t="s">
        <v>45</v>
      </c>
      <c r="V15" s="339" t="s">
        <v>45</v>
      </c>
      <c r="W15" s="339" t="s">
        <v>44</v>
      </c>
      <c r="X15" s="339" t="s">
        <v>53</v>
      </c>
      <c r="Y15" s="339" t="s">
        <v>53</v>
      </c>
      <c r="Z15" s="339" t="s">
        <v>47</v>
      </c>
      <c r="AA15" s="339" t="s">
        <v>47</v>
      </c>
      <c r="AB15" s="339" t="s">
        <v>47</v>
      </c>
      <c r="AC15" s="339" t="s">
        <v>48</v>
      </c>
      <c r="AD15" s="339" t="s">
        <v>48</v>
      </c>
      <c r="AE15" s="339" t="s">
        <v>53</v>
      </c>
      <c r="AF15" s="339" t="s">
        <v>53</v>
      </c>
      <c r="AG15" s="338"/>
      <c r="AH15" s="338"/>
    </row>
    <row r="16">
      <c r="A16" s="341" t="s">
        <v>246</v>
      </c>
      <c r="B16" s="339" t="s">
        <v>98</v>
      </c>
      <c r="C16" s="339" t="s">
        <v>43</v>
      </c>
      <c r="D16" s="339" t="s">
        <v>43</v>
      </c>
      <c r="E16" s="339" t="s">
        <v>53</v>
      </c>
      <c r="F16" s="339" t="s">
        <v>53</v>
      </c>
      <c r="G16" s="339" t="s">
        <v>47</v>
      </c>
      <c r="H16" s="339" t="s">
        <v>47</v>
      </c>
      <c r="I16" s="339" t="s">
        <v>45</v>
      </c>
      <c r="J16" s="339" t="s">
        <v>44</v>
      </c>
      <c r="K16" s="339" t="s">
        <v>43</v>
      </c>
      <c r="L16" s="339" t="s">
        <v>53</v>
      </c>
      <c r="M16" s="339" t="s">
        <v>53</v>
      </c>
      <c r="N16" s="339" t="s">
        <v>47</v>
      </c>
      <c r="O16" s="339" t="s">
        <v>47</v>
      </c>
      <c r="P16" s="339" t="s">
        <v>45</v>
      </c>
      <c r="Q16" s="339" t="s">
        <v>45</v>
      </c>
      <c r="R16" s="339" t="s">
        <v>43</v>
      </c>
      <c r="S16" s="339" t="s">
        <v>53</v>
      </c>
      <c r="T16" s="339" t="s">
        <v>53</v>
      </c>
      <c r="U16" s="339" t="s">
        <v>47</v>
      </c>
      <c r="V16" s="339" t="s">
        <v>46</v>
      </c>
      <c r="W16" s="339" t="s">
        <v>45</v>
      </c>
      <c r="X16" s="339" t="s">
        <v>45</v>
      </c>
      <c r="Y16" s="339" t="s">
        <v>43</v>
      </c>
      <c r="Z16" s="339" t="s">
        <v>53</v>
      </c>
      <c r="AA16" s="339" t="s">
        <v>53</v>
      </c>
      <c r="AB16" s="339" t="s">
        <v>47</v>
      </c>
      <c r="AC16" s="339" t="s">
        <v>45</v>
      </c>
      <c r="AD16" s="339" t="s">
        <v>45</v>
      </c>
      <c r="AE16" s="339" t="s">
        <v>44</v>
      </c>
      <c r="AF16" s="339" t="s">
        <v>43</v>
      </c>
      <c r="AG16" s="338"/>
      <c r="AH16" s="338"/>
    </row>
    <row r="17">
      <c r="A17" s="341" t="s">
        <v>247</v>
      </c>
      <c r="B17" s="339" t="s">
        <v>101</v>
      </c>
      <c r="C17" s="339" t="s">
        <v>53</v>
      </c>
      <c r="D17" s="339" t="s">
        <v>53</v>
      </c>
      <c r="E17" s="339" t="s">
        <v>47</v>
      </c>
      <c r="F17" s="339" t="s">
        <v>47</v>
      </c>
      <c r="G17" s="339" t="s">
        <v>45</v>
      </c>
      <c r="H17" s="339" t="s">
        <v>45</v>
      </c>
      <c r="I17" s="339" t="s">
        <v>48</v>
      </c>
      <c r="J17" s="339" t="s">
        <v>53</v>
      </c>
      <c r="K17" s="339" t="s">
        <v>53</v>
      </c>
      <c r="L17" s="339" t="s">
        <v>48</v>
      </c>
      <c r="M17" s="339" t="s">
        <v>47</v>
      </c>
      <c r="N17" s="339" t="s">
        <v>45</v>
      </c>
      <c r="O17" s="339" t="s">
        <v>43</v>
      </c>
      <c r="P17" s="339" t="s">
        <v>43</v>
      </c>
      <c r="Q17" s="339" t="s">
        <v>53</v>
      </c>
      <c r="R17" s="339" t="s">
        <v>53</v>
      </c>
      <c r="S17" s="339" t="s">
        <v>47</v>
      </c>
      <c r="T17" s="339" t="s">
        <v>47</v>
      </c>
      <c r="U17" s="339" t="s">
        <v>45</v>
      </c>
      <c r="V17" s="339" t="s">
        <v>45</v>
      </c>
      <c r="W17" s="339" t="s">
        <v>43</v>
      </c>
      <c r="X17" s="339" t="s">
        <v>53</v>
      </c>
      <c r="Y17" s="339" t="s">
        <v>53</v>
      </c>
      <c r="Z17" s="339" t="s">
        <v>48</v>
      </c>
      <c r="AA17" s="339" t="s">
        <v>47</v>
      </c>
      <c r="AB17" s="339" t="s">
        <v>46</v>
      </c>
      <c r="AC17" s="339" t="s">
        <v>46</v>
      </c>
      <c r="AD17" s="339" t="s">
        <v>46</v>
      </c>
      <c r="AE17" s="339" t="s">
        <v>53</v>
      </c>
      <c r="AF17" s="339" t="s">
        <v>53</v>
      </c>
      <c r="AG17" s="338"/>
      <c r="AH17" s="338"/>
    </row>
    <row r="18">
      <c r="A18" s="341" t="s">
        <v>248</v>
      </c>
      <c r="B18" s="339" t="s">
        <v>104</v>
      </c>
      <c r="C18" s="339" t="s">
        <v>53</v>
      </c>
      <c r="D18" s="339" t="s">
        <v>47</v>
      </c>
      <c r="E18" s="339" t="s">
        <v>47</v>
      </c>
      <c r="F18" s="339" t="s">
        <v>46</v>
      </c>
      <c r="G18" s="339" t="s">
        <v>45</v>
      </c>
      <c r="H18" s="339" t="s">
        <v>43</v>
      </c>
      <c r="I18" s="339" t="s">
        <v>53</v>
      </c>
      <c r="J18" s="339" t="s">
        <v>53</v>
      </c>
      <c r="K18" s="339" t="s">
        <v>47</v>
      </c>
      <c r="L18" s="339" t="s">
        <v>47</v>
      </c>
      <c r="M18" s="339" t="s">
        <v>48</v>
      </c>
      <c r="N18" s="339" t="s">
        <v>46</v>
      </c>
      <c r="O18" s="339" t="s">
        <v>44</v>
      </c>
      <c r="P18" s="339" t="s">
        <v>53</v>
      </c>
      <c r="Q18" s="339" t="s">
        <v>53</v>
      </c>
      <c r="R18" s="339" t="s">
        <v>47</v>
      </c>
      <c r="S18" s="339" t="s">
        <v>46</v>
      </c>
      <c r="T18" s="339" t="s">
        <v>48</v>
      </c>
      <c r="U18" s="339" t="s">
        <v>45</v>
      </c>
      <c r="V18" s="339" t="s">
        <v>44</v>
      </c>
      <c r="W18" s="339" t="s">
        <v>53</v>
      </c>
      <c r="X18" s="339" t="s">
        <v>53</v>
      </c>
      <c r="Y18" s="339" t="s">
        <v>47</v>
      </c>
      <c r="Z18" s="339" t="s">
        <v>46</v>
      </c>
      <c r="AA18" s="339" t="s">
        <v>46</v>
      </c>
      <c r="AB18" s="339" t="s">
        <v>44</v>
      </c>
      <c r="AC18" s="339" t="s">
        <v>43</v>
      </c>
      <c r="AD18" s="339" t="s">
        <v>53</v>
      </c>
      <c r="AE18" s="339" t="s">
        <v>53</v>
      </c>
      <c r="AF18" s="338" t="s">
        <v>47</v>
      </c>
      <c r="AG18" s="338"/>
      <c r="AH18" s="338"/>
    </row>
    <row r="19">
      <c r="A19" s="341" t="s">
        <v>249</v>
      </c>
      <c r="B19" s="339" t="s">
        <v>107</v>
      </c>
      <c r="C19" s="339" t="s">
        <v>43</v>
      </c>
      <c r="D19" s="339" t="s">
        <v>53</v>
      </c>
      <c r="E19" s="339" t="s">
        <v>43</v>
      </c>
      <c r="F19" s="339" t="s">
        <v>43</v>
      </c>
      <c r="G19" s="339" t="s">
        <v>53</v>
      </c>
      <c r="H19" s="339" t="s">
        <v>43</v>
      </c>
      <c r="I19" s="339" t="s">
        <v>43</v>
      </c>
      <c r="J19" s="339" t="s">
        <v>43</v>
      </c>
      <c r="K19" s="339" t="s">
        <v>53</v>
      </c>
      <c r="L19" s="338" t="s">
        <v>43</v>
      </c>
      <c r="M19" s="338" t="s">
        <v>43</v>
      </c>
      <c r="N19" s="339" t="s">
        <v>53</v>
      </c>
      <c r="O19" s="339" t="s">
        <v>43</v>
      </c>
      <c r="P19" s="339" t="s">
        <v>43</v>
      </c>
      <c r="Q19" s="339" t="s">
        <v>43</v>
      </c>
      <c r="R19" s="339" t="s">
        <v>53</v>
      </c>
      <c r="S19" s="339" t="s">
        <v>43</v>
      </c>
      <c r="T19" s="339" t="s">
        <v>43</v>
      </c>
      <c r="U19" s="339" t="s">
        <v>53</v>
      </c>
      <c r="V19" s="339" t="s">
        <v>43</v>
      </c>
      <c r="W19" s="339" t="s">
        <v>43</v>
      </c>
      <c r="X19" s="339" t="s">
        <v>43</v>
      </c>
      <c r="Y19" s="339" t="s">
        <v>53</v>
      </c>
      <c r="Z19" s="339" t="s">
        <v>43</v>
      </c>
      <c r="AA19" s="339" t="s">
        <v>43</v>
      </c>
      <c r="AB19" s="339" t="s">
        <v>53</v>
      </c>
      <c r="AC19" s="339" t="s">
        <v>43</v>
      </c>
      <c r="AD19" s="339" t="s">
        <v>43</v>
      </c>
      <c r="AE19" s="339" t="s">
        <v>43</v>
      </c>
      <c r="AF19" s="339" t="s">
        <v>53</v>
      </c>
      <c r="AG19" s="338"/>
      <c r="AH19" s="338"/>
    </row>
    <row r="20">
      <c r="A20" s="341" t="s">
        <v>250</v>
      </c>
      <c r="B20" s="339" t="s">
        <v>110</v>
      </c>
      <c r="C20" s="339" t="s">
        <v>53</v>
      </c>
      <c r="D20" s="339" t="s">
        <v>49</v>
      </c>
      <c r="E20" s="339" t="s">
        <v>47</v>
      </c>
      <c r="F20" s="339" t="s">
        <v>46</v>
      </c>
      <c r="G20" s="339" t="s">
        <v>45</v>
      </c>
      <c r="H20" s="339" t="s">
        <v>44</v>
      </c>
      <c r="I20" s="339" t="s">
        <v>53</v>
      </c>
      <c r="J20" s="339" t="s">
        <v>53</v>
      </c>
      <c r="K20" s="339" t="s">
        <v>47</v>
      </c>
      <c r="L20" s="339" t="s">
        <v>46</v>
      </c>
      <c r="M20" s="339" t="s">
        <v>46</v>
      </c>
      <c r="N20" s="339" t="s">
        <v>44</v>
      </c>
      <c r="O20" s="339" t="s">
        <v>49</v>
      </c>
      <c r="P20" s="339" t="s">
        <v>53</v>
      </c>
      <c r="Q20" s="339" t="s">
        <v>53</v>
      </c>
      <c r="R20" s="339" t="s">
        <v>47</v>
      </c>
      <c r="S20" s="339" t="s">
        <v>46</v>
      </c>
      <c r="T20" s="339" t="s">
        <v>44</v>
      </c>
      <c r="U20" s="339" t="s">
        <v>43</v>
      </c>
      <c r="V20" s="339" t="s">
        <v>49</v>
      </c>
      <c r="W20" s="339" t="s">
        <v>53</v>
      </c>
      <c r="X20" s="339" t="s">
        <v>53</v>
      </c>
      <c r="Y20" s="339" t="s">
        <v>47</v>
      </c>
      <c r="Z20" s="339" t="s">
        <v>46</v>
      </c>
      <c r="AA20" s="339" t="s">
        <v>46</v>
      </c>
      <c r="AB20" s="339" t="s">
        <v>45</v>
      </c>
      <c r="AC20" s="339" t="s">
        <v>43</v>
      </c>
      <c r="AD20" s="339" t="s">
        <v>53</v>
      </c>
      <c r="AE20" s="339" t="s">
        <v>53</v>
      </c>
      <c r="AF20" s="338" t="s">
        <v>46</v>
      </c>
      <c r="AG20" s="338"/>
      <c r="AH20" s="338"/>
    </row>
    <row r="21" ht="15.75" customHeight="1">
      <c r="A21" s="341" t="s">
        <v>251</v>
      </c>
      <c r="B21" s="339" t="s">
        <v>113</v>
      </c>
      <c r="C21" s="339" t="s">
        <v>53</v>
      </c>
      <c r="D21" s="339" t="s">
        <v>53</v>
      </c>
      <c r="E21" s="339" t="s">
        <v>49</v>
      </c>
      <c r="F21" s="339" t="s">
        <v>45</v>
      </c>
      <c r="G21" s="339" t="s">
        <v>43</v>
      </c>
      <c r="H21" s="339" t="s">
        <v>49</v>
      </c>
      <c r="I21" s="339" t="s">
        <v>49</v>
      </c>
      <c r="J21" s="339" t="s">
        <v>53</v>
      </c>
      <c r="K21" s="339" t="s">
        <v>53</v>
      </c>
      <c r="L21" s="339" t="s">
        <v>49</v>
      </c>
      <c r="M21" s="338" t="s">
        <v>45</v>
      </c>
      <c r="N21" s="338" t="s">
        <v>43</v>
      </c>
      <c r="O21" s="338" t="s">
        <v>43</v>
      </c>
      <c r="P21" s="339" t="s">
        <v>48</v>
      </c>
      <c r="Q21" s="339" t="s">
        <v>53</v>
      </c>
      <c r="R21" s="339" t="s">
        <v>53</v>
      </c>
      <c r="S21" s="338" t="s">
        <v>47</v>
      </c>
      <c r="T21" s="338" t="s">
        <v>47</v>
      </c>
      <c r="U21" s="338" t="s">
        <v>43</v>
      </c>
      <c r="V21" s="338" t="s">
        <v>43</v>
      </c>
      <c r="W21" s="339" t="s">
        <v>48</v>
      </c>
      <c r="X21" s="339" t="s">
        <v>53</v>
      </c>
      <c r="Y21" s="339" t="s">
        <v>53</v>
      </c>
      <c r="Z21" s="338" t="s">
        <v>47</v>
      </c>
      <c r="AA21" s="339" t="s">
        <v>45</v>
      </c>
      <c r="AB21" s="339" t="s">
        <v>45</v>
      </c>
      <c r="AC21" s="338" t="s">
        <v>43</v>
      </c>
      <c r="AD21" s="338" t="s">
        <v>43</v>
      </c>
      <c r="AE21" s="339" t="s">
        <v>53</v>
      </c>
      <c r="AF21" s="339" t="s">
        <v>53</v>
      </c>
      <c r="AG21" s="338"/>
      <c r="AH21" s="338"/>
    </row>
    <row r="22" ht="15.75" customHeight="1">
      <c r="A22" s="341" t="s">
        <v>252</v>
      </c>
      <c r="B22" s="339" t="s">
        <v>116</v>
      </c>
      <c r="C22" s="338" t="s">
        <v>47</v>
      </c>
      <c r="D22" s="338" t="s">
        <v>45</v>
      </c>
      <c r="E22" s="338" t="s">
        <v>45</v>
      </c>
      <c r="F22" s="338" t="s">
        <v>43</v>
      </c>
      <c r="G22" s="339" t="s">
        <v>53</v>
      </c>
      <c r="H22" s="339" t="s">
        <v>53</v>
      </c>
      <c r="I22" s="339" t="s">
        <v>44</v>
      </c>
      <c r="J22" s="339" t="s">
        <v>49</v>
      </c>
      <c r="K22" s="339" t="s">
        <v>49</v>
      </c>
      <c r="L22" s="339" t="s">
        <v>49</v>
      </c>
      <c r="M22" s="339" t="s">
        <v>49</v>
      </c>
      <c r="N22" s="339" t="s">
        <v>53</v>
      </c>
      <c r="O22" s="339" t="s">
        <v>53</v>
      </c>
      <c r="P22" s="339" t="s">
        <v>45</v>
      </c>
      <c r="Q22" s="339" t="s">
        <v>45</v>
      </c>
      <c r="R22" s="339" t="s">
        <v>45</v>
      </c>
      <c r="S22" s="339" t="s">
        <v>44</v>
      </c>
      <c r="T22" s="339" t="s">
        <v>43</v>
      </c>
      <c r="U22" s="339" t="s">
        <v>53</v>
      </c>
      <c r="V22" s="339" t="s">
        <v>53</v>
      </c>
      <c r="W22" s="339" t="s">
        <v>49</v>
      </c>
      <c r="X22" s="339" t="s">
        <v>45</v>
      </c>
      <c r="Y22" s="339" t="s">
        <v>45</v>
      </c>
      <c r="Z22" s="339" t="s">
        <v>43</v>
      </c>
      <c r="AA22" s="339" t="s">
        <v>43</v>
      </c>
      <c r="AB22" s="339" t="s">
        <v>53</v>
      </c>
      <c r="AC22" s="339" t="s">
        <v>53</v>
      </c>
      <c r="AD22" s="339" t="s">
        <v>49</v>
      </c>
      <c r="AE22" s="339" t="s">
        <v>47</v>
      </c>
      <c r="AF22" s="339" t="s">
        <v>46</v>
      </c>
      <c r="AG22" s="338"/>
      <c r="AH22" s="338"/>
    </row>
    <row r="23" ht="15.75" customHeight="1">
      <c r="A23" s="341" t="s">
        <v>253</v>
      </c>
      <c r="B23" s="339" t="s">
        <v>119</v>
      </c>
      <c r="C23" s="339" t="s">
        <v>53</v>
      </c>
      <c r="D23" s="339" t="s">
        <v>53</v>
      </c>
      <c r="E23" s="339" t="s">
        <v>49</v>
      </c>
      <c r="F23" s="339" t="s">
        <v>49</v>
      </c>
      <c r="G23" s="339" t="s">
        <v>47</v>
      </c>
      <c r="H23" s="339" t="s">
        <v>43</v>
      </c>
      <c r="I23" s="339" t="s">
        <v>43</v>
      </c>
      <c r="J23" s="339" t="s">
        <v>53</v>
      </c>
      <c r="K23" s="339" t="s">
        <v>53</v>
      </c>
      <c r="L23" s="339" t="s">
        <v>47</v>
      </c>
      <c r="M23" s="339" t="s">
        <v>47</v>
      </c>
      <c r="N23" s="339" t="s">
        <v>43</v>
      </c>
      <c r="O23" s="339" t="s">
        <v>43</v>
      </c>
      <c r="P23" s="339" t="s">
        <v>49</v>
      </c>
      <c r="Q23" s="339" t="s">
        <v>53</v>
      </c>
      <c r="R23" s="339" t="s">
        <v>53</v>
      </c>
      <c r="S23" s="339" t="s">
        <v>48</v>
      </c>
      <c r="T23" s="339" t="s">
        <v>47</v>
      </c>
      <c r="U23" s="339" t="s">
        <v>43</v>
      </c>
      <c r="V23" s="339" t="s">
        <v>43</v>
      </c>
      <c r="W23" s="339" t="s">
        <v>43</v>
      </c>
      <c r="X23" s="339" t="s">
        <v>53</v>
      </c>
      <c r="Y23" s="339" t="s">
        <v>53</v>
      </c>
      <c r="Z23" s="339" t="s">
        <v>47</v>
      </c>
      <c r="AA23" s="339" t="s">
        <v>47</v>
      </c>
      <c r="AB23" s="339" t="s">
        <v>43</v>
      </c>
      <c r="AC23" s="339" t="s">
        <v>43</v>
      </c>
      <c r="AD23" s="339" t="s">
        <v>48</v>
      </c>
      <c r="AE23" s="339" t="s">
        <v>53</v>
      </c>
      <c r="AF23" s="339" t="s">
        <v>53</v>
      </c>
      <c r="AG23" s="338"/>
      <c r="AH23" s="338"/>
    </row>
    <row r="24" ht="15.75" customHeight="1">
      <c r="A24" s="341" t="s">
        <v>254</v>
      </c>
      <c r="B24" s="339" t="s">
        <v>122</v>
      </c>
      <c r="C24" s="338" t="s">
        <v>46</v>
      </c>
      <c r="D24" s="338" t="s">
        <v>45</v>
      </c>
      <c r="E24" s="338" t="s">
        <v>46</v>
      </c>
      <c r="F24" s="339" t="s">
        <v>44</v>
      </c>
      <c r="G24" s="339" t="s">
        <v>53</v>
      </c>
      <c r="H24" s="339" t="s">
        <v>53</v>
      </c>
      <c r="I24" s="339" t="s">
        <v>47</v>
      </c>
      <c r="J24" s="338" t="s">
        <v>46</v>
      </c>
      <c r="K24" s="338" t="s">
        <v>47</v>
      </c>
      <c r="L24" s="339" t="s">
        <v>44</v>
      </c>
      <c r="M24" s="339" t="s">
        <v>43</v>
      </c>
      <c r="N24" s="339" t="s">
        <v>53</v>
      </c>
      <c r="O24" s="339" t="s">
        <v>53</v>
      </c>
      <c r="P24" s="339" t="s">
        <v>47</v>
      </c>
      <c r="Q24" s="339" t="s">
        <v>45</v>
      </c>
      <c r="R24" s="339" t="s">
        <v>45</v>
      </c>
      <c r="S24" s="339" t="s">
        <v>45</v>
      </c>
      <c r="T24" s="339" t="s">
        <v>48</v>
      </c>
      <c r="U24" s="339" t="s">
        <v>53</v>
      </c>
      <c r="V24" s="339" t="s">
        <v>53</v>
      </c>
      <c r="W24" s="339" t="s">
        <v>48</v>
      </c>
      <c r="X24" s="339" t="s">
        <v>48</v>
      </c>
      <c r="Y24" s="339" t="s">
        <v>48</v>
      </c>
      <c r="Z24" s="339" t="s">
        <v>44</v>
      </c>
      <c r="AA24" s="339" t="s">
        <v>44</v>
      </c>
      <c r="AB24" s="339" t="s">
        <v>53</v>
      </c>
      <c r="AC24" s="339" t="s">
        <v>53</v>
      </c>
      <c r="AD24" s="339" t="s">
        <v>48</v>
      </c>
      <c r="AE24" s="339" t="s">
        <v>48</v>
      </c>
      <c r="AF24" s="339" t="s">
        <v>47</v>
      </c>
      <c r="AG24" s="338"/>
      <c r="AH24" s="338"/>
    </row>
    <row r="25" ht="15.75" customHeight="1">
      <c r="A25" s="341" t="s">
        <v>255</v>
      </c>
      <c r="B25" s="339" t="s">
        <v>125</v>
      </c>
      <c r="C25" s="338" t="s">
        <v>45</v>
      </c>
      <c r="D25" s="338" t="s">
        <v>43</v>
      </c>
      <c r="E25" s="338" t="s">
        <v>43</v>
      </c>
      <c r="F25" s="338" t="s">
        <v>43</v>
      </c>
      <c r="G25" s="339" t="s">
        <v>53</v>
      </c>
      <c r="H25" s="339" t="s">
        <v>53</v>
      </c>
      <c r="I25" s="339" t="s">
        <v>46</v>
      </c>
      <c r="J25" s="338" t="s">
        <v>45</v>
      </c>
      <c r="K25" s="338" t="s">
        <v>45</v>
      </c>
      <c r="L25" s="338" t="s">
        <v>43</v>
      </c>
      <c r="M25" s="338" t="s">
        <v>43</v>
      </c>
      <c r="N25" s="339" t="s">
        <v>53</v>
      </c>
      <c r="O25" s="339" t="s">
        <v>53</v>
      </c>
      <c r="P25" s="339" t="s">
        <v>47</v>
      </c>
      <c r="Q25" s="338" t="s">
        <v>47</v>
      </c>
      <c r="R25" s="338" t="s">
        <v>47</v>
      </c>
      <c r="S25" s="339" t="s">
        <v>44</v>
      </c>
      <c r="T25" s="339" t="s">
        <v>43</v>
      </c>
      <c r="U25" s="339" t="s">
        <v>53</v>
      </c>
      <c r="V25" s="339" t="s">
        <v>53</v>
      </c>
      <c r="W25" s="339" t="s">
        <v>47</v>
      </c>
      <c r="X25" s="339" t="s">
        <v>47</v>
      </c>
      <c r="Y25" s="339" t="s">
        <v>47</v>
      </c>
      <c r="Z25" s="339" t="s">
        <v>45</v>
      </c>
      <c r="AA25" s="339" t="s">
        <v>49</v>
      </c>
      <c r="AB25" s="339" t="s">
        <v>53</v>
      </c>
      <c r="AC25" s="339" t="s">
        <v>53</v>
      </c>
      <c r="AD25" s="339" t="s">
        <v>47</v>
      </c>
      <c r="AE25" s="339" t="s">
        <v>45</v>
      </c>
      <c r="AF25" s="339" t="s">
        <v>43</v>
      </c>
      <c r="AG25" s="338"/>
      <c r="AH25" s="338"/>
    </row>
    <row r="26" ht="15.75" customHeight="1">
      <c r="A26" s="341" t="s">
        <v>256</v>
      </c>
      <c r="B26" s="339" t="s">
        <v>128</v>
      </c>
      <c r="C26" s="339" t="s">
        <v>53</v>
      </c>
      <c r="D26" s="339" t="s">
        <v>53</v>
      </c>
      <c r="E26" s="339" t="s">
        <v>46</v>
      </c>
      <c r="F26" s="339" t="s">
        <v>45</v>
      </c>
      <c r="G26" s="339" t="s">
        <v>49</v>
      </c>
      <c r="H26" s="339" t="s">
        <v>47</v>
      </c>
      <c r="I26" s="339" t="s">
        <v>44</v>
      </c>
      <c r="J26" s="339" t="s">
        <v>53</v>
      </c>
      <c r="K26" s="339" t="s">
        <v>53</v>
      </c>
      <c r="L26" s="339" t="s">
        <v>47</v>
      </c>
      <c r="M26" s="339" t="s">
        <v>47</v>
      </c>
      <c r="N26" s="339" t="s">
        <v>49</v>
      </c>
      <c r="O26" s="339" t="s">
        <v>44</v>
      </c>
      <c r="P26" s="339" t="s">
        <v>43</v>
      </c>
      <c r="Q26" s="339" t="s">
        <v>53</v>
      </c>
      <c r="R26" s="339" t="s">
        <v>53</v>
      </c>
      <c r="S26" s="339" t="s">
        <v>47</v>
      </c>
      <c r="T26" s="339" t="s">
        <v>45</v>
      </c>
      <c r="U26" s="339" t="s">
        <v>49</v>
      </c>
      <c r="V26" s="339" t="s">
        <v>44</v>
      </c>
      <c r="W26" s="339" t="s">
        <v>43</v>
      </c>
      <c r="X26" s="339" t="s">
        <v>53</v>
      </c>
      <c r="Y26" s="339" t="s">
        <v>53</v>
      </c>
      <c r="Z26" s="339" t="s">
        <v>47</v>
      </c>
      <c r="AA26" s="338" t="s">
        <v>45</v>
      </c>
      <c r="AB26" s="339" t="s">
        <v>49</v>
      </c>
      <c r="AC26" s="339" t="s">
        <v>44</v>
      </c>
      <c r="AD26" s="339" t="s">
        <v>43</v>
      </c>
      <c r="AE26" s="339" t="s">
        <v>53</v>
      </c>
      <c r="AF26" s="339" t="s">
        <v>53</v>
      </c>
      <c r="AG26" s="338"/>
      <c r="AH26" s="338"/>
    </row>
    <row r="27" ht="15.75" customHeight="1">
      <c r="A27" s="341" t="s">
        <v>257</v>
      </c>
      <c r="B27" s="339" t="s">
        <v>131</v>
      </c>
      <c r="C27" s="339" t="s">
        <v>45</v>
      </c>
      <c r="D27" s="339" t="s">
        <v>44</v>
      </c>
      <c r="E27" s="339" t="s">
        <v>43</v>
      </c>
      <c r="F27" s="339" t="s">
        <v>53</v>
      </c>
      <c r="G27" s="339" t="s">
        <v>53</v>
      </c>
      <c r="H27" s="339" t="s">
        <v>45</v>
      </c>
      <c r="I27" s="339" t="s">
        <v>45</v>
      </c>
      <c r="J27" s="339" t="s">
        <v>45</v>
      </c>
      <c r="K27" s="339" t="s">
        <v>44</v>
      </c>
      <c r="L27" s="339" t="s">
        <v>43</v>
      </c>
      <c r="M27" s="339" t="s">
        <v>53</v>
      </c>
      <c r="N27" s="339" t="s">
        <v>53</v>
      </c>
      <c r="O27" s="339" t="s">
        <v>49</v>
      </c>
      <c r="P27" s="339" t="s">
        <v>49</v>
      </c>
      <c r="Q27" s="339" t="s">
        <v>45</v>
      </c>
      <c r="R27" s="339" t="s">
        <v>45</v>
      </c>
      <c r="S27" s="338" t="s">
        <v>43</v>
      </c>
      <c r="T27" s="339" t="s">
        <v>53</v>
      </c>
      <c r="U27" s="339" t="s">
        <v>53</v>
      </c>
      <c r="V27" s="339" t="s">
        <v>49</v>
      </c>
      <c r="W27" s="339" t="s">
        <v>45</v>
      </c>
      <c r="X27" s="339" t="s">
        <v>45</v>
      </c>
      <c r="Y27" s="339" t="s">
        <v>49</v>
      </c>
      <c r="Z27" s="339" t="s">
        <v>49</v>
      </c>
      <c r="AA27" s="339" t="s">
        <v>53</v>
      </c>
      <c r="AB27" s="339" t="s">
        <v>53</v>
      </c>
      <c r="AC27" s="339" t="s">
        <v>45</v>
      </c>
      <c r="AD27" s="339" t="s">
        <v>45</v>
      </c>
      <c r="AE27" s="339" t="s">
        <v>45</v>
      </c>
      <c r="AF27" s="339" t="s">
        <v>43</v>
      </c>
      <c r="AG27" s="338"/>
      <c r="AH27" s="338"/>
    </row>
    <row r="28" ht="15.75" customHeight="1">
      <c r="A28" s="341" t="s">
        <v>258</v>
      </c>
      <c r="B28" s="339" t="s">
        <v>134</v>
      </c>
      <c r="C28" s="339" t="s">
        <v>49</v>
      </c>
      <c r="D28" s="339" t="s">
        <v>53</v>
      </c>
      <c r="E28" s="339" t="s">
        <v>53</v>
      </c>
      <c r="F28" s="339" t="s">
        <v>47</v>
      </c>
      <c r="G28" s="339" t="s">
        <v>46</v>
      </c>
      <c r="H28" s="339" t="s">
        <v>48</v>
      </c>
      <c r="I28" s="339" t="s">
        <v>48</v>
      </c>
      <c r="J28" s="339" t="s">
        <v>48</v>
      </c>
      <c r="K28" s="339" t="s">
        <v>53</v>
      </c>
      <c r="L28" s="339" t="s">
        <v>53</v>
      </c>
      <c r="M28" s="339" t="s">
        <v>46</v>
      </c>
      <c r="N28" s="339" t="s">
        <v>46</v>
      </c>
      <c r="O28" s="339" t="s">
        <v>45</v>
      </c>
      <c r="P28" s="339" t="s">
        <v>43</v>
      </c>
      <c r="Q28" s="339" t="s">
        <v>43</v>
      </c>
      <c r="R28" s="339" t="s">
        <v>53</v>
      </c>
      <c r="S28" s="339" t="s">
        <v>53</v>
      </c>
      <c r="T28" s="339" t="s">
        <v>47</v>
      </c>
      <c r="U28" s="339" t="s">
        <v>46</v>
      </c>
      <c r="V28" s="339" t="s">
        <v>46</v>
      </c>
      <c r="W28" s="339" t="s">
        <v>46</v>
      </c>
      <c r="X28" s="339" t="s">
        <v>43</v>
      </c>
      <c r="Y28" s="339" t="s">
        <v>53</v>
      </c>
      <c r="Z28" s="339" t="s">
        <v>53</v>
      </c>
      <c r="AA28" s="339" t="s">
        <v>45</v>
      </c>
      <c r="AB28" s="339" t="s">
        <v>45</v>
      </c>
      <c r="AC28" s="339" t="s">
        <v>45</v>
      </c>
      <c r="AD28" s="339" t="s">
        <v>43</v>
      </c>
      <c r="AE28" s="339" t="s">
        <v>43</v>
      </c>
      <c r="AF28" s="339" t="s">
        <v>53</v>
      </c>
      <c r="AG28" s="338"/>
      <c r="AH28" s="338"/>
    </row>
    <row r="29" ht="15.75" customHeight="1">
      <c r="A29" s="341" t="s">
        <v>259</v>
      </c>
      <c r="B29" s="339" t="s">
        <v>137</v>
      </c>
      <c r="C29" s="339" t="s">
        <v>45</v>
      </c>
      <c r="D29" s="339" t="s">
        <v>44</v>
      </c>
      <c r="E29" s="339" t="s">
        <v>43</v>
      </c>
      <c r="F29" s="339" t="s">
        <v>53</v>
      </c>
      <c r="G29" s="339" t="s">
        <v>53</v>
      </c>
      <c r="H29" s="339" t="s">
        <v>45</v>
      </c>
      <c r="I29" s="339" t="s">
        <v>45</v>
      </c>
      <c r="J29" s="339" t="s">
        <v>45</v>
      </c>
      <c r="K29" s="339" t="s">
        <v>44</v>
      </c>
      <c r="L29" s="339" t="s">
        <v>43</v>
      </c>
      <c r="M29" s="339" t="s">
        <v>53</v>
      </c>
      <c r="N29" s="339" t="s">
        <v>53</v>
      </c>
      <c r="O29" s="339" t="s">
        <v>49</v>
      </c>
      <c r="P29" s="339" t="s">
        <v>49</v>
      </c>
      <c r="Q29" s="339" t="s">
        <v>49</v>
      </c>
      <c r="R29" s="339" t="s">
        <v>45</v>
      </c>
      <c r="S29" s="338" t="s">
        <v>43</v>
      </c>
      <c r="T29" s="339" t="s">
        <v>53</v>
      </c>
      <c r="U29" s="339" t="s">
        <v>53</v>
      </c>
      <c r="V29" s="339" t="s">
        <v>45</v>
      </c>
      <c r="W29" s="339" t="s">
        <v>45</v>
      </c>
      <c r="X29" s="339" t="s">
        <v>44</v>
      </c>
      <c r="Y29" s="339" t="s">
        <v>49</v>
      </c>
      <c r="Z29" s="339" t="s">
        <v>49</v>
      </c>
      <c r="AA29" s="339" t="s">
        <v>53</v>
      </c>
      <c r="AB29" s="339" t="s">
        <v>53</v>
      </c>
      <c r="AC29" s="339" t="s">
        <v>45</v>
      </c>
      <c r="AD29" s="339" t="s">
        <v>45</v>
      </c>
      <c r="AE29" s="339" t="s">
        <v>45</v>
      </c>
      <c r="AF29" s="339" t="s">
        <v>44</v>
      </c>
      <c r="AG29" s="338"/>
      <c r="AH29" s="338"/>
    </row>
    <row r="30" ht="15.75" customHeight="1">
      <c r="A30" s="341" t="s">
        <v>260</v>
      </c>
      <c r="B30" s="339" t="s">
        <v>140</v>
      </c>
      <c r="C30" s="339" t="s">
        <v>46</v>
      </c>
      <c r="D30" s="339" t="s">
        <v>47</v>
      </c>
      <c r="E30" s="339" t="s">
        <v>45</v>
      </c>
      <c r="F30" s="339" t="s">
        <v>53</v>
      </c>
      <c r="G30" s="339" t="s">
        <v>53</v>
      </c>
      <c r="H30" s="339" t="s">
        <v>46</v>
      </c>
      <c r="I30" s="339" t="s">
        <v>46</v>
      </c>
      <c r="J30" s="339" t="s">
        <v>45</v>
      </c>
      <c r="K30" s="339" t="s">
        <v>45</v>
      </c>
      <c r="L30" s="339" t="s">
        <v>45</v>
      </c>
      <c r="M30" s="339" t="s">
        <v>53</v>
      </c>
      <c r="N30" s="339" t="s">
        <v>53</v>
      </c>
      <c r="O30" s="339" t="s">
        <v>46</v>
      </c>
      <c r="P30" s="339" t="s">
        <v>46</v>
      </c>
      <c r="Q30" s="339" t="s">
        <v>47</v>
      </c>
      <c r="R30" s="339" t="s">
        <v>44</v>
      </c>
      <c r="S30" s="339" t="s">
        <v>44</v>
      </c>
      <c r="T30" s="339" t="s">
        <v>53</v>
      </c>
      <c r="U30" s="339" t="s">
        <v>53</v>
      </c>
      <c r="V30" s="339" t="s">
        <v>46</v>
      </c>
      <c r="W30" s="339" t="s">
        <v>46</v>
      </c>
      <c r="X30" s="339" t="s">
        <v>47</v>
      </c>
      <c r="Y30" s="339" t="s">
        <v>45</v>
      </c>
      <c r="Z30" s="339" t="s">
        <v>45</v>
      </c>
      <c r="AA30" s="339" t="s">
        <v>53</v>
      </c>
      <c r="AB30" s="339" t="s">
        <v>53</v>
      </c>
      <c r="AC30" s="339" t="s">
        <v>47</v>
      </c>
      <c r="AD30" s="339" t="s">
        <v>46</v>
      </c>
      <c r="AE30" s="339" t="s">
        <v>47</v>
      </c>
      <c r="AF30" s="339" t="s">
        <v>45</v>
      </c>
      <c r="AG30" s="338"/>
      <c r="AH30" s="338"/>
    </row>
    <row r="31" ht="15.75" customHeight="1">
      <c r="A31" s="341" t="s">
        <v>261</v>
      </c>
      <c r="B31" s="339" t="s">
        <v>143</v>
      </c>
      <c r="C31" s="339" t="s">
        <v>49</v>
      </c>
      <c r="D31" s="339" t="s">
        <v>49</v>
      </c>
      <c r="E31" s="339" t="s">
        <v>49</v>
      </c>
      <c r="F31" s="339" t="s">
        <v>48</v>
      </c>
      <c r="G31" s="339" t="s">
        <v>53</v>
      </c>
      <c r="H31" s="339" t="s">
        <v>53</v>
      </c>
      <c r="I31" s="339" t="s">
        <v>48</v>
      </c>
      <c r="J31" s="339" t="s">
        <v>48</v>
      </c>
      <c r="K31" s="339" t="s">
        <v>48</v>
      </c>
      <c r="L31" s="339" t="s">
        <v>48</v>
      </c>
      <c r="M31" s="339" t="s">
        <v>48</v>
      </c>
      <c r="N31" s="339" t="s">
        <v>53</v>
      </c>
      <c r="O31" s="339" t="s">
        <v>53</v>
      </c>
      <c r="P31" s="339" t="s">
        <v>47</v>
      </c>
      <c r="Q31" s="339" t="s">
        <v>47</v>
      </c>
      <c r="R31" s="339" t="s">
        <v>47</v>
      </c>
      <c r="S31" s="339" t="s">
        <v>47</v>
      </c>
      <c r="T31" s="339" t="s">
        <v>47</v>
      </c>
      <c r="U31" s="339" t="s">
        <v>53</v>
      </c>
      <c r="V31" s="339" t="s">
        <v>53</v>
      </c>
      <c r="W31" s="339" t="s">
        <v>47</v>
      </c>
      <c r="X31" s="339" t="s">
        <v>47</v>
      </c>
      <c r="Y31" s="339" t="s">
        <v>47</v>
      </c>
      <c r="Z31" s="339" t="s">
        <v>47</v>
      </c>
      <c r="AA31" s="339" t="s">
        <v>47</v>
      </c>
      <c r="AB31" s="339" t="s">
        <v>53</v>
      </c>
      <c r="AC31" s="339" t="s">
        <v>53</v>
      </c>
      <c r="AD31" s="339" t="s">
        <v>47</v>
      </c>
      <c r="AE31" s="339" t="s">
        <v>47</v>
      </c>
      <c r="AF31" s="339" t="s">
        <v>47</v>
      </c>
      <c r="AG31" s="338"/>
      <c r="AH31" s="338"/>
    </row>
    <row r="32" ht="15.75" customHeight="1">
      <c r="A32" s="341" t="s">
        <v>262</v>
      </c>
      <c r="B32" s="339" t="s">
        <v>146</v>
      </c>
      <c r="C32" s="339" t="s">
        <v>53</v>
      </c>
      <c r="D32" s="339" t="s">
        <v>46</v>
      </c>
      <c r="E32" s="339" t="s">
        <v>45</v>
      </c>
      <c r="F32" s="339" t="s">
        <v>45</v>
      </c>
      <c r="G32" s="339" t="s">
        <v>44</v>
      </c>
      <c r="H32" s="339" t="s">
        <v>44</v>
      </c>
      <c r="I32" s="339" t="s">
        <v>53</v>
      </c>
      <c r="J32" s="339" t="s">
        <v>53</v>
      </c>
      <c r="K32" s="339" t="s">
        <v>47</v>
      </c>
      <c r="L32" s="339" t="s">
        <v>46</v>
      </c>
      <c r="M32" s="339" t="s">
        <v>45</v>
      </c>
      <c r="N32" s="339" t="s">
        <v>44</v>
      </c>
      <c r="O32" s="339" t="s">
        <v>44</v>
      </c>
      <c r="P32" s="339" t="s">
        <v>53</v>
      </c>
      <c r="Q32" s="339" t="s">
        <v>53</v>
      </c>
      <c r="R32" s="339" t="s">
        <v>47</v>
      </c>
      <c r="S32" s="339" t="s">
        <v>47</v>
      </c>
      <c r="T32" s="339" t="s">
        <v>45</v>
      </c>
      <c r="U32" s="339" t="s">
        <v>44</v>
      </c>
      <c r="V32" s="339" t="s">
        <v>44</v>
      </c>
      <c r="W32" s="339" t="s">
        <v>53</v>
      </c>
      <c r="X32" s="339" t="s">
        <v>53</v>
      </c>
      <c r="Y32" s="339" t="s">
        <v>47</v>
      </c>
      <c r="Z32" s="339" t="s">
        <v>45</v>
      </c>
      <c r="AA32" s="339" t="s">
        <v>44</v>
      </c>
      <c r="AB32" s="339" t="s">
        <v>43</v>
      </c>
      <c r="AC32" s="339" t="s">
        <v>44</v>
      </c>
      <c r="AD32" s="339" t="s">
        <v>53</v>
      </c>
      <c r="AE32" s="339" t="s">
        <v>53</v>
      </c>
      <c r="AF32" s="339" t="s">
        <v>45</v>
      </c>
      <c r="AG32" s="338"/>
      <c r="AH32" s="338"/>
    </row>
    <row r="33" ht="15.75" customHeight="1">
      <c r="A33" s="341" t="s">
        <v>263</v>
      </c>
      <c r="B33" s="339" t="s">
        <v>150</v>
      </c>
      <c r="C33" s="339" t="s">
        <v>45</v>
      </c>
      <c r="D33" s="339" t="s">
        <v>45</v>
      </c>
      <c r="E33" s="338" t="s">
        <v>44</v>
      </c>
      <c r="F33" s="338" t="s">
        <v>43</v>
      </c>
      <c r="G33" s="339" t="s">
        <v>53</v>
      </c>
      <c r="H33" s="339" t="s">
        <v>53</v>
      </c>
      <c r="I33" s="339" t="s">
        <v>47</v>
      </c>
      <c r="J33" s="339" t="s">
        <v>45</v>
      </c>
      <c r="K33" s="339" t="s">
        <v>45</v>
      </c>
      <c r="L33" s="339" t="s">
        <v>45</v>
      </c>
      <c r="M33" s="339" t="s">
        <v>43</v>
      </c>
      <c r="N33" s="339" t="s">
        <v>53</v>
      </c>
      <c r="O33" s="339" t="s">
        <v>53</v>
      </c>
      <c r="P33" s="339" t="s">
        <v>48</v>
      </c>
      <c r="Q33" s="339" t="s">
        <v>45</v>
      </c>
      <c r="R33" s="339" t="s">
        <v>45</v>
      </c>
      <c r="S33" s="339" t="s">
        <v>45</v>
      </c>
      <c r="T33" s="339" t="s">
        <v>43</v>
      </c>
      <c r="U33" s="339" t="s">
        <v>53</v>
      </c>
      <c r="V33" s="339" t="s">
        <v>53</v>
      </c>
      <c r="W33" s="339" t="s">
        <v>47</v>
      </c>
      <c r="X33" s="339" t="s">
        <v>45</v>
      </c>
      <c r="Y33" s="339" t="s">
        <v>45</v>
      </c>
      <c r="Z33" s="339" t="s">
        <v>45</v>
      </c>
      <c r="AA33" s="339" t="s">
        <v>43</v>
      </c>
      <c r="AB33" s="339" t="s">
        <v>53</v>
      </c>
      <c r="AC33" s="339" t="s">
        <v>53</v>
      </c>
      <c r="AD33" s="339" t="s">
        <v>48</v>
      </c>
      <c r="AE33" s="339" t="s">
        <v>45</v>
      </c>
      <c r="AF33" s="339" t="s">
        <v>45</v>
      </c>
      <c r="AG33" s="338"/>
      <c r="AH33" s="338"/>
    </row>
    <row r="34" ht="15.75" customHeight="1">
      <c r="A34" s="341" t="s">
        <v>264</v>
      </c>
      <c r="B34" s="339" t="s">
        <v>153</v>
      </c>
      <c r="C34" s="339" t="s">
        <v>45</v>
      </c>
      <c r="D34" s="339" t="s">
        <v>45</v>
      </c>
      <c r="E34" s="339" t="s">
        <v>44</v>
      </c>
      <c r="F34" s="339" t="s">
        <v>44</v>
      </c>
      <c r="G34" s="339" t="s">
        <v>53</v>
      </c>
      <c r="H34" s="339" t="s">
        <v>53</v>
      </c>
      <c r="I34" s="339" t="s">
        <v>49</v>
      </c>
      <c r="J34" s="339" t="s">
        <v>49</v>
      </c>
      <c r="K34" s="339" t="s">
        <v>45</v>
      </c>
      <c r="L34" s="339" t="s">
        <v>44</v>
      </c>
      <c r="M34" s="339" t="s">
        <v>49</v>
      </c>
      <c r="N34" s="339" t="s">
        <v>53</v>
      </c>
      <c r="O34" s="339" t="s">
        <v>53</v>
      </c>
      <c r="P34" s="339" t="s">
        <v>47</v>
      </c>
      <c r="Q34" s="339" t="s">
        <v>47</v>
      </c>
      <c r="R34" s="339" t="s">
        <v>45</v>
      </c>
      <c r="S34" s="339" t="s">
        <v>45</v>
      </c>
      <c r="T34" s="339" t="s">
        <v>49</v>
      </c>
      <c r="U34" s="339" t="s">
        <v>53</v>
      </c>
      <c r="V34" s="339" t="s">
        <v>53</v>
      </c>
      <c r="W34" s="339" t="s">
        <v>47</v>
      </c>
      <c r="X34" s="339" t="s">
        <v>47</v>
      </c>
      <c r="Y34" s="339" t="s">
        <v>45</v>
      </c>
      <c r="Z34" s="339" t="s">
        <v>44</v>
      </c>
      <c r="AA34" s="339" t="s">
        <v>43</v>
      </c>
      <c r="AB34" s="339" t="s">
        <v>53</v>
      </c>
      <c r="AC34" s="339" t="s">
        <v>53</v>
      </c>
      <c r="AD34" s="339" t="s">
        <v>47</v>
      </c>
      <c r="AE34" s="339" t="s">
        <v>46</v>
      </c>
      <c r="AF34" s="339" t="s">
        <v>45</v>
      </c>
      <c r="AG34" s="338"/>
      <c r="AH34" s="338"/>
    </row>
    <row r="35" ht="15.75" customHeight="1">
      <c r="A35" s="341" t="s">
        <v>265</v>
      </c>
      <c r="B35" s="339" t="s">
        <v>156</v>
      </c>
      <c r="C35" s="339" t="s">
        <v>43</v>
      </c>
      <c r="D35" s="339" t="s">
        <v>43</v>
      </c>
      <c r="E35" s="339" t="s">
        <v>43</v>
      </c>
      <c r="F35" s="339" t="s">
        <v>53</v>
      </c>
      <c r="G35" s="339" t="s">
        <v>53</v>
      </c>
      <c r="H35" s="339" t="s">
        <v>47</v>
      </c>
      <c r="I35" s="338" t="s">
        <v>47</v>
      </c>
      <c r="J35" s="338" t="s">
        <v>47</v>
      </c>
      <c r="K35" s="338" t="s">
        <v>43</v>
      </c>
      <c r="L35" s="338" t="s">
        <v>43</v>
      </c>
      <c r="M35" s="339" t="s">
        <v>53</v>
      </c>
      <c r="N35" s="339" t="s">
        <v>53</v>
      </c>
      <c r="O35" s="339" t="s">
        <v>47</v>
      </c>
      <c r="P35" s="339" t="s">
        <v>47</v>
      </c>
      <c r="Q35" s="339" t="s">
        <v>43</v>
      </c>
      <c r="R35" s="339" t="s">
        <v>43</v>
      </c>
      <c r="S35" s="338" t="s">
        <v>43</v>
      </c>
      <c r="T35" s="339" t="s">
        <v>53</v>
      </c>
      <c r="U35" s="339" t="s">
        <v>53</v>
      </c>
      <c r="V35" s="339" t="s">
        <v>47</v>
      </c>
      <c r="W35" s="339" t="s">
        <v>47</v>
      </c>
      <c r="X35" s="339" t="s">
        <v>47</v>
      </c>
      <c r="Y35" s="339" t="s">
        <v>43</v>
      </c>
      <c r="Z35" s="339" t="s">
        <v>43</v>
      </c>
      <c r="AA35" s="339" t="s">
        <v>53</v>
      </c>
      <c r="AB35" s="339" t="s">
        <v>53</v>
      </c>
      <c r="AC35" s="339" t="s">
        <v>47</v>
      </c>
      <c r="AD35" s="339" t="s">
        <v>47</v>
      </c>
      <c r="AE35" s="339" t="s">
        <v>47</v>
      </c>
      <c r="AF35" s="339" t="s">
        <v>43</v>
      </c>
      <c r="AG35" s="338"/>
      <c r="AH35" s="338"/>
    </row>
    <row r="36" ht="15.75" customHeight="1">
      <c r="A36" s="341" t="s">
        <v>266</v>
      </c>
      <c r="B36" s="339" t="s">
        <v>159</v>
      </c>
      <c r="C36" s="339" t="s">
        <v>47</v>
      </c>
      <c r="D36" s="339" t="s">
        <v>45</v>
      </c>
      <c r="E36" s="339" t="s">
        <v>44</v>
      </c>
      <c r="F36" s="339" t="s">
        <v>43</v>
      </c>
      <c r="G36" s="339" t="s">
        <v>49</v>
      </c>
      <c r="H36" s="339" t="s">
        <v>53</v>
      </c>
      <c r="I36" s="339" t="s">
        <v>53</v>
      </c>
      <c r="J36" s="339" t="s">
        <v>46</v>
      </c>
      <c r="K36" s="339" t="s">
        <v>45</v>
      </c>
      <c r="L36" s="339" t="s">
        <v>45</v>
      </c>
      <c r="M36" s="339" t="s">
        <v>43</v>
      </c>
      <c r="N36" s="339" t="s">
        <v>49</v>
      </c>
      <c r="O36" s="339" t="s">
        <v>53</v>
      </c>
      <c r="P36" s="339" t="s">
        <v>53</v>
      </c>
      <c r="Q36" s="339" t="s">
        <v>47</v>
      </c>
      <c r="R36" s="339" t="s">
        <v>46</v>
      </c>
      <c r="S36" s="339" t="s">
        <v>45</v>
      </c>
      <c r="T36" s="339" t="s">
        <v>44</v>
      </c>
      <c r="U36" s="339" t="s">
        <v>44</v>
      </c>
      <c r="V36" s="339" t="s">
        <v>53</v>
      </c>
      <c r="W36" s="339" t="s">
        <v>53</v>
      </c>
      <c r="X36" s="339" t="s">
        <v>47</v>
      </c>
      <c r="Y36" s="339" t="s">
        <v>45</v>
      </c>
      <c r="Z36" s="339" t="s">
        <v>49</v>
      </c>
      <c r="AA36" s="339" t="s">
        <v>49</v>
      </c>
      <c r="AB36" s="339" t="s">
        <v>48</v>
      </c>
      <c r="AC36" s="339" t="s">
        <v>53</v>
      </c>
      <c r="AD36" s="339" t="s">
        <v>53</v>
      </c>
      <c r="AE36" s="339" t="s">
        <v>46</v>
      </c>
      <c r="AF36" s="339" t="s">
        <v>47</v>
      </c>
      <c r="AG36" s="338"/>
      <c r="AH36" s="338"/>
    </row>
    <row r="37" ht="15.75" customHeight="1">
      <c r="A37" s="341" t="s">
        <v>267</v>
      </c>
      <c r="B37" s="339" t="s">
        <v>162</v>
      </c>
      <c r="C37" s="339" t="s">
        <v>44</v>
      </c>
      <c r="D37" s="338" t="s">
        <v>45</v>
      </c>
      <c r="E37" s="339" t="s">
        <v>49</v>
      </c>
      <c r="F37" s="339" t="s">
        <v>53</v>
      </c>
      <c r="G37" s="339" t="s">
        <v>53</v>
      </c>
      <c r="H37" s="339" t="s">
        <v>46</v>
      </c>
      <c r="I37" s="339" t="s">
        <v>45</v>
      </c>
      <c r="J37" s="339" t="s">
        <v>44</v>
      </c>
      <c r="K37" s="339" t="s">
        <v>44</v>
      </c>
      <c r="L37" s="338" t="s">
        <v>43</v>
      </c>
      <c r="M37" s="339" t="s">
        <v>53</v>
      </c>
      <c r="N37" s="339" t="s">
        <v>53</v>
      </c>
      <c r="O37" s="339" t="s">
        <v>46</v>
      </c>
      <c r="P37" s="339" t="s">
        <v>46</v>
      </c>
      <c r="Q37" s="339" t="s">
        <v>46</v>
      </c>
      <c r="R37" s="339" t="s">
        <v>45</v>
      </c>
      <c r="S37" s="339" t="s">
        <v>49</v>
      </c>
      <c r="T37" s="339" t="s">
        <v>53</v>
      </c>
      <c r="U37" s="339" t="s">
        <v>53</v>
      </c>
      <c r="V37" s="339" t="s">
        <v>49</v>
      </c>
      <c r="W37" s="339" t="s">
        <v>45</v>
      </c>
      <c r="X37" s="339" t="s">
        <v>45</v>
      </c>
      <c r="Y37" s="339" t="s">
        <v>44</v>
      </c>
      <c r="Z37" s="338" t="s">
        <v>43</v>
      </c>
      <c r="AA37" s="339" t="s">
        <v>53</v>
      </c>
      <c r="AB37" s="339" t="s">
        <v>53</v>
      </c>
      <c r="AC37" s="339" t="s">
        <v>46</v>
      </c>
      <c r="AD37" s="339" t="s">
        <v>45</v>
      </c>
      <c r="AE37" s="339" t="s">
        <v>43</v>
      </c>
      <c r="AF37" s="339" t="s">
        <v>43</v>
      </c>
      <c r="AG37" s="338"/>
      <c r="AH37" s="338"/>
    </row>
    <row r="38" ht="15.75" customHeight="1">
      <c r="A38" s="341" t="s">
        <v>268</v>
      </c>
      <c r="B38" s="339" t="s">
        <v>165</v>
      </c>
      <c r="C38" s="339" t="s">
        <v>45</v>
      </c>
      <c r="D38" s="339" t="s">
        <v>45</v>
      </c>
      <c r="E38" s="339" t="s">
        <v>45</v>
      </c>
      <c r="F38" s="339" t="s">
        <v>44</v>
      </c>
      <c r="G38" s="339" t="s">
        <v>43</v>
      </c>
      <c r="H38" s="339" t="s">
        <v>53</v>
      </c>
      <c r="I38" s="339" t="s">
        <v>53</v>
      </c>
      <c r="J38" s="339" t="s">
        <v>47</v>
      </c>
      <c r="K38" s="339" t="s">
        <v>45</v>
      </c>
      <c r="L38" s="339" t="s">
        <v>45</v>
      </c>
      <c r="M38" s="339" t="s">
        <v>45</v>
      </c>
      <c r="N38" s="339" t="s">
        <v>43</v>
      </c>
      <c r="O38" s="339" t="s">
        <v>53</v>
      </c>
      <c r="P38" s="339" t="s">
        <v>53</v>
      </c>
      <c r="Q38" s="339" t="s">
        <v>46</v>
      </c>
      <c r="R38" s="339" t="s">
        <v>43</v>
      </c>
      <c r="S38" s="339" t="s">
        <v>49</v>
      </c>
      <c r="T38" s="339" t="s">
        <v>45</v>
      </c>
      <c r="U38" s="339" t="s">
        <v>44</v>
      </c>
      <c r="V38" s="339" t="s">
        <v>53</v>
      </c>
      <c r="W38" s="339" t="s">
        <v>53</v>
      </c>
      <c r="X38" s="339" t="s">
        <v>46</v>
      </c>
      <c r="Y38" s="339" t="s">
        <v>45</v>
      </c>
      <c r="Z38" s="339" t="s">
        <v>45</v>
      </c>
      <c r="AA38" s="339" t="s">
        <v>43</v>
      </c>
      <c r="AB38" s="339" t="s">
        <v>43</v>
      </c>
      <c r="AC38" s="339" t="s">
        <v>53</v>
      </c>
      <c r="AD38" s="339" t="s">
        <v>53</v>
      </c>
      <c r="AE38" s="339" t="s">
        <v>47</v>
      </c>
      <c r="AF38" s="339" t="s">
        <v>47</v>
      </c>
      <c r="AG38" s="338"/>
      <c r="AH38" s="338"/>
    </row>
    <row r="39" ht="15.75" customHeight="1">
      <c r="A39" s="341" t="s">
        <v>269</v>
      </c>
      <c r="B39" s="339" t="s">
        <v>168</v>
      </c>
      <c r="C39" s="339" t="s">
        <v>53</v>
      </c>
      <c r="D39" s="339" t="s">
        <v>53</v>
      </c>
      <c r="E39" s="339" t="s">
        <v>46</v>
      </c>
      <c r="F39" s="339" t="s">
        <v>45</v>
      </c>
      <c r="G39" s="339" t="s">
        <v>43</v>
      </c>
      <c r="H39" s="339" t="s">
        <v>43</v>
      </c>
      <c r="I39" s="339" t="s">
        <v>43</v>
      </c>
      <c r="J39" s="339" t="s">
        <v>53</v>
      </c>
      <c r="K39" s="339" t="s">
        <v>53</v>
      </c>
      <c r="L39" s="339" t="s">
        <v>46</v>
      </c>
      <c r="M39" s="339" t="s">
        <v>45</v>
      </c>
      <c r="N39" s="339" t="s">
        <v>45</v>
      </c>
      <c r="O39" s="339" t="s">
        <v>49</v>
      </c>
      <c r="P39" s="339" t="s">
        <v>43</v>
      </c>
      <c r="Q39" s="339" t="s">
        <v>53</v>
      </c>
      <c r="R39" s="339" t="s">
        <v>53</v>
      </c>
      <c r="S39" s="339" t="s">
        <v>46</v>
      </c>
      <c r="T39" s="339" t="s">
        <v>45</v>
      </c>
      <c r="U39" s="339" t="s">
        <v>45</v>
      </c>
      <c r="V39" s="339" t="s">
        <v>43</v>
      </c>
      <c r="W39" s="339" t="s">
        <v>43</v>
      </c>
      <c r="X39" s="339" t="s">
        <v>53</v>
      </c>
      <c r="Y39" s="339" t="s">
        <v>53</v>
      </c>
      <c r="Z39" s="339" t="s">
        <v>46</v>
      </c>
      <c r="AA39" s="339" t="s">
        <v>45</v>
      </c>
      <c r="AB39" s="339" t="s">
        <v>45</v>
      </c>
      <c r="AC39" s="339" t="s">
        <v>44</v>
      </c>
      <c r="AD39" s="339" t="s">
        <v>44</v>
      </c>
      <c r="AE39" s="339" t="s">
        <v>53</v>
      </c>
      <c r="AF39" s="339" t="s">
        <v>53</v>
      </c>
      <c r="AG39" s="338"/>
      <c r="AH39" s="338"/>
    </row>
    <row r="40" ht="15.75" customHeight="1">
      <c r="A40" s="341" t="s">
        <v>270</v>
      </c>
      <c r="B40" s="339" t="s">
        <v>171</v>
      </c>
      <c r="C40" s="339" t="s">
        <v>53</v>
      </c>
      <c r="D40" s="339" t="s">
        <v>47</v>
      </c>
      <c r="E40" s="338" t="s">
        <v>47</v>
      </c>
      <c r="F40" s="338" t="s">
        <v>45</v>
      </c>
      <c r="G40" s="338" t="s">
        <v>45</v>
      </c>
      <c r="H40" s="338" t="s">
        <v>45</v>
      </c>
      <c r="I40" s="339" t="s">
        <v>53</v>
      </c>
      <c r="J40" s="339" t="s">
        <v>53</v>
      </c>
      <c r="K40" s="339" t="s">
        <v>49</v>
      </c>
      <c r="L40" s="338" t="s">
        <v>47</v>
      </c>
      <c r="M40" s="338" t="s">
        <v>45</v>
      </c>
      <c r="N40" s="338" t="s">
        <v>45</v>
      </c>
      <c r="O40" s="338" t="s">
        <v>43</v>
      </c>
      <c r="P40" s="339" t="s">
        <v>53</v>
      </c>
      <c r="Q40" s="339" t="s">
        <v>53</v>
      </c>
      <c r="R40" s="339" t="s">
        <v>47</v>
      </c>
      <c r="S40" s="338" t="s">
        <v>45</v>
      </c>
      <c r="T40" s="338" t="s">
        <v>45</v>
      </c>
      <c r="U40" s="338" t="s">
        <v>45</v>
      </c>
      <c r="V40" s="338" t="s">
        <v>43</v>
      </c>
      <c r="W40" s="339" t="s">
        <v>53</v>
      </c>
      <c r="X40" s="339" t="s">
        <v>53</v>
      </c>
      <c r="Y40" s="339" t="s">
        <v>46</v>
      </c>
      <c r="Z40" s="338" t="s">
        <v>45</v>
      </c>
      <c r="AA40" s="338" t="s">
        <v>44</v>
      </c>
      <c r="AB40" s="339" t="s">
        <v>44</v>
      </c>
      <c r="AC40" s="339" t="s">
        <v>43</v>
      </c>
      <c r="AD40" s="339" t="s">
        <v>53</v>
      </c>
      <c r="AE40" s="339" t="s">
        <v>53</v>
      </c>
      <c r="AF40" s="339" t="s">
        <v>47</v>
      </c>
      <c r="AG40" s="338"/>
      <c r="AH40" s="338"/>
    </row>
    <row r="41" ht="15.75" customHeight="1">
      <c r="A41" s="341" t="s">
        <v>271</v>
      </c>
      <c r="B41" s="339" t="s">
        <v>174</v>
      </c>
      <c r="C41" s="339" t="s">
        <v>53</v>
      </c>
      <c r="D41" s="339" t="s">
        <v>47</v>
      </c>
      <c r="E41" s="339" t="s">
        <v>45</v>
      </c>
      <c r="F41" s="339" t="s">
        <v>45</v>
      </c>
      <c r="G41" s="339" t="s">
        <v>43</v>
      </c>
      <c r="H41" s="339" t="s">
        <v>49</v>
      </c>
      <c r="I41" s="339" t="s">
        <v>53</v>
      </c>
      <c r="J41" s="339" t="s">
        <v>53</v>
      </c>
      <c r="K41" s="339" t="s">
        <v>45</v>
      </c>
      <c r="L41" s="339" t="s">
        <v>45</v>
      </c>
      <c r="M41" s="339" t="s">
        <v>44</v>
      </c>
      <c r="N41" s="339" t="s">
        <v>43</v>
      </c>
      <c r="O41" s="339" t="s">
        <v>49</v>
      </c>
      <c r="P41" s="339" t="s">
        <v>53</v>
      </c>
      <c r="Q41" s="339" t="s">
        <v>53</v>
      </c>
      <c r="R41" s="339" t="s">
        <v>43</v>
      </c>
      <c r="S41" s="339" t="s">
        <v>43</v>
      </c>
      <c r="T41" s="339" t="s">
        <v>43</v>
      </c>
      <c r="U41" s="339" t="s">
        <v>49</v>
      </c>
      <c r="V41" s="339" t="s">
        <v>49</v>
      </c>
      <c r="W41" s="339" t="s">
        <v>53</v>
      </c>
      <c r="X41" s="339" t="s">
        <v>53</v>
      </c>
      <c r="Y41" s="338" t="s">
        <v>45</v>
      </c>
      <c r="Z41" s="339" t="s">
        <v>43</v>
      </c>
      <c r="AA41" s="339" t="s">
        <v>43</v>
      </c>
      <c r="AB41" s="339" t="s">
        <v>43</v>
      </c>
      <c r="AC41" s="339" t="s">
        <v>49</v>
      </c>
      <c r="AD41" s="339" t="s">
        <v>53</v>
      </c>
      <c r="AE41" s="339" t="s">
        <v>53</v>
      </c>
      <c r="AF41" s="339" t="s">
        <v>45</v>
      </c>
      <c r="AG41" s="338"/>
      <c r="AH41" s="338"/>
    </row>
    <row r="42" ht="15.75" customHeight="1">
      <c r="A42" s="341" t="s">
        <v>272</v>
      </c>
      <c r="B42" s="339" t="s">
        <v>177</v>
      </c>
      <c r="C42" s="339" t="s">
        <v>47</v>
      </c>
      <c r="D42" s="339" t="s">
        <v>47</v>
      </c>
      <c r="E42" s="339" t="s">
        <v>45</v>
      </c>
      <c r="F42" s="339" t="s">
        <v>43</v>
      </c>
      <c r="G42" s="339" t="s">
        <v>43</v>
      </c>
      <c r="H42" s="339" t="s">
        <v>53</v>
      </c>
      <c r="I42" s="339" t="s">
        <v>53</v>
      </c>
      <c r="J42" s="339" t="s">
        <v>47</v>
      </c>
      <c r="K42" s="339" t="s">
        <v>46</v>
      </c>
      <c r="L42" s="339" t="s">
        <v>44</v>
      </c>
      <c r="M42" s="339" t="s">
        <v>49</v>
      </c>
      <c r="N42" s="339" t="s">
        <v>49</v>
      </c>
      <c r="O42" s="339" t="s">
        <v>53</v>
      </c>
      <c r="P42" s="339" t="s">
        <v>53</v>
      </c>
      <c r="Q42" s="339" t="s">
        <v>49</v>
      </c>
      <c r="R42" s="339" t="s">
        <v>49</v>
      </c>
      <c r="S42" s="339" t="s">
        <v>49</v>
      </c>
      <c r="T42" s="339" t="s">
        <v>49</v>
      </c>
      <c r="U42" s="339" t="s">
        <v>43</v>
      </c>
      <c r="V42" s="339" t="s">
        <v>53</v>
      </c>
      <c r="W42" s="339" t="s">
        <v>53</v>
      </c>
      <c r="X42" s="338" t="s">
        <v>46</v>
      </c>
      <c r="Y42" s="338" t="s">
        <v>44</v>
      </c>
      <c r="Z42" s="339" t="s">
        <v>48</v>
      </c>
      <c r="AA42" s="339" t="s">
        <v>48</v>
      </c>
      <c r="AB42" s="339" t="s">
        <v>48</v>
      </c>
      <c r="AC42" s="339" t="s">
        <v>53</v>
      </c>
      <c r="AD42" s="339" t="s">
        <v>53</v>
      </c>
      <c r="AE42" s="339" t="s">
        <v>45</v>
      </c>
      <c r="AF42" s="339" t="s">
        <v>44</v>
      </c>
      <c r="AG42" s="338"/>
      <c r="AH42" s="338"/>
    </row>
    <row r="43" ht="15.75" customHeight="1">
      <c r="A43" s="340" t="s">
        <v>273</v>
      </c>
      <c r="B43" s="339" t="s">
        <v>180</v>
      </c>
      <c r="C43" s="339" t="s">
        <v>53</v>
      </c>
      <c r="D43" s="339" t="s">
        <v>49</v>
      </c>
      <c r="E43" s="339" t="s">
        <v>49</v>
      </c>
      <c r="F43" s="339" t="s">
        <v>49</v>
      </c>
      <c r="G43" s="338" t="s">
        <v>44</v>
      </c>
      <c r="H43" s="338" t="s">
        <v>43</v>
      </c>
      <c r="I43" s="339" t="s">
        <v>53</v>
      </c>
      <c r="J43" s="339" t="s">
        <v>53</v>
      </c>
      <c r="K43" s="339" t="s">
        <v>47</v>
      </c>
      <c r="L43" s="338" t="s">
        <v>47</v>
      </c>
      <c r="M43" s="339" t="s">
        <v>45</v>
      </c>
      <c r="N43" s="338" t="s">
        <v>45</v>
      </c>
      <c r="O43" s="338" t="s">
        <v>43</v>
      </c>
      <c r="P43" s="339" t="s">
        <v>53</v>
      </c>
      <c r="Q43" s="339" t="s">
        <v>53</v>
      </c>
      <c r="R43" s="339" t="s">
        <v>47</v>
      </c>
      <c r="S43" s="338" t="s">
        <v>47</v>
      </c>
      <c r="T43" s="338" t="s">
        <v>45</v>
      </c>
      <c r="U43" s="339" t="s">
        <v>43</v>
      </c>
      <c r="V43" s="339" t="s">
        <v>43</v>
      </c>
      <c r="W43" s="339" t="s">
        <v>53</v>
      </c>
      <c r="X43" s="339" t="s">
        <v>53</v>
      </c>
      <c r="Y43" s="338" t="s">
        <v>47</v>
      </c>
      <c r="Z43" s="339" t="s">
        <v>47</v>
      </c>
      <c r="AA43" s="339" t="s">
        <v>45</v>
      </c>
      <c r="AB43" s="338" t="s">
        <v>44</v>
      </c>
      <c r="AC43" s="339" t="s">
        <v>45</v>
      </c>
      <c r="AD43" s="339" t="s">
        <v>53</v>
      </c>
      <c r="AE43" s="339" t="s">
        <v>53</v>
      </c>
      <c r="AF43" s="339" t="s">
        <v>49</v>
      </c>
      <c r="AG43" s="338"/>
      <c r="AH43" s="338"/>
    </row>
    <row r="44" ht="15.75" customHeight="1">
      <c r="A44" s="340" t="s">
        <v>274</v>
      </c>
      <c r="B44" s="339" t="s">
        <v>275</v>
      </c>
      <c r="C44" s="339" t="s">
        <v>47</v>
      </c>
      <c r="D44" s="339" t="s">
        <v>46</v>
      </c>
      <c r="E44" s="338" t="s">
        <v>45</v>
      </c>
      <c r="F44" s="338" t="s">
        <v>45</v>
      </c>
      <c r="G44" s="338" t="s">
        <v>43</v>
      </c>
      <c r="H44" s="339" t="s">
        <v>53</v>
      </c>
      <c r="I44" s="339" t="s">
        <v>53</v>
      </c>
      <c r="J44" s="339" t="s">
        <v>47</v>
      </c>
      <c r="K44" s="339" t="s">
        <v>47</v>
      </c>
      <c r="L44" s="338" t="s">
        <v>45</v>
      </c>
      <c r="M44" s="338" t="s">
        <v>43</v>
      </c>
      <c r="N44" s="338" t="s">
        <v>43</v>
      </c>
      <c r="O44" s="339" t="s">
        <v>53</v>
      </c>
      <c r="P44" s="339" t="s">
        <v>53</v>
      </c>
      <c r="Q44" s="339" t="s">
        <v>47</v>
      </c>
      <c r="R44" s="339" t="s">
        <v>46</v>
      </c>
      <c r="S44" s="338" t="s">
        <v>45</v>
      </c>
      <c r="T44" s="338" t="s">
        <v>44</v>
      </c>
      <c r="U44" s="339" t="s">
        <v>43</v>
      </c>
      <c r="V44" s="339" t="s">
        <v>53</v>
      </c>
      <c r="W44" s="339" t="s">
        <v>53</v>
      </c>
      <c r="X44" s="338" t="s">
        <v>45</v>
      </c>
      <c r="Y44" s="338" t="s">
        <v>46</v>
      </c>
      <c r="Z44" s="339" t="s">
        <v>45</v>
      </c>
      <c r="AA44" s="339" t="s">
        <v>48</v>
      </c>
      <c r="AB44" s="339" t="s">
        <v>48</v>
      </c>
      <c r="AC44" s="339" t="s">
        <v>53</v>
      </c>
      <c r="AD44" s="339" t="s">
        <v>53</v>
      </c>
      <c r="AE44" s="339" t="s">
        <v>47</v>
      </c>
      <c r="AF44" s="339" t="s">
        <v>45</v>
      </c>
      <c r="AG44" s="338"/>
      <c r="AH44" s="338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342" t="str">
        <f t="array" ref="A1:AE11">'ORIGIN MONTH 7'!B48:AF58</f>
        <v>Shift</v>
      </c>
      <c r="B1" s="343" t="s">
        <v>8</v>
      </c>
      <c r="C1" s="344" t="s">
        <v>9</v>
      </c>
      <c r="D1" s="345" t="s">
        <v>10</v>
      </c>
      <c r="E1" s="343" t="s">
        <v>11</v>
      </c>
      <c r="F1" s="344" t="s">
        <v>12</v>
      </c>
      <c r="G1" s="344" t="s">
        <v>13</v>
      </c>
      <c r="H1" s="344" t="s">
        <v>7</v>
      </c>
      <c r="I1" s="344" t="s">
        <v>8</v>
      </c>
      <c r="J1" s="344" t="s">
        <v>9</v>
      </c>
      <c r="K1" s="345" t="s">
        <v>10</v>
      </c>
      <c r="L1" s="343" t="s">
        <v>11</v>
      </c>
      <c r="M1" s="344" t="s">
        <v>12</v>
      </c>
      <c r="N1" s="344" t="s">
        <v>13</v>
      </c>
      <c r="O1" s="344" t="s">
        <v>7</v>
      </c>
      <c r="P1" s="344" t="s">
        <v>8</v>
      </c>
      <c r="Q1" s="344" t="s">
        <v>9</v>
      </c>
      <c r="R1" s="345" t="s">
        <v>10</v>
      </c>
      <c r="S1" s="343" t="s">
        <v>11</v>
      </c>
      <c r="T1" s="344" t="s">
        <v>12</v>
      </c>
      <c r="U1" s="344" t="s">
        <v>13</v>
      </c>
      <c r="V1" s="344" t="s">
        <v>7</v>
      </c>
      <c r="W1" s="344" t="s">
        <v>8</v>
      </c>
      <c r="X1" s="344" t="s">
        <v>9</v>
      </c>
      <c r="Y1" s="345" t="s">
        <v>10</v>
      </c>
      <c r="Z1" s="343" t="s">
        <v>11</v>
      </c>
      <c r="AA1" s="344" t="s">
        <v>12</v>
      </c>
      <c r="AB1" s="344" t="s">
        <v>13</v>
      </c>
      <c r="AC1" s="344" t="s">
        <v>7</v>
      </c>
      <c r="AD1" s="344" t="s">
        <v>8</v>
      </c>
      <c r="AE1" s="345" t="s">
        <v>9</v>
      </c>
    </row>
    <row r="2">
      <c r="A2" s="346" t="s">
        <v>277</v>
      </c>
      <c r="B2" s="347" t="s">
        <v>14</v>
      </c>
      <c r="C2" s="339" t="s">
        <v>15</v>
      </c>
      <c r="D2" s="348" t="s">
        <v>16</v>
      </c>
      <c r="E2" s="347" t="s">
        <v>230</v>
      </c>
      <c r="F2" s="339" t="s">
        <v>231</v>
      </c>
      <c r="G2" s="339" t="s">
        <v>17</v>
      </c>
      <c r="H2" s="339" t="s">
        <v>18</v>
      </c>
      <c r="I2" s="339" t="s">
        <v>19</v>
      </c>
      <c r="J2" s="339" t="s">
        <v>20</v>
      </c>
      <c r="K2" s="348" t="s">
        <v>21</v>
      </c>
      <c r="L2" s="347" t="s">
        <v>22</v>
      </c>
      <c r="M2" s="339" t="s">
        <v>23</v>
      </c>
      <c r="N2" s="339" t="s">
        <v>24</v>
      </c>
      <c r="O2" s="339" t="s">
        <v>25</v>
      </c>
      <c r="P2" s="339" t="s">
        <v>26</v>
      </c>
      <c r="Q2" s="339" t="s">
        <v>27</v>
      </c>
      <c r="R2" s="348" t="s">
        <v>28</v>
      </c>
      <c r="S2" s="347" t="s">
        <v>29</v>
      </c>
      <c r="T2" s="339" t="s">
        <v>30</v>
      </c>
      <c r="U2" s="339" t="s">
        <v>31</v>
      </c>
      <c r="V2" s="339" t="s">
        <v>32</v>
      </c>
      <c r="W2" s="339" t="s">
        <v>33</v>
      </c>
      <c r="X2" s="339" t="s">
        <v>34</v>
      </c>
      <c r="Y2" s="348" t="s">
        <v>35</v>
      </c>
      <c r="Z2" s="347" t="s">
        <v>36</v>
      </c>
      <c r="AA2" s="339" t="s">
        <v>37</v>
      </c>
      <c r="AB2" s="339" t="s">
        <v>38</v>
      </c>
      <c r="AC2" s="339" t="s">
        <v>39</v>
      </c>
      <c r="AD2" s="339" t="s">
        <v>40</v>
      </c>
      <c r="AE2" s="348" t="s">
        <v>41</v>
      </c>
    </row>
    <row r="3">
      <c r="A3" s="346" t="s">
        <v>47</v>
      </c>
      <c r="B3" s="349">
        <v>6.0</v>
      </c>
      <c r="C3" s="338">
        <v>6.0</v>
      </c>
      <c r="D3" s="350">
        <v>5.0</v>
      </c>
      <c r="E3" s="349">
        <v>5.0</v>
      </c>
      <c r="F3" s="338">
        <v>5.0</v>
      </c>
      <c r="G3" s="338">
        <v>6.0</v>
      </c>
      <c r="H3" s="338">
        <v>5.0</v>
      </c>
      <c r="I3" s="338">
        <v>6.0</v>
      </c>
      <c r="J3" s="338">
        <v>6.0</v>
      </c>
      <c r="K3" s="350">
        <v>5.0</v>
      </c>
      <c r="L3" s="349">
        <v>6.0</v>
      </c>
      <c r="M3" s="338">
        <v>6.0</v>
      </c>
      <c r="N3" s="338">
        <v>5.0</v>
      </c>
      <c r="O3" s="338">
        <v>5.0</v>
      </c>
      <c r="P3" s="338">
        <v>6.0</v>
      </c>
      <c r="Q3" s="338">
        <v>6.0</v>
      </c>
      <c r="R3" s="350">
        <v>5.0</v>
      </c>
      <c r="S3" s="349">
        <v>5.0</v>
      </c>
      <c r="T3" s="338">
        <v>5.0</v>
      </c>
      <c r="U3" s="338">
        <v>5.0</v>
      </c>
      <c r="V3" s="338">
        <v>5.0</v>
      </c>
      <c r="W3" s="338">
        <v>6.0</v>
      </c>
      <c r="X3" s="338">
        <v>6.0</v>
      </c>
      <c r="Y3" s="350">
        <v>5.0</v>
      </c>
      <c r="Z3" s="349">
        <v>5.0</v>
      </c>
      <c r="AA3" s="338">
        <v>5.0</v>
      </c>
      <c r="AB3" s="338">
        <v>5.0</v>
      </c>
      <c r="AC3" s="338">
        <v>5.0</v>
      </c>
      <c r="AD3" s="338">
        <v>6.0</v>
      </c>
      <c r="AE3" s="350">
        <v>6.0</v>
      </c>
    </row>
    <row r="4">
      <c r="A4" s="346" t="s">
        <v>46</v>
      </c>
      <c r="B4" s="349">
        <v>3.0</v>
      </c>
      <c r="C4" s="338">
        <v>3.0</v>
      </c>
      <c r="D4" s="350">
        <v>3.0</v>
      </c>
      <c r="E4" s="349">
        <v>3.0</v>
      </c>
      <c r="F4" s="338">
        <v>3.0</v>
      </c>
      <c r="G4" s="338">
        <v>3.0</v>
      </c>
      <c r="H4" s="338">
        <v>3.0</v>
      </c>
      <c r="I4" s="338">
        <v>3.0</v>
      </c>
      <c r="J4" s="338">
        <v>3.0</v>
      </c>
      <c r="K4" s="350">
        <v>3.0</v>
      </c>
      <c r="L4" s="349">
        <v>3.0</v>
      </c>
      <c r="M4" s="338">
        <v>3.0</v>
      </c>
      <c r="N4" s="338">
        <v>3.0</v>
      </c>
      <c r="O4" s="338">
        <v>3.0</v>
      </c>
      <c r="P4" s="338">
        <v>3.0</v>
      </c>
      <c r="Q4" s="338">
        <v>3.0</v>
      </c>
      <c r="R4" s="350">
        <v>3.0</v>
      </c>
      <c r="S4" s="349">
        <v>3.0</v>
      </c>
      <c r="T4" s="338">
        <v>3.0</v>
      </c>
      <c r="U4" s="338">
        <v>3.0</v>
      </c>
      <c r="V4" s="338">
        <v>3.0</v>
      </c>
      <c r="W4" s="338">
        <v>3.0</v>
      </c>
      <c r="X4" s="338">
        <v>3.0</v>
      </c>
      <c r="Y4" s="350">
        <v>3.0</v>
      </c>
      <c r="Z4" s="349">
        <v>3.0</v>
      </c>
      <c r="AA4" s="338">
        <v>3.0</v>
      </c>
      <c r="AB4" s="338">
        <v>3.0</v>
      </c>
      <c r="AC4" s="338">
        <v>3.0</v>
      </c>
      <c r="AD4" s="338">
        <v>3.0</v>
      </c>
      <c r="AE4" s="350">
        <v>3.0</v>
      </c>
    </row>
    <row r="5">
      <c r="A5" s="346" t="s">
        <v>45</v>
      </c>
      <c r="B5" s="349">
        <v>7.0</v>
      </c>
      <c r="C5" s="338">
        <v>7.0</v>
      </c>
      <c r="D5" s="350">
        <v>7.0</v>
      </c>
      <c r="E5" s="349">
        <v>7.0</v>
      </c>
      <c r="F5" s="338">
        <v>7.0</v>
      </c>
      <c r="G5" s="338">
        <v>7.0</v>
      </c>
      <c r="H5" s="338">
        <v>7.0</v>
      </c>
      <c r="I5" s="338">
        <v>7.0</v>
      </c>
      <c r="J5" s="338">
        <v>7.0</v>
      </c>
      <c r="K5" s="350">
        <v>7.0</v>
      </c>
      <c r="L5" s="349">
        <v>7.0</v>
      </c>
      <c r="M5" s="338">
        <v>7.0</v>
      </c>
      <c r="N5" s="338">
        <v>7.0</v>
      </c>
      <c r="O5" s="338">
        <v>7.0</v>
      </c>
      <c r="P5" s="338">
        <v>7.0</v>
      </c>
      <c r="Q5" s="338">
        <v>7.0</v>
      </c>
      <c r="R5" s="350">
        <v>7.0</v>
      </c>
      <c r="S5" s="349">
        <v>7.0</v>
      </c>
      <c r="T5" s="338">
        <v>7.0</v>
      </c>
      <c r="U5" s="338">
        <v>7.0</v>
      </c>
      <c r="V5" s="338">
        <v>7.0</v>
      </c>
      <c r="W5" s="338">
        <v>7.0</v>
      </c>
      <c r="X5" s="338">
        <v>7.0</v>
      </c>
      <c r="Y5" s="350">
        <v>7.0</v>
      </c>
      <c r="Z5" s="349">
        <v>7.0</v>
      </c>
      <c r="AA5" s="338">
        <v>7.0</v>
      </c>
      <c r="AB5" s="338">
        <v>7.0</v>
      </c>
      <c r="AC5" s="338">
        <v>7.0</v>
      </c>
      <c r="AD5" s="338">
        <v>7.0</v>
      </c>
      <c r="AE5" s="350">
        <v>7.0</v>
      </c>
    </row>
    <row r="6">
      <c r="A6" s="346" t="s">
        <v>44</v>
      </c>
      <c r="B6" s="349">
        <v>3.0</v>
      </c>
      <c r="C6" s="338">
        <v>3.0</v>
      </c>
      <c r="D6" s="350">
        <v>3.0</v>
      </c>
      <c r="E6" s="349">
        <v>3.0</v>
      </c>
      <c r="F6" s="338">
        <v>3.0</v>
      </c>
      <c r="G6" s="338">
        <v>3.0</v>
      </c>
      <c r="H6" s="338">
        <v>3.0</v>
      </c>
      <c r="I6" s="338">
        <v>3.0</v>
      </c>
      <c r="J6" s="338">
        <v>3.0</v>
      </c>
      <c r="K6" s="350">
        <v>3.0</v>
      </c>
      <c r="L6" s="349">
        <v>3.0</v>
      </c>
      <c r="M6" s="338">
        <v>3.0</v>
      </c>
      <c r="N6" s="338">
        <v>3.0</v>
      </c>
      <c r="O6" s="338">
        <v>3.0</v>
      </c>
      <c r="P6" s="338">
        <v>3.0</v>
      </c>
      <c r="Q6" s="338">
        <v>3.0</v>
      </c>
      <c r="R6" s="350">
        <v>3.0</v>
      </c>
      <c r="S6" s="349">
        <v>3.0</v>
      </c>
      <c r="T6" s="338">
        <v>3.0</v>
      </c>
      <c r="U6" s="338">
        <v>3.0</v>
      </c>
      <c r="V6" s="338">
        <v>3.0</v>
      </c>
      <c r="W6" s="338">
        <v>3.0</v>
      </c>
      <c r="X6" s="338">
        <v>3.0</v>
      </c>
      <c r="Y6" s="350">
        <v>3.0</v>
      </c>
      <c r="Z6" s="349">
        <v>3.0</v>
      </c>
      <c r="AA6" s="338">
        <v>3.0</v>
      </c>
      <c r="AB6" s="338">
        <v>3.0</v>
      </c>
      <c r="AC6" s="338">
        <v>3.0</v>
      </c>
      <c r="AD6" s="338">
        <v>3.0</v>
      </c>
      <c r="AE6" s="350">
        <v>3.0</v>
      </c>
    </row>
    <row r="7">
      <c r="A7" s="346" t="s">
        <v>43</v>
      </c>
      <c r="B7" s="349">
        <v>6.0</v>
      </c>
      <c r="C7" s="338">
        <v>6.0</v>
      </c>
      <c r="D7" s="350">
        <v>6.0</v>
      </c>
      <c r="E7" s="349">
        <v>6.0</v>
      </c>
      <c r="F7" s="338">
        <v>6.0</v>
      </c>
      <c r="G7" s="338">
        <v>6.0</v>
      </c>
      <c r="H7" s="338">
        <v>6.0</v>
      </c>
      <c r="I7" s="338">
        <v>6.0</v>
      </c>
      <c r="J7" s="338">
        <v>6.0</v>
      </c>
      <c r="K7" s="350">
        <v>6.0</v>
      </c>
      <c r="L7" s="349">
        <v>6.0</v>
      </c>
      <c r="M7" s="338">
        <v>6.0</v>
      </c>
      <c r="N7" s="338">
        <v>6.0</v>
      </c>
      <c r="O7" s="338">
        <v>6.0</v>
      </c>
      <c r="P7" s="338">
        <v>6.0</v>
      </c>
      <c r="Q7" s="338">
        <v>6.0</v>
      </c>
      <c r="R7" s="350">
        <v>6.0</v>
      </c>
      <c r="S7" s="349">
        <v>6.0</v>
      </c>
      <c r="T7" s="338">
        <v>6.0</v>
      </c>
      <c r="U7" s="338">
        <v>6.0</v>
      </c>
      <c r="V7" s="338">
        <v>6.0</v>
      </c>
      <c r="W7" s="338">
        <v>6.0</v>
      </c>
      <c r="X7" s="338">
        <v>6.0</v>
      </c>
      <c r="Y7" s="350">
        <v>6.0</v>
      </c>
      <c r="Z7" s="349">
        <v>6.0</v>
      </c>
      <c r="AA7" s="338">
        <v>6.0</v>
      </c>
      <c r="AB7" s="338">
        <v>6.0</v>
      </c>
      <c r="AC7" s="338">
        <v>6.0</v>
      </c>
      <c r="AD7" s="338">
        <v>6.0</v>
      </c>
      <c r="AE7" s="350">
        <v>6.0</v>
      </c>
    </row>
    <row r="8">
      <c r="A8" s="346" t="s">
        <v>53</v>
      </c>
      <c r="B8" s="349">
        <v>12.0</v>
      </c>
      <c r="C8" s="338">
        <v>13.0</v>
      </c>
      <c r="D8" s="350">
        <v>12.0</v>
      </c>
      <c r="E8" s="349">
        <v>12.0</v>
      </c>
      <c r="F8" s="338">
        <v>13.0</v>
      </c>
      <c r="G8" s="338">
        <v>11.0</v>
      </c>
      <c r="H8" s="338">
        <v>11.0</v>
      </c>
      <c r="I8" s="338">
        <v>12.0</v>
      </c>
      <c r="J8" s="338">
        <v>13.0</v>
      </c>
      <c r="K8" s="350">
        <v>12.0</v>
      </c>
      <c r="L8" s="349">
        <v>12.0</v>
      </c>
      <c r="M8" s="338">
        <v>13.0</v>
      </c>
      <c r="N8" s="338">
        <v>11.0</v>
      </c>
      <c r="O8" s="338">
        <v>11.0</v>
      </c>
      <c r="P8" s="338">
        <v>12.0</v>
      </c>
      <c r="Q8" s="338">
        <v>13.0</v>
      </c>
      <c r="R8" s="350">
        <v>12.0</v>
      </c>
      <c r="S8" s="349">
        <v>12.0</v>
      </c>
      <c r="T8" s="338">
        <v>13.0</v>
      </c>
      <c r="U8" s="338">
        <v>11.0</v>
      </c>
      <c r="V8" s="338">
        <v>11.0</v>
      </c>
      <c r="W8" s="338">
        <v>12.0</v>
      </c>
      <c r="X8" s="338">
        <v>13.0</v>
      </c>
      <c r="Y8" s="350">
        <v>12.0</v>
      </c>
      <c r="Z8" s="349">
        <v>12.0</v>
      </c>
      <c r="AA8" s="338">
        <v>13.0</v>
      </c>
      <c r="AB8" s="338">
        <v>11.0</v>
      </c>
      <c r="AC8" s="338">
        <v>11.0</v>
      </c>
      <c r="AD8" s="338">
        <v>12.0</v>
      </c>
      <c r="AE8" s="350">
        <v>13.0</v>
      </c>
    </row>
    <row r="9">
      <c r="A9" s="346" t="s">
        <v>48</v>
      </c>
      <c r="B9" s="349">
        <v>0.0</v>
      </c>
      <c r="C9" s="338">
        <v>0.0</v>
      </c>
      <c r="D9" s="350">
        <v>0.0</v>
      </c>
      <c r="E9" s="349">
        <v>1.0</v>
      </c>
      <c r="F9" s="338">
        <v>1.0</v>
      </c>
      <c r="G9" s="338">
        <v>3.0</v>
      </c>
      <c r="H9" s="338">
        <v>4.0</v>
      </c>
      <c r="I9" s="338">
        <v>2.0</v>
      </c>
      <c r="J9" s="338">
        <v>2.0</v>
      </c>
      <c r="K9" s="350">
        <v>4.0</v>
      </c>
      <c r="L9" s="349">
        <v>2.0</v>
      </c>
      <c r="M9" s="338">
        <v>0.0</v>
      </c>
      <c r="N9" s="338">
        <v>1.0</v>
      </c>
      <c r="O9" s="338">
        <v>2.0</v>
      </c>
      <c r="P9" s="338">
        <v>2.0</v>
      </c>
      <c r="Q9" s="338">
        <v>2.0</v>
      </c>
      <c r="R9" s="350">
        <v>2.0</v>
      </c>
      <c r="S9" s="349">
        <v>2.0</v>
      </c>
      <c r="T9" s="338">
        <v>0.0</v>
      </c>
      <c r="U9" s="338">
        <v>2.0</v>
      </c>
      <c r="V9" s="338">
        <v>5.0</v>
      </c>
      <c r="W9" s="338">
        <v>4.0</v>
      </c>
      <c r="X9" s="338">
        <v>1.0</v>
      </c>
      <c r="Y9" s="350">
        <v>2.0</v>
      </c>
      <c r="Z9" s="349">
        <v>2.0</v>
      </c>
      <c r="AA9" s="338">
        <v>3.0</v>
      </c>
      <c r="AB9" s="338">
        <v>4.0</v>
      </c>
      <c r="AC9" s="338">
        <v>5.0</v>
      </c>
      <c r="AD9" s="338">
        <v>3.0</v>
      </c>
      <c r="AE9" s="350">
        <v>2.0</v>
      </c>
    </row>
    <row r="10">
      <c r="A10" s="346" t="s">
        <v>49</v>
      </c>
      <c r="B10" s="349">
        <v>5.0</v>
      </c>
      <c r="C10" s="338">
        <v>4.0</v>
      </c>
      <c r="D10" s="350">
        <v>6.0</v>
      </c>
      <c r="E10" s="349">
        <v>5.0</v>
      </c>
      <c r="F10" s="338">
        <v>4.0</v>
      </c>
      <c r="G10" s="338">
        <v>3.0</v>
      </c>
      <c r="H10" s="338">
        <v>3.0</v>
      </c>
      <c r="I10" s="338">
        <v>3.0</v>
      </c>
      <c r="J10" s="338">
        <v>2.0</v>
      </c>
      <c r="K10" s="350">
        <v>2.0</v>
      </c>
      <c r="L10" s="349">
        <v>3.0</v>
      </c>
      <c r="M10" s="338">
        <v>4.0</v>
      </c>
      <c r="N10" s="338">
        <v>6.0</v>
      </c>
      <c r="O10" s="338">
        <v>4.0</v>
      </c>
      <c r="P10" s="338">
        <v>2.0</v>
      </c>
      <c r="Q10" s="338">
        <v>1.0</v>
      </c>
      <c r="R10" s="350">
        <v>3.0</v>
      </c>
      <c r="S10" s="349">
        <v>3.0</v>
      </c>
      <c r="T10" s="338">
        <v>5.0</v>
      </c>
      <c r="U10" s="338">
        <v>5.0</v>
      </c>
      <c r="V10" s="338">
        <v>1.0</v>
      </c>
      <c r="W10" s="338">
        <v>0.0</v>
      </c>
      <c r="X10" s="338">
        <v>2.0</v>
      </c>
      <c r="Y10" s="350">
        <v>3.0</v>
      </c>
      <c r="Z10" s="349">
        <v>3.0</v>
      </c>
      <c r="AA10" s="338">
        <v>2.0</v>
      </c>
      <c r="AB10" s="338">
        <v>3.0</v>
      </c>
      <c r="AC10" s="338">
        <v>1.0</v>
      </c>
      <c r="AD10" s="338">
        <v>0.0</v>
      </c>
      <c r="AE10" s="350">
        <v>1.0</v>
      </c>
    </row>
    <row r="11">
      <c r="A11" s="351" t="s">
        <v>183</v>
      </c>
      <c r="B11" s="352">
        <v>25.0</v>
      </c>
      <c r="C11" s="353">
        <v>25.0</v>
      </c>
      <c r="D11" s="354">
        <v>24.0</v>
      </c>
      <c r="E11" s="355">
        <v>24.0</v>
      </c>
      <c r="F11" s="356">
        <v>24.0</v>
      </c>
      <c r="G11" s="356">
        <v>25.0</v>
      </c>
      <c r="H11" s="356">
        <v>24.0</v>
      </c>
      <c r="I11" s="353">
        <v>25.0</v>
      </c>
      <c r="J11" s="353">
        <v>25.0</v>
      </c>
      <c r="K11" s="354">
        <v>24.0</v>
      </c>
      <c r="L11" s="355">
        <v>25.0</v>
      </c>
      <c r="M11" s="356">
        <v>25.0</v>
      </c>
      <c r="N11" s="356">
        <v>24.0</v>
      </c>
      <c r="O11" s="356">
        <v>24.0</v>
      </c>
      <c r="P11" s="353">
        <v>25.0</v>
      </c>
      <c r="Q11" s="353">
        <v>25.0</v>
      </c>
      <c r="R11" s="354">
        <v>24.0</v>
      </c>
      <c r="S11" s="355">
        <v>24.0</v>
      </c>
      <c r="T11" s="356">
        <v>24.0</v>
      </c>
      <c r="U11" s="356">
        <v>24.0</v>
      </c>
      <c r="V11" s="356">
        <v>24.0</v>
      </c>
      <c r="W11" s="353">
        <v>25.0</v>
      </c>
      <c r="X11" s="353">
        <v>25.0</v>
      </c>
      <c r="Y11" s="354">
        <v>24.0</v>
      </c>
      <c r="Z11" s="355">
        <v>24.0</v>
      </c>
      <c r="AA11" s="356">
        <v>24.0</v>
      </c>
      <c r="AB11" s="356">
        <v>24.0</v>
      </c>
      <c r="AC11" s="356">
        <v>24.0</v>
      </c>
      <c r="AD11" s="353">
        <v>25.0</v>
      </c>
      <c r="AE11" s="357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58" t="s">
        <v>278</v>
      </c>
      <c r="C1" s="358" t="s">
        <v>279</v>
      </c>
    </row>
    <row r="2">
      <c r="A2" s="163" t="s">
        <v>67</v>
      </c>
      <c r="B2" s="166">
        <v>46272.0</v>
      </c>
      <c r="C2" s="163" t="s">
        <v>280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38" t="str">
        <f t="array" ref="A1:AF44">'ORIGIN MONTH 7'!A3:AF46</f>
        <v>E .NAME</v>
      </c>
      <c r="B1" s="339" t="s">
        <v>5</v>
      </c>
      <c r="C1" s="339" t="s">
        <v>8</v>
      </c>
      <c r="D1" s="339" t="s">
        <v>9</v>
      </c>
      <c r="E1" s="339" t="s">
        <v>10</v>
      </c>
      <c r="F1" s="339" t="s">
        <v>11</v>
      </c>
      <c r="G1" s="339" t="s">
        <v>12</v>
      </c>
      <c r="H1" s="339" t="s">
        <v>13</v>
      </c>
      <c r="I1" s="339" t="s">
        <v>7</v>
      </c>
      <c r="J1" s="339" t="s">
        <v>8</v>
      </c>
      <c r="K1" s="339" t="s">
        <v>9</v>
      </c>
      <c r="L1" s="339" t="s">
        <v>10</v>
      </c>
      <c r="M1" s="339" t="s">
        <v>11</v>
      </c>
      <c r="N1" s="339" t="s">
        <v>12</v>
      </c>
      <c r="O1" s="339" t="s">
        <v>13</v>
      </c>
      <c r="P1" s="339" t="s">
        <v>7</v>
      </c>
      <c r="Q1" s="339" t="s">
        <v>8</v>
      </c>
      <c r="R1" s="339" t="s">
        <v>9</v>
      </c>
      <c r="S1" s="339" t="s">
        <v>10</v>
      </c>
      <c r="T1" s="339" t="s">
        <v>11</v>
      </c>
      <c r="U1" s="339" t="s">
        <v>12</v>
      </c>
      <c r="V1" s="339" t="s">
        <v>13</v>
      </c>
      <c r="W1" s="339" t="s">
        <v>7</v>
      </c>
      <c r="X1" s="339" t="s">
        <v>8</v>
      </c>
      <c r="Y1" s="339" t="s">
        <v>9</v>
      </c>
      <c r="Z1" s="339" t="s">
        <v>10</v>
      </c>
      <c r="AA1" s="339" t="s">
        <v>11</v>
      </c>
      <c r="AB1" s="339" t="s">
        <v>12</v>
      </c>
      <c r="AC1" s="339" t="s">
        <v>13</v>
      </c>
      <c r="AD1" s="339" t="s">
        <v>7</v>
      </c>
      <c r="AE1" s="339" t="s">
        <v>8</v>
      </c>
      <c r="AF1" s="339" t="s">
        <v>9</v>
      </c>
      <c r="AG1" s="340"/>
      <c r="AH1" s="340"/>
    </row>
    <row r="2">
      <c r="A2" s="338"/>
      <c r="B2" s="339"/>
      <c r="C2" s="339" t="s">
        <v>14</v>
      </c>
      <c r="D2" s="339" t="s">
        <v>15</v>
      </c>
      <c r="E2" s="339" t="s">
        <v>16</v>
      </c>
      <c r="F2" s="339" t="s">
        <v>230</v>
      </c>
      <c r="G2" s="339" t="s">
        <v>231</v>
      </c>
      <c r="H2" s="339" t="s">
        <v>17</v>
      </c>
      <c r="I2" s="339" t="s">
        <v>18</v>
      </c>
      <c r="J2" s="339" t="s">
        <v>19</v>
      </c>
      <c r="K2" s="339" t="s">
        <v>20</v>
      </c>
      <c r="L2" s="339" t="s">
        <v>21</v>
      </c>
      <c r="M2" s="339" t="s">
        <v>22</v>
      </c>
      <c r="N2" s="339" t="s">
        <v>23</v>
      </c>
      <c r="O2" s="339" t="s">
        <v>24</v>
      </c>
      <c r="P2" s="339" t="s">
        <v>25</v>
      </c>
      <c r="Q2" s="339" t="s">
        <v>26</v>
      </c>
      <c r="R2" s="339" t="s">
        <v>27</v>
      </c>
      <c r="S2" s="339" t="s">
        <v>28</v>
      </c>
      <c r="T2" s="339" t="s">
        <v>29</v>
      </c>
      <c r="U2" s="339" t="s">
        <v>30</v>
      </c>
      <c r="V2" s="339" t="s">
        <v>31</v>
      </c>
      <c r="W2" s="339" t="s">
        <v>32</v>
      </c>
      <c r="X2" s="339" t="s">
        <v>33</v>
      </c>
      <c r="Y2" s="339" t="s">
        <v>34</v>
      </c>
      <c r="Z2" s="339" t="s">
        <v>35</v>
      </c>
      <c r="AA2" s="339" t="s">
        <v>36</v>
      </c>
      <c r="AB2" s="339" t="s">
        <v>37</v>
      </c>
      <c r="AC2" s="339" t="s">
        <v>38</v>
      </c>
      <c r="AD2" s="339" t="s">
        <v>39</v>
      </c>
      <c r="AE2" s="339" t="s">
        <v>40</v>
      </c>
      <c r="AF2" s="339" t="s">
        <v>41</v>
      </c>
      <c r="AG2" s="340"/>
      <c r="AH2" s="340"/>
    </row>
    <row r="3">
      <c r="A3" s="341" t="s">
        <v>232</v>
      </c>
      <c r="B3" s="339" t="s">
        <v>59</v>
      </c>
      <c r="C3" s="339" t="s">
        <v>43</v>
      </c>
      <c r="D3" s="339" t="s">
        <v>53</v>
      </c>
      <c r="E3" s="339" t="s">
        <v>53</v>
      </c>
      <c r="F3" s="339" t="s">
        <v>47</v>
      </c>
      <c r="G3" s="339" t="s">
        <v>46</v>
      </c>
      <c r="H3" s="339" t="s">
        <v>46</v>
      </c>
      <c r="I3" s="339" t="s">
        <v>45</v>
      </c>
      <c r="J3" s="339" t="s">
        <v>43</v>
      </c>
      <c r="K3" s="339" t="s">
        <v>53</v>
      </c>
      <c r="L3" s="339" t="s">
        <v>53</v>
      </c>
      <c r="M3" s="339" t="s">
        <v>47</v>
      </c>
      <c r="N3" s="339" t="s">
        <v>45</v>
      </c>
      <c r="O3" s="339" t="s">
        <v>45</v>
      </c>
      <c r="P3" s="339" t="s">
        <v>45</v>
      </c>
      <c r="Q3" s="339" t="s">
        <v>44</v>
      </c>
      <c r="R3" s="339" t="s">
        <v>53</v>
      </c>
      <c r="S3" s="339" t="s">
        <v>53</v>
      </c>
      <c r="T3" s="339" t="s">
        <v>45</v>
      </c>
      <c r="U3" s="339" t="s">
        <v>45</v>
      </c>
      <c r="V3" s="339" t="s">
        <v>48</v>
      </c>
      <c r="W3" s="339" t="s">
        <v>48</v>
      </c>
      <c r="X3" s="339" t="s">
        <v>48</v>
      </c>
      <c r="Y3" s="339" t="s">
        <v>53</v>
      </c>
      <c r="Z3" s="339" t="s">
        <v>53</v>
      </c>
      <c r="AA3" s="339" t="s">
        <v>45</v>
      </c>
      <c r="AB3" s="339" t="s">
        <v>45</v>
      </c>
      <c r="AC3" s="339" t="s">
        <v>45</v>
      </c>
      <c r="AD3" s="339" t="s">
        <v>44</v>
      </c>
      <c r="AE3" s="339" t="s">
        <v>44</v>
      </c>
      <c r="AF3" s="339" t="s">
        <v>53</v>
      </c>
      <c r="AG3" s="338"/>
      <c r="AH3" s="338"/>
    </row>
    <row r="4">
      <c r="A4" s="341" t="s">
        <v>233</v>
      </c>
      <c r="B4" s="339" t="s">
        <v>62</v>
      </c>
      <c r="C4" s="339" t="s">
        <v>44</v>
      </c>
      <c r="D4" s="339" t="s">
        <v>53</v>
      </c>
      <c r="E4" s="339" t="s">
        <v>53</v>
      </c>
      <c r="F4" s="339" t="s">
        <v>49</v>
      </c>
      <c r="G4" s="339" t="s">
        <v>45</v>
      </c>
      <c r="H4" s="339" t="s">
        <v>45</v>
      </c>
      <c r="I4" s="339" t="s">
        <v>44</v>
      </c>
      <c r="J4" s="338" t="s">
        <v>44</v>
      </c>
      <c r="K4" s="339" t="s">
        <v>53</v>
      </c>
      <c r="L4" s="339" t="s">
        <v>53</v>
      </c>
      <c r="M4" s="339" t="s">
        <v>47</v>
      </c>
      <c r="N4" s="339" t="s">
        <v>47</v>
      </c>
      <c r="O4" s="339" t="s">
        <v>47</v>
      </c>
      <c r="P4" s="339" t="s">
        <v>45</v>
      </c>
      <c r="Q4" s="339" t="s">
        <v>45</v>
      </c>
      <c r="R4" s="339" t="s">
        <v>53</v>
      </c>
      <c r="S4" s="339" t="s">
        <v>53</v>
      </c>
      <c r="T4" s="339" t="s">
        <v>46</v>
      </c>
      <c r="U4" s="339" t="s">
        <v>46</v>
      </c>
      <c r="V4" s="339" t="s">
        <v>45</v>
      </c>
      <c r="W4" s="339" t="s">
        <v>44</v>
      </c>
      <c r="X4" s="339" t="s">
        <v>43</v>
      </c>
      <c r="Y4" s="339" t="s">
        <v>53</v>
      </c>
      <c r="Z4" s="339" t="s">
        <v>53</v>
      </c>
      <c r="AA4" s="339" t="s">
        <v>45</v>
      </c>
      <c r="AB4" s="339" t="s">
        <v>45</v>
      </c>
      <c r="AC4" s="339" t="s">
        <v>45</v>
      </c>
      <c r="AD4" s="339" t="s">
        <v>43</v>
      </c>
      <c r="AE4" s="339" t="s">
        <v>234</v>
      </c>
      <c r="AF4" s="339" t="s">
        <v>53</v>
      </c>
      <c r="AG4" s="338"/>
      <c r="AH4" s="338"/>
    </row>
    <row r="5">
      <c r="A5" s="341" t="s">
        <v>235</v>
      </c>
      <c r="B5" s="339" t="s">
        <v>65</v>
      </c>
      <c r="C5" s="338" t="s">
        <v>47</v>
      </c>
      <c r="D5" s="338" t="s">
        <v>43</v>
      </c>
      <c r="E5" s="339" t="s">
        <v>53</v>
      </c>
      <c r="F5" s="339" t="s">
        <v>53</v>
      </c>
      <c r="G5" s="339" t="s">
        <v>47</v>
      </c>
      <c r="H5" s="339" t="s">
        <v>47</v>
      </c>
      <c r="I5" s="339" t="s">
        <v>43</v>
      </c>
      <c r="J5" s="339" t="s">
        <v>43</v>
      </c>
      <c r="K5" s="339" t="s">
        <v>43</v>
      </c>
      <c r="L5" s="339" t="s">
        <v>53</v>
      </c>
      <c r="M5" s="339" t="s">
        <v>53</v>
      </c>
      <c r="N5" s="339" t="s">
        <v>47</v>
      </c>
      <c r="O5" s="339" t="s">
        <v>47</v>
      </c>
      <c r="P5" s="339" t="s">
        <v>47</v>
      </c>
      <c r="Q5" s="339" t="s">
        <v>43</v>
      </c>
      <c r="R5" s="339" t="s">
        <v>43</v>
      </c>
      <c r="S5" s="339" t="s">
        <v>53</v>
      </c>
      <c r="T5" s="339" t="s">
        <v>53</v>
      </c>
      <c r="U5" s="339" t="s">
        <v>47</v>
      </c>
      <c r="V5" s="339" t="s">
        <v>47</v>
      </c>
      <c r="W5" s="339" t="s">
        <v>43</v>
      </c>
      <c r="X5" s="339" t="s">
        <v>43</v>
      </c>
      <c r="Y5" s="339" t="s">
        <v>43</v>
      </c>
      <c r="Z5" s="339" t="s">
        <v>53</v>
      </c>
      <c r="AA5" s="339" t="s">
        <v>53</v>
      </c>
      <c r="AB5" s="339" t="s">
        <v>49</v>
      </c>
      <c r="AC5" s="339" t="s">
        <v>49</v>
      </c>
      <c r="AD5" s="339" t="s">
        <v>48</v>
      </c>
      <c r="AE5" s="339" t="s">
        <v>48</v>
      </c>
      <c r="AF5" s="339" t="s">
        <v>48</v>
      </c>
      <c r="AG5" s="338"/>
      <c r="AH5" s="338"/>
    </row>
    <row r="6">
      <c r="A6" s="341" t="s">
        <v>236</v>
      </c>
      <c r="B6" s="339" t="s">
        <v>68</v>
      </c>
      <c r="C6" s="338" t="s">
        <v>46</v>
      </c>
      <c r="D6" s="338" t="s">
        <v>46</v>
      </c>
      <c r="E6" s="339" t="s">
        <v>53</v>
      </c>
      <c r="F6" s="339" t="s">
        <v>53</v>
      </c>
      <c r="G6" s="339" t="s">
        <v>47</v>
      </c>
      <c r="H6" s="338" t="s">
        <v>47</v>
      </c>
      <c r="I6" s="338" t="s">
        <v>47</v>
      </c>
      <c r="J6" s="339" t="s">
        <v>47</v>
      </c>
      <c r="K6" s="339" t="s">
        <v>46</v>
      </c>
      <c r="L6" s="339" t="s">
        <v>53</v>
      </c>
      <c r="M6" s="339" t="s">
        <v>53</v>
      </c>
      <c r="N6" s="339" t="s">
        <v>47</v>
      </c>
      <c r="O6" s="339" t="s">
        <v>46</v>
      </c>
      <c r="P6" s="339" t="s">
        <v>49</v>
      </c>
      <c r="Q6" s="339" t="s">
        <v>48</v>
      </c>
      <c r="R6" s="339" t="s">
        <v>48</v>
      </c>
      <c r="S6" s="339" t="s">
        <v>53</v>
      </c>
      <c r="T6" s="339" t="s">
        <v>53</v>
      </c>
      <c r="U6" s="339" t="s">
        <v>47</v>
      </c>
      <c r="V6" s="339" t="s">
        <v>47</v>
      </c>
      <c r="W6" s="339" t="s">
        <v>46</v>
      </c>
      <c r="X6" s="339" t="s">
        <v>46</v>
      </c>
      <c r="Y6" s="339" t="s">
        <v>46</v>
      </c>
      <c r="Z6" s="339" t="s">
        <v>53</v>
      </c>
      <c r="AA6" s="339" t="s">
        <v>53</v>
      </c>
      <c r="AB6" s="339" t="s">
        <v>47</v>
      </c>
      <c r="AC6" s="339" t="s">
        <v>46</v>
      </c>
      <c r="AD6" s="339" t="s">
        <v>46</v>
      </c>
      <c r="AE6" s="339" t="s">
        <v>46</v>
      </c>
      <c r="AF6" s="339" t="s">
        <v>46</v>
      </c>
      <c r="AG6" s="338"/>
      <c r="AH6" s="338"/>
    </row>
    <row r="7">
      <c r="A7" s="341" t="s">
        <v>237</v>
      </c>
      <c r="B7" s="339" t="s">
        <v>71</v>
      </c>
      <c r="C7" s="339" t="s">
        <v>43</v>
      </c>
      <c r="D7" s="339" t="s">
        <v>53</v>
      </c>
      <c r="E7" s="339" t="s">
        <v>53</v>
      </c>
      <c r="F7" s="339" t="s">
        <v>49</v>
      </c>
      <c r="G7" s="339" t="s">
        <v>49</v>
      </c>
      <c r="H7" s="339" t="s">
        <v>48</v>
      </c>
      <c r="I7" s="339" t="s">
        <v>46</v>
      </c>
      <c r="J7" s="338" t="s">
        <v>45</v>
      </c>
      <c r="K7" s="339" t="s">
        <v>53</v>
      </c>
      <c r="L7" s="339" t="s">
        <v>53</v>
      </c>
      <c r="M7" s="339" t="s">
        <v>44</v>
      </c>
      <c r="N7" s="339" t="s">
        <v>44</v>
      </c>
      <c r="O7" s="339" t="s">
        <v>48</v>
      </c>
      <c r="P7" s="339" t="s">
        <v>44</v>
      </c>
      <c r="Q7" s="339" t="s">
        <v>43</v>
      </c>
      <c r="R7" s="339" t="s">
        <v>53</v>
      </c>
      <c r="S7" s="339" t="s">
        <v>53</v>
      </c>
      <c r="T7" s="339" t="s">
        <v>46</v>
      </c>
      <c r="U7" s="339" t="s">
        <v>45</v>
      </c>
      <c r="V7" s="339" t="s">
        <v>48</v>
      </c>
      <c r="W7" s="339" t="s">
        <v>48</v>
      </c>
      <c r="X7" s="339" t="s">
        <v>48</v>
      </c>
      <c r="Y7" s="339" t="s">
        <v>53</v>
      </c>
      <c r="Z7" s="339" t="s">
        <v>53</v>
      </c>
      <c r="AA7" s="339" t="s">
        <v>47</v>
      </c>
      <c r="AB7" s="339" t="s">
        <v>45</v>
      </c>
      <c r="AC7" s="339" t="s">
        <v>48</v>
      </c>
      <c r="AD7" s="339" t="s">
        <v>45</v>
      </c>
      <c r="AE7" s="338" t="s">
        <v>45</v>
      </c>
      <c r="AF7" s="339" t="s">
        <v>53</v>
      </c>
      <c r="AG7" s="338"/>
      <c r="AH7" s="338"/>
    </row>
    <row r="8">
      <c r="A8" s="341" t="s">
        <v>238</v>
      </c>
      <c r="B8" s="339" t="s">
        <v>74</v>
      </c>
      <c r="C8" s="339" t="s">
        <v>47</v>
      </c>
      <c r="D8" s="339" t="s">
        <v>43</v>
      </c>
      <c r="E8" s="339" t="s">
        <v>53</v>
      </c>
      <c r="F8" s="339" t="s">
        <v>53</v>
      </c>
      <c r="G8" s="339" t="s">
        <v>46</v>
      </c>
      <c r="H8" s="339" t="s">
        <v>49</v>
      </c>
      <c r="I8" s="339" t="s">
        <v>45</v>
      </c>
      <c r="J8" s="339" t="s">
        <v>45</v>
      </c>
      <c r="K8" s="339" t="s">
        <v>43</v>
      </c>
      <c r="L8" s="339" t="s">
        <v>53</v>
      </c>
      <c r="M8" s="339" t="s">
        <v>53</v>
      </c>
      <c r="N8" s="339" t="s">
        <v>49</v>
      </c>
      <c r="O8" s="339" t="s">
        <v>49</v>
      </c>
      <c r="P8" s="339" t="s">
        <v>46</v>
      </c>
      <c r="Q8" s="339" t="s">
        <v>47</v>
      </c>
      <c r="R8" s="339" t="s">
        <v>44</v>
      </c>
      <c r="S8" s="339" t="s">
        <v>53</v>
      </c>
      <c r="T8" s="339" t="s">
        <v>53</v>
      </c>
      <c r="U8" s="339" t="s">
        <v>49</v>
      </c>
      <c r="V8" s="339" t="s">
        <v>45</v>
      </c>
      <c r="W8" s="339" t="s">
        <v>45</v>
      </c>
      <c r="X8" s="339" t="s">
        <v>45</v>
      </c>
      <c r="Y8" s="339" t="s">
        <v>44</v>
      </c>
      <c r="Z8" s="339" t="s">
        <v>53</v>
      </c>
      <c r="AA8" s="339" t="s">
        <v>53</v>
      </c>
      <c r="AB8" s="339" t="s">
        <v>46</v>
      </c>
      <c r="AC8" s="339" t="s">
        <v>49</v>
      </c>
      <c r="AD8" s="339" t="s">
        <v>47</v>
      </c>
      <c r="AE8" s="339" t="s">
        <v>44</v>
      </c>
      <c r="AF8" s="339" t="s">
        <v>44</v>
      </c>
      <c r="AG8" s="338"/>
      <c r="AH8" s="338"/>
    </row>
    <row r="9">
      <c r="A9" s="341" t="s">
        <v>239</v>
      </c>
      <c r="B9" s="339" t="s">
        <v>77</v>
      </c>
      <c r="C9" s="339" t="s">
        <v>49</v>
      </c>
      <c r="D9" s="339" t="s">
        <v>53</v>
      </c>
      <c r="E9" s="339" t="s">
        <v>53</v>
      </c>
      <c r="F9" s="339" t="s">
        <v>47</v>
      </c>
      <c r="G9" s="339" t="s">
        <v>45</v>
      </c>
      <c r="H9" s="339" t="s">
        <v>44</v>
      </c>
      <c r="I9" s="339" t="s">
        <v>49</v>
      </c>
      <c r="J9" s="339" t="s">
        <v>49</v>
      </c>
      <c r="K9" s="339" t="s">
        <v>53</v>
      </c>
      <c r="L9" s="339" t="s">
        <v>53</v>
      </c>
      <c r="M9" s="339" t="s">
        <v>47</v>
      </c>
      <c r="N9" s="339" t="s">
        <v>47</v>
      </c>
      <c r="O9" s="339" t="s">
        <v>45</v>
      </c>
      <c r="P9" s="339" t="s">
        <v>44</v>
      </c>
      <c r="Q9" s="339" t="s">
        <v>48</v>
      </c>
      <c r="R9" s="339" t="s">
        <v>53</v>
      </c>
      <c r="S9" s="339" t="s">
        <v>53</v>
      </c>
      <c r="T9" s="339" t="s">
        <v>46</v>
      </c>
      <c r="U9" s="339" t="s">
        <v>46</v>
      </c>
      <c r="V9" s="339" t="s">
        <v>45</v>
      </c>
      <c r="W9" s="339" t="s">
        <v>44</v>
      </c>
      <c r="X9" s="339" t="s">
        <v>43</v>
      </c>
      <c r="Y9" s="339" t="s">
        <v>53</v>
      </c>
      <c r="Z9" s="339" t="s">
        <v>53</v>
      </c>
      <c r="AA9" s="339" t="s">
        <v>47</v>
      </c>
      <c r="AB9" s="339" t="s">
        <v>43</v>
      </c>
      <c r="AC9" s="339" t="s">
        <v>48</v>
      </c>
      <c r="AD9" s="339" t="s">
        <v>45</v>
      </c>
      <c r="AE9" s="339" t="s">
        <v>43</v>
      </c>
      <c r="AF9" s="339" t="s">
        <v>53</v>
      </c>
      <c r="AG9" s="338"/>
      <c r="AH9" s="338"/>
    </row>
    <row r="10">
      <c r="A10" s="341" t="s">
        <v>240</v>
      </c>
      <c r="B10" s="339" t="s">
        <v>80</v>
      </c>
      <c r="C10" s="339" t="s">
        <v>49</v>
      </c>
      <c r="D10" s="339" t="s">
        <v>47</v>
      </c>
      <c r="E10" s="339" t="s">
        <v>53</v>
      </c>
      <c r="F10" s="339" t="s">
        <v>53</v>
      </c>
      <c r="G10" s="339" t="s">
        <v>47</v>
      </c>
      <c r="H10" s="339" t="s">
        <v>47</v>
      </c>
      <c r="I10" s="339" t="s">
        <v>47</v>
      </c>
      <c r="J10" s="338" t="s">
        <v>43</v>
      </c>
      <c r="K10" s="338" t="s">
        <v>43</v>
      </c>
      <c r="L10" s="339" t="s">
        <v>53</v>
      </c>
      <c r="M10" s="339" t="s">
        <v>53</v>
      </c>
      <c r="N10" s="339" t="s">
        <v>47</v>
      </c>
      <c r="O10" s="339" t="s">
        <v>47</v>
      </c>
      <c r="P10" s="339" t="s">
        <v>43</v>
      </c>
      <c r="Q10" s="339" t="s">
        <v>43</v>
      </c>
      <c r="R10" s="339" t="s">
        <v>43</v>
      </c>
      <c r="S10" s="339" t="s">
        <v>53</v>
      </c>
      <c r="T10" s="339" t="s">
        <v>53</v>
      </c>
      <c r="U10" s="339" t="s">
        <v>47</v>
      </c>
      <c r="V10" s="339" t="s">
        <v>47</v>
      </c>
      <c r="W10" s="339" t="s">
        <v>47</v>
      </c>
      <c r="X10" s="339" t="s">
        <v>43</v>
      </c>
      <c r="Y10" s="339" t="s">
        <v>43</v>
      </c>
      <c r="Z10" s="339" t="s">
        <v>53</v>
      </c>
      <c r="AA10" s="339" t="s">
        <v>53</v>
      </c>
      <c r="AB10" s="339" t="s">
        <v>47</v>
      </c>
      <c r="AC10" s="339" t="s">
        <v>47</v>
      </c>
      <c r="AD10" s="339" t="s">
        <v>43</v>
      </c>
      <c r="AE10" s="339" t="s">
        <v>43</v>
      </c>
      <c r="AF10" s="339" t="s">
        <v>43</v>
      </c>
      <c r="AG10" s="338"/>
      <c r="AH10" s="338"/>
    </row>
    <row r="11">
      <c r="A11" s="341" t="s">
        <v>241</v>
      </c>
      <c r="B11" s="339" t="s">
        <v>83</v>
      </c>
      <c r="C11" s="339" t="s">
        <v>43</v>
      </c>
      <c r="D11" s="339" t="s">
        <v>53</v>
      </c>
      <c r="E11" s="339" t="s">
        <v>53</v>
      </c>
      <c r="F11" s="339" t="s">
        <v>47</v>
      </c>
      <c r="G11" s="339" t="s">
        <v>45</v>
      </c>
      <c r="H11" s="339" t="s">
        <v>45</v>
      </c>
      <c r="I11" s="339" t="s">
        <v>43</v>
      </c>
      <c r="J11" s="339" t="s">
        <v>43</v>
      </c>
      <c r="K11" s="339" t="s">
        <v>53</v>
      </c>
      <c r="L11" s="339" t="s">
        <v>53</v>
      </c>
      <c r="M11" s="339" t="s">
        <v>46</v>
      </c>
      <c r="N11" s="339" t="s">
        <v>46</v>
      </c>
      <c r="O11" s="339" t="s">
        <v>45</v>
      </c>
      <c r="P11" s="339" t="s">
        <v>45</v>
      </c>
      <c r="Q11" s="339" t="s">
        <v>44</v>
      </c>
      <c r="R11" s="339" t="s">
        <v>53</v>
      </c>
      <c r="S11" s="339" t="s">
        <v>53</v>
      </c>
      <c r="T11" s="339" t="s">
        <v>49</v>
      </c>
      <c r="U11" s="339" t="s">
        <v>49</v>
      </c>
      <c r="V11" s="339" t="s">
        <v>49</v>
      </c>
      <c r="W11" s="339" t="s">
        <v>48</v>
      </c>
      <c r="X11" s="339" t="s">
        <v>48</v>
      </c>
      <c r="Y11" s="339" t="s">
        <v>53</v>
      </c>
      <c r="Z11" s="339" t="s">
        <v>53</v>
      </c>
      <c r="AA11" s="339" t="s">
        <v>46</v>
      </c>
      <c r="AB11" s="339" t="s">
        <v>46</v>
      </c>
      <c r="AC11" s="339" t="s">
        <v>47</v>
      </c>
      <c r="AD11" s="339" t="s">
        <v>44</v>
      </c>
      <c r="AE11" s="339" t="s">
        <v>43</v>
      </c>
      <c r="AF11" s="339" t="s">
        <v>53</v>
      </c>
      <c r="AG11" s="338"/>
      <c r="AH11" s="338"/>
    </row>
    <row r="12">
      <c r="A12" s="341" t="s">
        <v>242</v>
      </c>
      <c r="B12" s="339" t="s">
        <v>86</v>
      </c>
      <c r="C12" s="339" t="s">
        <v>45</v>
      </c>
      <c r="D12" s="339" t="s">
        <v>43</v>
      </c>
      <c r="E12" s="339" t="s">
        <v>53</v>
      </c>
      <c r="F12" s="339" t="s">
        <v>53</v>
      </c>
      <c r="G12" s="339" t="s">
        <v>48</v>
      </c>
      <c r="H12" s="339" t="s">
        <v>48</v>
      </c>
      <c r="I12" s="339" t="s">
        <v>48</v>
      </c>
      <c r="J12" s="339" t="s">
        <v>47</v>
      </c>
      <c r="K12" s="339" t="s">
        <v>43</v>
      </c>
      <c r="L12" s="339" t="s">
        <v>53</v>
      </c>
      <c r="M12" s="339" t="s">
        <v>53</v>
      </c>
      <c r="N12" s="339" t="s">
        <v>45</v>
      </c>
      <c r="O12" s="339" t="s">
        <v>45</v>
      </c>
      <c r="P12" s="339" t="s">
        <v>45</v>
      </c>
      <c r="Q12" s="339" t="s">
        <v>44</v>
      </c>
      <c r="R12" s="339" t="s">
        <v>48</v>
      </c>
      <c r="S12" s="339" t="s">
        <v>53</v>
      </c>
      <c r="T12" s="339" t="s">
        <v>53</v>
      </c>
      <c r="U12" s="339" t="s">
        <v>47</v>
      </c>
      <c r="V12" s="339" t="s">
        <v>47</v>
      </c>
      <c r="W12" s="339" t="s">
        <v>45</v>
      </c>
      <c r="X12" s="339" t="s">
        <v>44</v>
      </c>
      <c r="Y12" s="339" t="s">
        <v>43</v>
      </c>
      <c r="Z12" s="339" t="s">
        <v>53</v>
      </c>
      <c r="AA12" s="339" t="s">
        <v>53</v>
      </c>
      <c r="AB12" s="339" t="s">
        <v>47</v>
      </c>
      <c r="AC12" s="339" t="s">
        <v>47</v>
      </c>
      <c r="AD12" s="339" t="s">
        <v>47</v>
      </c>
      <c r="AE12" s="339" t="s">
        <v>48</v>
      </c>
      <c r="AF12" s="339" t="s">
        <v>48</v>
      </c>
      <c r="AG12" s="338"/>
      <c r="AH12" s="338"/>
    </row>
    <row r="13">
      <c r="A13" s="341" t="s">
        <v>243</v>
      </c>
      <c r="B13" s="339" t="s">
        <v>89</v>
      </c>
      <c r="C13" s="339" t="s">
        <v>44</v>
      </c>
      <c r="D13" s="339" t="s">
        <v>44</v>
      </c>
      <c r="E13" s="339" t="s">
        <v>43</v>
      </c>
      <c r="F13" s="339" t="s">
        <v>53</v>
      </c>
      <c r="G13" s="339" t="s">
        <v>53</v>
      </c>
      <c r="H13" s="339" t="s">
        <v>45</v>
      </c>
      <c r="I13" s="339" t="s">
        <v>45</v>
      </c>
      <c r="J13" s="339" t="s">
        <v>43</v>
      </c>
      <c r="K13" s="339" t="s">
        <v>48</v>
      </c>
      <c r="L13" s="339" t="s">
        <v>48</v>
      </c>
      <c r="M13" s="339" t="s">
        <v>53</v>
      </c>
      <c r="N13" s="339" t="s">
        <v>53</v>
      </c>
      <c r="O13" s="339" t="s">
        <v>45</v>
      </c>
      <c r="P13" s="339" t="s">
        <v>45</v>
      </c>
      <c r="Q13" s="339" t="s">
        <v>45</v>
      </c>
      <c r="R13" s="339" t="s">
        <v>44</v>
      </c>
      <c r="S13" s="339" t="s">
        <v>43</v>
      </c>
      <c r="T13" s="339" t="s">
        <v>53</v>
      </c>
      <c r="U13" s="339" t="s">
        <v>53</v>
      </c>
      <c r="V13" s="339" t="s">
        <v>45</v>
      </c>
      <c r="W13" s="339" t="s">
        <v>45</v>
      </c>
      <c r="X13" s="339" t="s">
        <v>44</v>
      </c>
      <c r="Y13" s="339" t="s">
        <v>43</v>
      </c>
      <c r="Z13" s="338" t="s">
        <v>43</v>
      </c>
      <c r="AA13" s="339" t="s">
        <v>53</v>
      </c>
      <c r="AB13" s="339" t="s">
        <v>53</v>
      </c>
      <c r="AC13" s="339" t="s">
        <v>48</v>
      </c>
      <c r="AD13" s="339" t="s">
        <v>45</v>
      </c>
      <c r="AE13" s="339" t="s">
        <v>45</v>
      </c>
      <c r="AF13" s="339" t="s">
        <v>45</v>
      </c>
      <c r="AG13" s="338"/>
      <c r="AH13" s="338"/>
    </row>
    <row r="14">
      <c r="A14" s="341" t="s">
        <v>244</v>
      </c>
      <c r="B14" s="339" t="s">
        <v>92</v>
      </c>
      <c r="C14" s="339" t="s">
        <v>49</v>
      </c>
      <c r="D14" s="339" t="s">
        <v>49</v>
      </c>
      <c r="E14" s="339" t="s">
        <v>49</v>
      </c>
      <c r="F14" s="339" t="s">
        <v>49</v>
      </c>
      <c r="G14" s="339" t="s">
        <v>49</v>
      </c>
      <c r="H14" s="339" t="s">
        <v>53</v>
      </c>
      <c r="I14" s="339" t="s">
        <v>53</v>
      </c>
      <c r="J14" s="339" t="s">
        <v>46</v>
      </c>
      <c r="K14" s="339" t="s">
        <v>46</v>
      </c>
      <c r="L14" s="339" t="s">
        <v>45</v>
      </c>
      <c r="M14" s="339" t="s">
        <v>44</v>
      </c>
      <c r="N14" s="339" t="s">
        <v>43</v>
      </c>
      <c r="O14" s="339" t="s">
        <v>53</v>
      </c>
      <c r="P14" s="339" t="s">
        <v>53</v>
      </c>
      <c r="Q14" s="339" t="s">
        <v>46</v>
      </c>
      <c r="R14" s="339" t="s">
        <v>46</v>
      </c>
      <c r="S14" s="339" t="s">
        <v>45</v>
      </c>
      <c r="T14" s="339" t="s">
        <v>43</v>
      </c>
      <c r="U14" s="339" t="s">
        <v>49</v>
      </c>
      <c r="V14" s="339" t="s">
        <v>53</v>
      </c>
      <c r="W14" s="339" t="s">
        <v>53</v>
      </c>
      <c r="X14" s="339" t="s">
        <v>47</v>
      </c>
      <c r="Y14" s="339" t="s">
        <v>47</v>
      </c>
      <c r="Z14" s="339" t="s">
        <v>44</v>
      </c>
      <c r="AA14" s="339" t="s">
        <v>49</v>
      </c>
      <c r="AB14" s="339" t="s">
        <v>43</v>
      </c>
      <c r="AC14" s="339" t="s">
        <v>53</v>
      </c>
      <c r="AD14" s="339" t="s">
        <v>53</v>
      </c>
      <c r="AE14" s="339" t="s">
        <v>47</v>
      </c>
      <c r="AF14" s="339" t="s">
        <v>47</v>
      </c>
      <c r="AG14" s="338"/>
      <c r="AH14" s="338"/>
    </row>
    <row r="15">
      <c r="A15" s="341" t="s">
        <v>245</v>
      </c>
      <c r="B15" s="339" t="s">
        <v>95</v>
      </c>
      <c r="C15" s="339" t="s">
        <v>53</v>
      </c>
      <c r="D15" s="339" t="s">
        <v>53</v>
      </c>
      <c r="E15" s="339" t="s">
        <v>47</v>
      </c>
      <c r="F15" s="339" t="s">
        <v>46</v>
      </c>
      <c r="G15" s="339" t="s">
        <v>44</v>
      </c>
      <c r="H15" s="339" t="s">
        <v>43</v>
      </c>
      <c r="I15" s="339" t="s">
        <v>43</v>
      </c>
      <c r="J15" s="339" t="s">
        <v>53</v>
      </c>
      <c r="K15" s="339" t="s">
        <v>53</v>
      </c>
      <c r="L15" s="339" t="s">
        <v>48</v>
      </c>
      <c r="M15" s="339" t="s">
        <v>45</v>
      </c>
      <c r="N15" s="339" t="s">
        <v>45</v>
      </c>
      <c r="O15" s="339" t="s">
        <v>45</v>
      </c>
      <c r="P15" s="339" t="s">
        <v>44</v>
      </c>
      <c r="Q15" s="339" t="s">
        <v>53</v>
      </c>
      <c r="R15" s="339" t="s">
        <v>53</v>
      </c>
      <c r="S15" s="339" t="s">
        <v>48</v>
      </c>
      <c r="T15" s="339" t="s">
        <v>47</v>
      </c>
      <c r="U15" s="339" t="s">
        <v>45</v>
      </c>
      <c r="V15" s="339" t="s">
        <v>45</v>
      </c>
      <c r="W15" s="339" t="s">
        <v>44</v>
      </c>
      <c r="X15" s="339" t="s">
        <v>53</v>
      </c>
      <c r="Y15" s="339" t="s">
        <v>53</v>
      </c>
      <c r="Z15" s="339" t="s">
        <v>47</v>
      </c>
      <c r="AA15" s="339" t="s">
        <v>47</v>
      </c>
      <c r="AB15" s="339" t="s">
        <v>47</v>
      </c>
      <c r="AC15" s="339" t="s">
        <v>48</v>
      </c>
      <c r="AD15" s="339" t="s">
        <v>48</v>
      </c>
      <c r="AE15" s="339" t="s">
        <v>53</v>
      </c>
      <c r="AF15" s="339" t="s">
        <v>53</v>
      </c>
      <c r="AG15" s="338"/>
      <c r="AH15" s="338"/>
    </row>
    <row r="16">
      <c r="A16" s="341" t="s">
        <v>246</v>
      </c>
      <c r="B16" s="339" t="s">
        <v>98</v>
      </c>
      <c r="C16" s="339" t="s">
        <v>43</v>
      </c>
      <c r="D16" s="339" t="s">
        <v>43</v>
      </c>
      <c r="E16" s="339" t="s">
        <v>53</v>
      </c>
      <c r="F16" s="339" t="s">
        <v>53</v>
      </c>
      <c r="G16" s="339" t="s">
        <v>47</v>
      </c>
      <c r="H16" s="339" t="s">
        <v>47</v>
      </c>
      <c r="I16" s="339" t="s">
        <v>45</v>
      </c>
      <c r="J16" s="339" t="s">
        <v>44</v>
      </c>
      <c r="K16" s="339" t="s">
        <v>43</v>
      </c>
      <c r="L16" s="339" t="s">
        <v>53</v>
      </c>
      <c r="M16" s="339" t="s">
        <v>53</v>
      </c>
      <c r="N16" s="339" t="s">
        <v>47</v>
      </c>
      <c r="O16" s="339" t="s">
        <v>47</v>
      </c>
      <c r="P16" s="339" t="s">
        <v>45</v>
      </c>
      <c r="Q16" s="339" t="s">
        <v>45</v>
      </c>
      <c r="R16" s="339" t="s">
        <v>43</v>
      </c>
      <c r="S16" s="339" t="s">
        <v>53</v>
      </c>
      <c r="T16" s="339" t="s">
        <v>53</v>
      </c>
      <c r="U16" s="339" t="s">
        <v>47</v>
      </c>
      <c r="V16" s="339" t="s">
        <v>46</v>
      </c>
      <c r="W16" s="339" t="s">
        <v>45</v>
      </c>
      <c r="X16" s="339" t="s">
        <v>45</v>
      </c>
      <c r="Y16" s="339" t="s">
        <v>43</v>
      </c>
      <c r="Z16" s="339" t="s">
        <v>53</v>
      </c>
      <c r="AA16" s="339" t="s">
        <v>53</v>
      </c>
      <c r="AB16" s="339" t="s">
        <v>47</v>
      </c>
      <c r="AC16" s="339" t="s">
        <v>45</v>
      </c>
      <c r="AD16" s="339" t="s">
        <v>45</v>
      </c>
      <c r="AE16" s="339" t="s">
        <v>44</v>
      </c>
      <c r="AF16" s="339" t="s">
        <v>43</v>
      </c>
      <c r="AG16" s="338"/>
      <c r="AH16" s="338"/>
    </row>
    <row r="17">
      <c r="A17" s="341" t="s">
        <v>247</v>
      </c>
      <c r="B17" s="339" t="s">
        <v>101</v>
      </c>
      <c r="C17" s="339" t="s">
        <v>53</v>
      </c>
      <c r="D17" s="339" t="s">
        <v>53</v>
      </c>
      <c r="E17" s="339" t="s">
        <v>47</v>
      </c>
      <c r="F17" s="339" t="s">
        <v>47</v>
      </c>
      <c r="G17" s="339" t="s">
        <v>45</v>
      </c>
      <c r="H17" s="339" t="s">
        <v>45</v>
      </c>
      <c r="I17" s="339" t="s">
        <v>48</v>
      </c>
      <c r="J17" s="339" t="s">
        <v>53</v>
      </c>
      <c r="K17" s="339" t="s">
        <v>53</v>
      </c>
      <c r="L17" s="339" t="s">
        <v>48</v>
      </c>
      <c r="M17" s="339" t="s">
        <v>47</v>
      </c>
      <c r="N17" s="339" t="s">
        <v>45</v>
      </c>
      <c r="O17" s="339" t="s">
        <v>43</v>
      </c>
      <c r="P17" s="339" t="s">
        <v>43</v>
      </c>
      <c r="Q17" s="339" t="s">
        <v>53</v>
      </c>
      <c r="R17" s="339" t="s">
        <v>53</v>
      </c>
      <c r="S17" s="339" t="s">
        <v>47</v>
      </c>
      <c r="T17" s="339" t="s">
        <v>47</v>
      </c>
      <c r="U17" s="339" t="s">
        <v>45</v>
      </c>
      <c r="V17" s="339" t="s">
        <v>45</v>
      </c>
      <c r="W17" s="339" t="s">
        <v>43</v>
      </c>
      <c r="X17" s="339" t="s">
        <v>53</v>
      </c>
      <c r="Y17" s="339" t="s">
        <v>53</v>
      </c>
      <c r="Z17" s="339" t="s">
        <v>48</v>
      </c>
      <c r="AA17" s="339" t="s">
        <v>47</v>
      </c>
      <c r="AB17" s="339" t="s">
        <v>46</v>
      </c>
      <c r="AC17" s="339" t="s">
        <v>46</v>
      </c>
      <c r="AD17" s="339" t="s">
        <v>46</v>
      </c>
      <c r="AE17" s="339" t="s">
        <v>53</v>
      </c>
      <c r="AF17" s="339" t="s">
        <v>53</v>
      </c>
      <c r="AG17" s="338"/>
      <c r="AH17" s="338"/>
    </row>
    <row r="18">
      <c r="A18" s="341" t="s">
        <v>248</v>
      </c>
      <c r="B18" s="339" t="s">
        <v>104</v>
      </c>
      <c r="C18" s="339" t="s">
        <v>53</v>
      </c>
      <c r="D18" s="339" t="s">
        <v>47</v>
      </c>
      <c r="E18" s="339" t="s">
        <v>47</v>
      </c>
      <c r="F18" s="339" t="s">
        <v>46</v>
      </c>
      <c r="G18" s="339" t="s">
        <v>45</v>
      </c>
      <c r="H18" s="339" t="s">
        <v>43</v>
      </c>
      <c r="I18" s="339" t="s">
        <v>53</v>
      </c>
      <c r="J18" s="339" t="s">
        <v>53</v>
      </c>
      <c r="K18" s="339" t="s">
        <v>47</v>
      </c>
      <c r="L18" s="339" t="s">
        <v>47</v>
      </c>
      <c r="M18" s="339" t="s">
        <v>48</v>
      </c>
      <c r="N18" s="339" t="s">
        <v>46</v>
      </c>
      <c r="O18" s="339" t="s">
        <v>44</v>
      </c>
      <c r="P18" s="339" t="s">
        <v>53</v>
      </c>
      <c r="Q18" s="339" t="s">
        <v>53</v>
      </c>
      <c r="R18" s="339" t="s">
        <v>47</v>
      </c>
      <c r="S18" s="339" t="s">
        <v>46</v>
      </c>
      <c r="T18" s="339" t="s">
        <v>48</v>
      </c>
      <c r="U18" s="339" t="s">
        <v>45</v>
      </c>
      <c r="V18" s="339" t="s">
        <v>44</v>
      </c>
      <c r="W18" s="339" t="s">
        <v>53</v>
      </c>
      <c r="X18" s="339" t="s">
        <v>53</v>
      </c>
      <c r="Y18" s="339" t="s">
        <v>47</v>
      </c>
      <c r="Z18" s="339" t="s">
        <v>46</v>
      </c>
      <c r="AA18" s="339" t="s">
        <v>46</v>
      </c>
      <c r="AB18" s="339" t="s">
        <v>44</v>
      </c>
      <c r="AC18" s="339" t="s">
        <v>43</v>
      </c>
      <c r="AD18" s="339" t="s">
        <v>53</v>
      </c>
      <c r="AE18" s="339" t="s">
        <v>53</v>
      </c>
      <c r="AF18" s="338" t="s">
        <v>47</v>
      </c>
      <c r="AG18" s="338"/>
      <c r="AH18" s="338"/>
    </row>
    <row r="19">
      <c r="A19" s="341" t="s">
        <v>249</v>
      </c>
      <c r="B19" s="339" t="s">
        <v>107</v>
      </c>
      <c r="C19" s="339" t="s">
        <v>43</v>
      </c>
      <c r="D19" s="339" t="s">
        <v>53</v>
      </c>
      <c r="E19" s="339" t="s">
        <v>43</v>
      </c>
      <c r="F19" s="339" t="s">
        <v>43</v>
      </c>
      <c r="G19" s="339" t="s">
        <v>53</v>
      </c>
      <c r="H19" s="339" t="s">
        <v>43</v>
      </c>
      <c r="I19" s="339" t="s">
        <v>43</v>
      </c>
      <c r="J19" s="339" t="s">
        <v>43</v>
      </c>
      <c r="K19" s="339" t="s">
        <v>53</v>
      </c>
      <c r="L19" s="338" t="s">
        <v>43</v>
      </c>
      <c r="M19" s="338" t="s">
        <v>43</v>
      </c>
      <c r="N19" s="339" t="s">
        <v>53</v>
      </c>
      <c r="O19" s="339" t="s">
        <v>43</v>
      </c>
      <c r="P19" s="339" t="s">
        <v>43</v>
      </c>
      <c r="Q19" s="339" t="s">
        <v>43</v>
      </c>
      <c r="R19" s="339" t="s">
        <v>53</v>
      </c>
      <c r="S19" s="339" t="s">
        <v>43</v>
      </c>
      <c r="T19" s="339" t="s">
        <v>43</v>
      </c>
      <c r="U19" s="339" t="s">
        <v>53</v>
      </c>
      <c r="V19" s="339" t="s">
        <v>43</v>
      </c>
      <c r="W19" s="339" t="s">
        <v>43</v>
      </c>
      <c r="X19" s="339" t="s">
        <v>43</v>
      </c>
      <c r="Y19" s="339" t="s">
        <v>53</v>
      </c>
      <c r="Z19" s="339" t="s">
        <v>43</v>
      </c>
      <c r="AA19" s="339" t="s">
        <v>43</v>
      </c>
      <c r="AB19" s="339" t="s">
        <v>53</v>
      </c>
      <c r="AC19" s="339" t="s">
        <v>43</v>
      </c>
      <c r="AD19" s="339" t="s">
        <v>43</v>
      </c>
      <c r="AE19" s="339" t="s">
        <v>43</v>
      </c>
      <c r="AF19" s="339" t="s">
        <v>53</v>
      </c>
      <c r="AG19" s="338"/>
      <c r="AH19" s="338"/>
    </row>
    <row r="20">
      <c r="A20" s="341" t="s">
        <v>250</v>
      </c>
      <c r="B20" s="339" t="s">
        <v>110</v>
      </c>
      <c r="C20" s="339" t="s">
        <v>53</v>
      </c>
      <c r="D20" s="339" t="s">
        <v>49</v>
      </c>
      <c r="E20" s="339" t="s">
        <v>47</v>
      </c>
      <c r="F20" s="339" t="s">
        <v>46</v>
      </c>
      <c r="G20" s="339" t="s">
        <v>45</v>
      </c>
      <c r="H20" s="339" t="s">
        <v>44</v>
      </c>
      <c r="I20" s="339" t="s">
        <v>53</v>
      </c>
      <c r="J20" s="339" t="s">
        <v>53</v>
      </c>
      <c r="K20" s="339" t="s">
        <v>47</v>
      </c>
      <c r="L20" s="339" t="s">
        <v>46</v>
      </c>
      <c r="M20" s="339" t="s">
        <v>46</v>
      </c>
      <c r="N20" s="339" t="s">
        <v>44</v>
      </c>
      <c r="O20" s="339" t="s">
        <v>49</v>
      </c>
      <c r="P20" s="339" t="s">
        <v>53</v>
      </c>
      <c r="Q20" s="339" t="s">
        <v>53</v>
      </c>
      <c r="R20" s="339" t="s">
        <v>47</v>
      </c>
      <c r="S20" s="339" t="s">
        <v>46</v>
      </c>
      <c r="T20" s="339" t="s">
        <v>44</v>
      </c>
      <c r="U20" s="339" t="s">
        <v>43</v>
      </c>
      <c r="V20" s="339" t="s">
        <v>49</v>
      </c>
      <c r="W20" s="339" t="s">
        <v>53</v>
      </c>
      <c r="X20" s="339" t="s">
        <v>53</v>
      </c>
      <c r="Y20" s="339" t="s">
        <v>47</v>
      </c>
      <c r="Z20" s="339" t="s">
        <v>46</v>
      </c>
      <c r="AA20" s="339" t="s">
        <v>46</v>
      </c>
      <c r="AB20" s="339" t="s">
        <v>45</v>
      </c>
      <c r="AC20" s="339" t="s">
        <v>43</v>
      </c>
      <c r="AD20" s="339" t="s">
        <v>53</v>
      </c>
      <c r="AE20" s="339" t="s">
        <v>53</v>
      </c>
      <c r="AF20" s="338" t="s">
        <v>46</v>
      </c>
      <c r="AG20" s="338"/>
      <c r="AH20" s="338"/>
    </row>
    <row r="21" ht="15.75" customHeight="1">
      <c r="A21" s="341" t="s">
        <v>251</v>
      </c>
      <c r="B21" s="339" t="s">
        <v>113</v>
      </c>
      <c r="C21" s="339" t="s">
        <v>53</v>
      </c>
      <c r="D21" s="339" t="s">
        <v>53</v>
      </c>
      <c r="E21" s="339" t="s">
        <v>49</v>
      </c>
      <c r="F21" s="339" t="s">
        <v>45</v>
      </c>
      <c r="G21" s="339" t="s">
        <v>43</v>
      </c>
      <c r="H21" s="339" t="s">
        <v>49</v>
      </c>
      <c r="I21" s="339" t="s">
        <v>49</v>
      </c>
      <c r="J21" s="339" t="s">
        <v>53</v>
      </c>
      <c r="K21" s="339" t="s">
        <v>53</v>
      </c>
      <c r="L21" s="339" t="s">
        <v>49</v>
      </c>
      <c r="M21" s="338" t="s">
        <v>45</v>
      </c>
      <c r="N21" s="338" t="s">
        <v>43</v>
      </c>
      <c r="O21" s="338" t="s">
        <v>43</v>
      </c>
      <c r="P21" s="339" t="s">
        <v>48</v>
      </c>
      <c r="Q21" s="339" t="s">
        <v>53</v>
      </c>
      <c r="R21" s="339" t="s">
        <v>53</v>
      </c>
      <c r="S21" s="338" t="s">
        <v>47</v>
      </c>
      <c r="T21" s="338" t="s">
        <v>47</v>
      </c>
      <c r="U21" s="338" t="s">
        <v>43</v>
      </c>
      <c r="V21" s="338" t="s">
        <v>43</v>
      </c>
      <c r="W21" s="339" t="s">
        <v>48</v>
      </c>
      <c r="X21" s="339" t="s">
        <v>53</v>
      </c>
      <c r="Y21" s="339" t="s">
        <v>53</v>
      </c>
      <c r="Z21" s="338" t="s">
        <v>47</v>
      </c>
      <c r="AA21" s="339" t="s">
        <v>45</v>
      </c>
      <c r="AB21" s="339" t="s">
        <v>45</v>
      </c>
      <c r="AC21" s="338" t="s">
        <v>43</v>
      </c>
      <c r="AD21" s="338" t="s">
        <v>43</v>
      </c>
      <c r="AE21" s="339" t="s">
        <v>53</v>
      </c>
      <c r="AF21" s="339" t="s">
        <v>53</v>
      </c>
      <c r="AG21" s="338"/>
      <c r="AH21" s="338"/>
    </row>
    <row r="22" ht="15.75" customHeight="1">
      <c r="A22" s="341" t="s">
        <v>252</v>
      </c>
      <c r="B22" s="339" t="s">
        <v>116</v>
      </c>
      <c r="C22" s="338" t="s">
        <v>47</v>
      </c>
      <c r="D22" s="338" t="s">
        <v>45</v>
      </c>
      <c r="E22" s="338" t="s">
        <v>45</v>
      </c>
      <c r="F22" s="338" t="s">
        <v>43</v>
      </c>
      <c r="G22" s="339" t="s">
        <v>53</v>
      </c>
      <c r="H22" s="339" t="s">
        <v>53</v>
      </c>
      <c r="I22" s="339" t="s">
        <v>44</v>
      </c>
      <c r="J22" s="339" t="s">
        <v>49</v>
      </c>
      <c r="K22" s="339" t="s">
        <v>49</v>
      </c>
      <c r="L22" s="339" t="s">
        <v>49</v>
      </c>
      <c r="M22" s="339" t="s">
        <v>49</v>
      </c>
      <c r="N22" s="339" t="s">
        <v>53</v>
      </c>
      <c r="O22" s="339" t="s">
        <v>53</v>
      </c>
      <c r="P22" s="339" t="s">
        <v>45</v>
      </c>
      <c r="Q22" s="339" t="s">
        <v>45</v>
      </c>
      <c r="R22" s="339" t="s">
        <v>45</v>
      </c>
      <c r="S22" s="339" t="s">
        <v>44</v>
      </c>
      <c r="T22" s="339" t="s">
        <v>43</v>
      </c>
      <c r="U22" s="339" t="s">
        <v>53</v>
      </c>
      <c r="V22" s="339" t="s">
        <v>53</v>
      </c>
      <c r="W22" s="339" t="s">
        <v>49</v>
      </c>
      <c r="X22" s="339" t="s">
        <v>45</v>
      </c>
      <c r="Y22" s="339" t="s">
        <v>45</v>
      </c>
      <c r="Z22" s="339" t="s">
        <v>43</v>
      </c>
      <c r="AA22" s="339" t="s">
        <v>43</v>
      </c>
      <c r="AB22" s="339" t="s">
        <v>53</v>
      </c>
      <c r="AC22" s="339" t="s">
        <v>53</v>
      </c>
      <c r="AD22" s="339" t="s">
        <v>49</v>
      </c>
      <c r="AE22" s="339" t="s">
        <v>47</v>
      </c>
      <c r="AF22" s="339" t="s">
        <v>46</v>
      </c>
      <c r="AG22" s="338"/>
      <c r="AH22" s="338"/>
    </row>
    <row r="23" ht="15.75" customHeight="1">
      <c r="A23" s="341" t="s">
        <v>253</v>
      </c>
      <c r="B23" s="339" t="s">
        <v>119</v>
      </c>
      <c r="C23" s="339" t="s">
        <v>53</v>
      </c>
      <c r="D23" s="339" t="s">
        <v>53</v>
      </c>
      <c r="E23" s="339" t="s">
        <v>49</v>
      </c>
      <c r="F23" s="339" t="s">
        <v>49</v>
      </c>
      <c r="G23" s="339" t="s">
        <v>47</v>
      </c>
      <c r="H23" s="339" t="s">
        <v>43</v>
      </c>
      <c r="I23" s="339" t="s">
        <v>43</v>
      </c>
      <c r="J23" s="339" t="s">
        <v>53</v>
      </c>
      <c r="K23" s="339" t="s">
        <v>53</v>
      </c>
      <c r="L23" s="339" t="s">
        <v>47</v>
      </c>
      <c r="M23" s="339" t="s">
        <v>47</v>
      </c>
      <c r="N23" s="339" t="s">
        <v>43</v>
      </c>
      <c r="O23" s="339" t="s">
        <v>43</v>
      </c>
      <c r="P23" s="339" t="s">
        <v>49</v>
      </c>
      <c r="Q23" s="339" t="s">
        <v>53</v>
      </c>
      <c r="R23" s="339" t="s">
        <v>53</v>
      </c>
      <c r="S23" s="339" t="s">
        <v>48</v>
      </c>
      <c r="T23" s="339" t="s">
        <v>47</v>
      </c>
      <c r="U23" s="339" t="s">
        <v>43</v>
      </c>
      <c r="V23" s="339" t="s">
        <v>43</v>
      </c>
      <c r="W23" s="339" t="s">
        <v>43</v>
      </c>
      <c r="X23" s="339" t="s">
        <v>53</v>
      </c>
      <c r="Y23" s="339" t="s">
        <v>53</v>
      </c>
      <c r="Z23" s="339" t="s">
        <v>47</v>
      </c>
      <c r="AA23" s="339" t="s">
        <v>47</v>
      </c>
      <c r="AB23" s="339" t="s">
        <v>43</v>
      </c>
      <c r="AC23" s="339" t="s">
        <v>43</v>
      </c>
      <c r="AD23" s="339" t="s">
        <v>48</v>
      </c>
      <c r="AE23" s="339" t="s">
        <v>53</v>
      </c>
      <c r="AF23" s="339" t="s">
        <v>53</v>
      </c>
      <c r="AG23" s="338"/>
      <c r="AH23" s="338"/>
    </row>
    <row r="24" ht="15.75" customHeight="1">
      <c r="A24" s="341" t="s">
        <v>254</v>
      </c>
      <c r="B24" s="339" t="s">
        <v>122</v>
      </c>
      <c r="C24" s="338" t="s">
        <v>46</v>
      </c>
      <c r="D24" s="338" t="s">
        <v>45</v>
      </c>
      <c r="E24" s="338" t="s">
        <v>46</v>
      </c>
      <c r="F24" s="339" t="s">
        <v>44</v>
      </c>
      <c r="G24" s="339" t="s">
        <v>53</v>
      </c>
      <c r="H24" s="339" t="s">
        <v>53</v>
      </c>
      <c r="I24" s="339" t="s">
        <v>47</v>
      </c>
      <c r="J24" s="338" t="s">
        <v>46</v>
      </c>
      <c r="K24" s="338" t="s">
        <v>47</v>
      </c>
      <c r="L24" s="339" t="s">
        <v>44</v>
      </c>
      <c r="M24" s="339" t="s">
        <v>43</v>
      </c>
      <c r="N24" s="339" t="s">
        <v>53</v>
      </c>
      <c r="O24" s="339" t="s">
        <v>53</v>
      </c>
      <c r="P24" s="339" t="s">
        <v>47</v>
      </c>
      <c r="Q24" s="339" t="s">
        <v>45</v>
      </c>
      <c r="R24" s="339" t="s">
        <v>45</v>
      </c>
      <c r="S24" s="339" t="s">
        <v>45</v>
      </c>
      <c r="T24" s="339" t="s">
        <v>48</v>
      </c>
      <c r="U24" s="339" t="s">
        <v>53</v>
      </c>
      <c r="V24" s="339" t="s">
        <v>53</v>
      </c>
      <c r="W24" s="339" t="s">
        <v>48</v>
      </c>
      <c r="X24" s="339" t="s">
        <v>48</v>
      </c>
      <c r="Y24" s="339" t="s">
        <v>48</v>
      </c>
      <c r="Z24" s="339" t="s">
        <v>44</v>
      </c>
      <c r="AA24" s="339" t="s">
        <v>44</v>
      </c>
      <c r="AB24" s="339" t="s">
        <v>53</v>
      </c>
      <c r="AC24" s="339" t="s">
        <v>53</v>
      </c>
      <c r="AD24" s="339" t="s">
        <v>48</v>
      </c>
      <c r="AE24" s="339" t="s">
        <v>48</v>
      </c>
      <c r="AF24" s="339" t="s">
        <v>47</v>
      </c>
      <c r="AG24" s="338"/>
      <c r="AH24" s="338"/>
    </row>
    <row r="25" ht="15.75" customHeight="1">
      <c r="A25" s="341" t="s">
        <v>255</v>
      </c>
      <c r="B25" s="339" t="s">
        <v>125</v>
      </c>
      <c r="C25" s="338" t="s">
        <v>45</v>
      </c>
      <c r="D25" s="338" t="s">
        <v>43</v>
      </c>
      <c r="E25" s="338" t="s">
        <v>43</v>
      </c>
      <c r="F25" s="338" t="s">
        <v>43</v>
      </c>
      <c r="G25" s="339" t="s">
        <v>53</v>
      </c>
      <c r="H25" s="339" t="s">
        <v>53</v>
      </c>
      <c r="I25" s="339" t="s">
        <v>46</v>
      </c>
      <c r="J25" s="338" t="s">
        <v>45</v>
      </c>
      <c r="K25" s="338" t="s">
        <v>45</v>
      </c>
      <c r="L25" s="338" t="s">
        <v>43</v>
      </c>
      <c r="M25" s="338" t="s">
        <v>43</v>
      </c>
      <c r="N25" s="339" t="s">
        <v>53</v>
      </c>
      <c r="O25" s="339" t="s">
        <v>53</v>
      </c>
      <c r="P25" s="339" t="s">
        <v>47</v>
      </c>
      <c r="Q25" s="338" t="s">
        <v>47</v>
      </c>
      <c r="R25" s="338" t="s">
        <v>47</v>
      </c>
      <c r="S25" s="339" t="s">
        <v>44</v>
      </c>
      <c r="T25" s="339" t="s">
        <v>43</v>
      </c>
      <c r="U25" s="339" t="s">
        <v>53</v>
      </c>
      <c r="V25" s="339" t="s">
        <v>53</v>
      </c>
      <c r="W25" s="339" t="s">
        <v>47</v>
      </c>
      <c r="X25" s="339" t="s">
        <v>47</v>
      </c>
      <c r="Y25" s="339" t="s">
        <v>47</v>
      </c>
      <c r="Z25" s="339" t="s">
        <v>45</v>
      </c>
      <c r="AA25" s="339" t="s">
        <v>49</v>
      </c>
      <c r="AB25" s="339" t="s">
        <v>53</v>
      </c>
      <c r="AC25" s="339" t="s">
        <v>53</v>
      </c>
      <c r="AD25" s="339" t="s">
        <v>47</v>
      </c>
      <c r="AE25" s="339" t="s">
        <v>45</v>
      </c>
      <c r="AF25" s="339" t="s">
        <v>43</v>
      </c>
      <c r="AG25" s="338"/>
      <c r="AH25" s="338"/>
    </row>
    <row r="26" ht="15.75" customHeight="1">
      <c r="A26" s="341" t="s">
        <v>256</v>
      </c>
      <c r="B26" s="339" t="s">
        <v>128</v>
      </c>
      <c r="C26" s="339" t="s">
        <v>53</v>
      </c>
      <c r="D26" s="339" t="s">
        <v>53</v>
      </c>
      <c r="E26" s="339" t="s">
        <v>46</v>
      </c>
      <c r="F26" s="339" t="s">
        <v>45</v>
      </c>
      <c r="G26" s="339" t="s">
        <v>49</v>
      </c>
      <c r="H26" s="339" t="s">
        <v>47</v>
      </c>
      <c r="I26" s="339" t="s">
        <v>44</v>
      </c>
      <c r="J26" s="339" t="s">
        <v>53</v>
      </c>
      <c r="K26" s="339" t="s">
        <v>53</v>
      </c>
      <c r="L26" s="339" t="s">
        <v>47</v>
      </c>
      <c r="M26" s="339" t="s">
        <v>47</v>
      </c>
      <c r="N26" s="339" t="s">
        <v>49</v>
      </c>
      <c r="O26" s="339" t="s">
        <v>44</v>
      </c>
      <c r="P26" s="339" t="s">
        <v>43</v>
      </c>
      <c r="Q26" s="339" t="s">
        <v>53</v>
      </c>
      <c r="R26" s="339" t="s">
        <v>53</v>
      </c>
      <c r="S26" s="339" t="s">
        <v>47</v>
      </c>
      <c r="T26" s="339" t="s">
        <v>45</v>
      </c>
      <c r="U26" s="339" t="s">
        <v>49</v>
      </c>
      <c r="V26" s="339" t="s">
        <v>44</v>
      </c>
      <c r="W26" s="339" t="s">
        <v>43</v>
      </c>
      <c r="X26" s="339" t="s">
        <v>53</v>
      </c>
      <c r="Y26" s="339" t="s">
        <v>53</v>
      </c>
      <c r="Z26" s="339" t="s">
        <v>47</v>
      </c>
      <c r="AA26" s="338" t="s">
        <v>45</v>
      </c>
      <c r="AB26" s="339" t="s">
        <v>49</v>
      </c>
      <c r="AC26" s="339" t="s">
        <v>44</v>
      </c>
      <c r="AD26" s="339" t="s">
        <v>43</v>
      </c>
      <c r="AE26" s="339" t="s">
        <v>53</v>
      </c>
      <c r="AF26" s="339" t="s">
        <v>53</v>
      </c>
      <c r="AG26" s="338"/>
      <c r="AH26" s="338"/>
    </row>
    <row r="27" ht="15.75" customHeight="1">
      <c r="A27" s="341" t="s">
        <v>257</v>
      </c>
      <c r="B27" s="339" t="s">
        <v>131</v>
      </c>
      <c r="C27" s="339" t="s">
        <v>45</v>
      </c>
      <c r="D27" s="339" t="s">
        <v>44</v>
      </c>
      <c r="E27" s="339" t="s">
        <v>43</v>
      </c>
      <c r="F27" s="339" t="s">
        <v>53</v>
      </c>
      <c r="G27" s="339" t="s">
        <v>53</v>
      </c>
      <c r="H27" s="339" t="s">
        <v>45</v>
      </c>
      <c r="I27" s="339" t="s">
        <v>45</v>
      </c>
      <c r="J27" s="339" t="s">
        <v>45</v>
      </c>
      <c r="K27" s="339" t="s">
        <v>44</v>
      </c>
      <c r="L27" s="339" t="s">
        <v>43</v>
      </c>
      <c r="M27" s="339" t="s">
        <v>53</v>
      </c>
      <c r="N27" s="339" t="s">
        <v>53</v>
      </c>
      <c r="O27" s="339" t="s">
        <v>49</v>
      </c>
      <c r="P27" s="339" t="s">
        <v>49</v>
      </c>
      <c r="Q27" s="339" t="s">
        <v>45</v>
      </c>
      <c r="R27" s="339" t="s">
        <v>45</v>
      </c>
      <c r="S27" s="338" t="s">
        <v>43</v>
      </c>
      <c r="T27" s="339" t="s">
        <v>53</v>
      </c>
      <c r="U27" s="339" t="s">
        <v>53</v>
      </c>
      <c r="V27" s="339" t="s">
        <v>49</v>
      </c>
      <c r="W27" s="339" t="s">
        <v>45</v>
      </c>
      <c r="X27" s="339" t="s">
        <v>45</v>
      </c>
      <c r="Y27" s="339" t="s">
        <v>49</v>
      </c>
      <c r="Z27" s="339" t="s">
        <v>49</v>
      </c>
      <c r="AA27" s="339" t="s">
        <v>53</v>
      </c>
      <c r="AB27" s="339" t="s">
        <v>53</v>
      </c>
      <c r="AC27" s="339" t="s">
        <v>45</v>
      </c>
      <c r="AD27" s="339" t="s">
        <v>45</v>
      </c>
      <c r="AE27" s="339" t="s">
        <v>45</v>
      </c>
      <c r="AF27" s="339" t="s">
        <v>43</v>
      </c>
      <c r="AG27" s="338"/>
      <c r="AH27" s="338"/>
    </row>
    <row r="28" ht="15.75" customHeight="1">
      <c r="A28" s="341" t="s">
        <v>258</v>
      </c>
      <c r="B28" s="339" t="s">
        <v>134</v>
      </c>
      <c r="C28" s="339" t="s">
        <v>49</v>
      </c>
      <c r="D28" s="339" t="s">
        <v>53</v>
      </c>
      <c r="E28" s="339" t="s">
        <v>53</v>
      </c>
      <c r="F28" s="339" t="s">
        <v>47</v>
      </c>
      <c r="G28" s="339" t="s">
        <v>46</v>
      </c>
      <c r="H28" s="339" t="s">
        <v>48</v>
      </c>
      <c r="I28" s="339" t="s">
        <v>48</v>
      </c>
      <c r="J28" s="339" t="s">
        <v>48</v>
      </c>
      <c r="K28" s="339" t="s">
        <v>53</v>
      </c>
      <c r="L28" s="339" t="s">
        <v>53</v>
      </c>
      <c r="M28" s="339" t="s">
        <v>46</v>
      </c>
      <c r="N28" s="339" t="s">
        <v>46</v>
      </c>
      <c r="O28" s="339" t="s">
        <v>45</v>
      </c>
      <c r="P28" s="339" t="s">
        <v>43</v>
      </c>
      <c r="Q28" s="339" t="s">
        <v>43</v>
      </c>
      <c r="R28" s="339" t="s">
        <v>53</v>
      </c>
      <c r="S28" s="339" t="s">
        <v>53</v>
      </c>
      <c r="T28" s="339" t="s">
        <v>47</v>
      </c>
      <c r="U28" s="339" t="s">
        <v>46</v>
      </c>
      <c r="V28" s="339" t="s">
        <v>46</v>
      </c>
      <c r="W28" s="339" t="s">
        <v>46</v>
      </c>
      <c r="X28" s="339" t="s">
        <v>43</v>
      </c>
      <c r="Y28" s="339" t="s">
        <v>53</v>
      </c>
      <c r="Z28" s="339" t="s">
        <v>53</v>
      </c>
      <c r="AA28" s="339" t="s">
        <v>45</v>
      </c>
      <c r="AB28" s="339" t="s">
        <v>45</v>
      </c>
      <c r="AC28" s="339" t="s">
        <v>45</v>
      </c>
      <c r="AD28" s="339" t="s">
        <v>43</v>
      </c>
      <c r="AE28" s="339" t="s">
        <v>43</v>
      </c>
      <c r="AF28" s="339" t="s">
        <v>53</v>
      </c>
      <c r="AG28" s="338"/>
      <c r="AH28" s="338"/>
    </row>
    <row r="29" ht="15.75" customHeight="1">
      <c r="A29" s="341" t="s">
        <v>259</v>
      </c>
      <c r="B29" s="339" t="s">
        <v>137</v>
      </c>
      <c r="C29" s="339" t="s">
        <v>45</v>
      </c>
      <c r="D29" s="339" t="s">
        <v>44</v>
      </c>
      <c r="E29" s="339" t="s">
        <v>43</v>
      </c>
      <c r="F29" s="339" t="s">
        <v>53</v>
      </c>
      <c r="G29" s="339" t="s">
        <v>53</v>
      </c>
      <c r="H29" s="339" t="s">
        <v>45</v>
      </c>
      <c r="I29" s="339" t="s">
        <v>45</v>
      </c>
      <c r="J29" s="339" t="s">
        <v>45</v>
      </c>
      <c r="K29" s="339" t="s">
        <v>44</v>
      </c>
      <c r="L29" s="339" t="s">
        <v>43</v>
      </c>
      <c r="M29" s="339" t="s">
        <v>53</v>
      </c>
      <c r="N29" s="339" t="s">
        <v>53</v>
      </c>
      <c r="O29" s="339" t="s">
        <v>49</v>
      </c>
      <c r="P29" s="339" t="s">
        <v>49</v>
      </c>
      <c r="Q29" s="339" t="s">
        <v>49</v>
      </c>
      <c r="R29" s="339" t="s">
        <v>45</v>
      </c>
      <c r="S29" s="338" t="s">
        <v>43</v>
      </c>
      <c r="T29" s="339" t="s">
        <v>53</v>
      </c>
      <c r="U29" s="339" t="s">
        <v>53</v>
      </c>
      <c r="V29" s="339" t="s">
        <v>45</v>
      </c>
      <c r="W29" s="339" t="s">
        <v>45</v>
      </c>
      <c r="X29" s="339" t="s">
        <v>44</v>
      </c>
      <c r="Y29" s="339" t="s">
        <v>49</v>
      </c>
      <c r="Z29" s="339" t="s">
        <v>49</v>
      </c>
      <c r="AA29" s="339" t="s">
        <v>53</v>
      </c>
      <c r="AB29" s="339" t="s">
        <v>53</v>
      </c>
      <c r="AC29" s="339" t="s">
        <v>45</v>
      </c>
      <c r="AD29" s="339" t="s">
        <v>45</v>
      </c>
      <c r="AE29" s="339" t="s">
        <v>45</v>
      </c>
      <c r="AF29" s="339" t="s">
        <v>44</v>
      </c>
      <c r="AG29" s="338"/>
      <c r="AH29" s="338"/>
    </row>
    <row r="30" ht="15.75" customHeight="1">
      <c r="A30" s="341" t="s">
        <v>260</v>
      </c>
      <c r="B30" s="339" t="s">
        <v>140</v>
      </c>
      <c r="C30" s="339" t="s">
        <v>46</v>
      </c>
      <c r="D30" s="339" t="s">
        <v>47</v>
      </c>
      <c r="E30" s="339" t="s">
        <v>45</v>
      </c>
      <c r="F30" s="339" t="s">
        <v>53</v>
      </c>
      <c r="G30" s="339" t="s">
        <v>53</v>
      </c>
      <c r="H30" s="339" t="s">
        <v>46</v>
      </c>
      <c r="I30" s="339" t="s">
        <v>46</v>
      </c>
      <c r="J30" s="339" t="s">
        <v>45</v>
      </c>
      <c r="K30" s="339" t="s">
        <v>45</v>
      </c>
      <c r="L30" s="339" t="s">
        <v>45</v>
      </c>
      <c r="M30" s="339" t="s">
        <v>53</v>
      </c>
      <c r="N30" s="339" t="s">
        <v>53</v>
      </c>
      <c r="O30" s="339" t="s">
        <v>46</v>
      </c>
      <c r="P30" s="339" t="s">
        <v>46</v>
      </c>
      <c r="Q30" s="339" t="s">
        <v>47</v>
      </c>
      <c r="R30" s="339" t="s">
        <v>44</v>
      </c>
      <c r="S30" s="339" t="s">
        <v>44</v>
      </c>
      <c r="T30" s="339" t="s">
        <v>53</v>
      </c>
      <c r="U30" s="339" t="s">
        <v>53</v>
      </c>
      <c r="V30" s="339" t="s">
        <v>46</v>
      </c>
      <c r="W30" s="339" t="s">
        <v>46</v>
      </c>
      <c r="X30" s="339" t="s">
        <v>47</v>
      </c>
      <c r="Y30" s="339" t="s">
        <v>45</v>
      </c>
      <c r="Z30" s="339" t="s">
        <v>45</v>
      </c>
      <c r="AA30" s="339" t="s">
        <v>53</v>
      </c>
      <c r="AB30" s="339" t="s">
        <v>53</v>
      </c>
      <c r="AC30" s="339" t="s">
        <v>47</v>
      </c>
      <c r="AD30" s="339" t="s">
        <v>46</v>
      </c>
      <c r="AE30" s="339" t="s">
        <v>47</v>
      </c>
      <c r="AF30" s="339" t="s">
        <v>45</v>
      </c>
      <c r="AG30" s="338"/>
      <c r="AH30" s="338"/>
    </row>
    <row r="31" ht="15.75" customHeight="1">
      <c r="A31" s="341" t="s">
        <v>261</v>
      </c>
      <c r="B31" s="339" t="s">
        <v>143</v>
      </c>
      <c r="C31" s="339" t="s">
        <v>49</v>
      </c>
      <c r="D31" s="339" t="s">
        <v>49</v>
      </c>
      <c r="E31" s="339" t="s">
        <v>49</v>
      </c>
      <c r="F31" s="339" t="s">
        <v>48</v>
      </c>
      <c r="G31" s="339" t="s">
        <v>53</v>
      </c>
      <c r="H31" s="339" t="s">
        <v>53</v>
      </c>
      <c r="I31" s="339" t="s">
        <v>48</v>
      </c>
      <c r="J31" s="339" t="s">
        <v>48</v>
      </c>
      <c r="K31" s="339" t="s">
        <v>48</v>
      </c>
      <c r="L31" s="339" t="s">
        <v>48</v>
      </c>
      <c r="M31" s="339" t="s">
        <v>48</v>
      </c>
      <c r="N31" s="339" t="s">
        <v>53</v>
      </c>
      <c r="O31" s="339" t="s">
        <v>53</v>
      </c>
      <c r="P31" s="339" t="s">
        <v>47</v>
      </c>
      <c r="Q31" s="339" t="s">
        <v>47</v>
      </c>
      <c r="R31" s="339" t="s">
        <v>47</v>
      </c>
      <c r="S31" s="339" t="s">
        <v>47</v>
      </c>
      <c r="T31" s="339" t="s">
        <v>47</v>
      </c>
      <c r="U31" s="339" t="s">
        <v>53</v>
      </c>
      <c r="V31" s="339" t="s">
        <v>53</v>
      </c>
      <c r="W31" s="339" t="s">
        <v>47</v>
      </c>
      <c r="X31" s="339" t="s">
        <v>47</v>
      </c>
      <c r="Y31" s="339" t="s">
        <v>47</v>
      </c>
      <c r="Z31" s="339" t="s">
        <v>47</v>
      </c>
      <c r="AA31" s="339" t="s">
        <v>47</v>
      </c>
      <c r="AB31" s="339" t="s">
        <v>53</v>
      </c>
      <c r="AC31" s="339" t="s">
        <v>53</v>
      </c>
      <c r="AD31" s="339" t="s">
        <v>47</v>
      </c>
      <c r="AE31" s="339" t="s">
        <v>47</v>
      </c>
      <c r="AF31" s="339" t="s">
        <v>47</v>
      </c>
      <c r="AG31" s="338"/>
      <c r="AH31" s="338"/>
    </row>
    <row r="32" ht="15.75" customHeight="1">
      <c r="A32" s="341" t="s">
        <v>262</v>
      </c>
      <c r="B32" s="339" t="s">
        <v>146</v>
      </c>
      <c r="C32" s="339" t="s">
        <v>53</v>
      </c>
      <c r="D32" s="339" t="s">
        <v>46</v>
      </c>
      <c r="E32" s="339" t="s">
        <v>45</v>
      </c>
      <c r="F32" s="339" t="s">
        <v>45</v>
      </c>
      <c r="G32" s="339" t="s">
        <v>44</v>
      </c>
      <c r="H32" s="339" t="s">
        <v>44</v>
      </c>
      <c r="I32" s="339" t="s">
        <v>53</v>
      </c>
      <c r="J32" s="339" t="s">
        <v>53</v>
      </c>
      <c r="K32" s="339" t="s">
        <v>47</v>
      </c>
      <c r="L32" s="339" t="s">
        <v>46</v>
      </c>
      <c r="M32" s="339" t="s">
        <v>45</v>
      </c>
      <c r="N32" s="339" t="s">
        <v>44</v>
      </c>
      <c r="O32" s="339" t="s">
        <v>44</v>
      </c>
      <c r="P32" s="339" t="s">
        <v>53</v>
      </c>
      <c r="Q32" s="339" t="s">
        <v>53</v>
      </c>
      <c r="R32" s="339" t="s">
        <v>47</v>
      </c>
      <c r="S32" s="339" t="s">
        <v>47</v>
      </c>
      <c r="T32" s="339" t="s">
        <v>45</v>
      </c>
      <c r="U32" s="339" t="s">
        <v>44</v>
      </c>
      <c r="V32" s="339" t="s">
        <v>44</v>
      </c>
      <c r="W32" s="339" t="s">
        <v>53</v>
      </c>
      <c r="X32" s="339" t="s">
        <v>53</v>
      </c>
      <c r="Y32" s="339" t="s">
        <v>47</v>
      </c>
      <c r="Z32" s="339" t="s">
        <v>45</v>
      </c>
      <c r="AA32" s="339" t="s">
        <v>44</v>
      </c>
      <c r="AB32" s="339" t="s">
        <v>43</v>
      </c>
      <c r="AC32" s="339" t="s">
        <v>44</v>
      </c>
      <c r="AD32" s="339" t="s">
        <v>53</v>
      </c>
      <c r="AE32" s="339" t="s">
        <v>53</v>
      </c>
      <c r="AF32" s="339" t="s">
        <v>45</v>
      </c>
      <c r="AG32" s="338"/>
      <c r="AH32" s="338"/>
    </row>
    <row r="33" ht="15.75" customHeight="1">
      <c r="A33" s="341" t="s">
        <v>263</v>
      </c>
      <c r="B33" s="339" t="s">
        <v>150</v>
      </c>
      <c r="C33" s="339" t="s">
        <v>45</v>
      </c>
      <c r="D33" s="339" t="s">
        <v>45</v>
      </c>
      <c r="E33" s="338" t="s">
        <v>44</v>
      </c>
      <c r="F33" s="338" t="s">
        <v>43</v>
      </c>
      <c r="G33" s="339" t="s">
        <v>53</v>
      </c>
      <c r="H33" s="339" t="s">
        <v>53</v>
      </c>
      <c r="I33" s="339" t="s">
        <v>47</v>
      </c>
      <c r="J33" s="339" t="s">
        <v>45</v>
      </c>
      <c r="K33" s="339" t="s">
        <v>45</v>
      </c>
      <c r="L33" s="339" t="s">
        <v>45</v>
      </c>
      <c r="M33" s="339" t="s">
        <v>43</v>
      </c>
      <c r="N33" s="339" t="s">
        <v>53</v>
      </c>
      <c r="O33" s="339" t="s">
        <v>53</v>
      </c>
      <c r="P33" s="339" t="s">
        <v>48</v>
      </c>
      <c r="Q33" s="339" t="s">
        <v>45</v>
      </c>
      <c r="R33" s="339" t="s">
        <v>45</v>
      </c>
      <c r="S33" s="339" t="s">
        <v>45</v>
      </c>
      <c r="T33" s="339" t="s">
        <v>43</v>
      </c>
      <c r="U33" s="339" t="s">
        <v>53</v>
      </c>
      <c r="V33" s="339" t="s">
        <v>53</v>
      </c>
      <c r="W33" s="339" t="s">
        <v>47</v>
      </c>
      <c r="X33" s="339" t="s">
        <v>45</v>
      </c>
      <c r="Y33" s="339" t="s">
        <v>45</v>
      </c>
      <c r="Z33" s="339" t="s">
        <v>45</v>
      </c>
      <c r="AA33" s="339" t="s">
        <v>43</v>
      </c>
      <c r="AB33" s="339" t="s">
        <v>53</v>
      </c>
      <c r="AC33" s="339" t="s">
        <v>53</v>
      </c>
      <c r="AD33" s="339" t="s">
        <v>48</v>
      </c>
      <c r="AE33" s="339" t="s">
        <v>45</v>
      </c>
      <c r="AF33" s="339" t="s">
        <v>45</v>
      </c>
      <c r="AG33" s="338"/>
      <c r="AH33" s="338"/>
    </row>
    <row r="34" ht="15.75" customHeight="1">
      <c r="A34" s="341" t="s">
        <v>264</v>
      </c>
      <c r="B34" s="339" t="s">
        <v>153</v>
      </c>
      <c r="C34" s="339" t="s">
        <v>45</v>
      </c>
      <c r="D34" s="339" t="s">
        <v>45</v>
      </c>
      <c r="E34" s="339" t="s">
        <v>44</v>
      </c>
      <c r="F34" s="339" t="s">
        <v>44</v>
      </c>
      <c r="G34" s="339" t="s">
        <v>53</v>
      </c>
      <c r="H34" s="339" t="s">
        <v>53</v>
      </c>
      <c r="I34" s="339" t="s">
        <v>49</v>
      </c>
      <c r="J34" s="339" t="s">
        <v>49</v>
      </c>
      <c r="K34" s="339" t="s">
        <v>45</v>
      </c>
      <c r="L34" s="339" t="s">
        <v>44</v>
      </c>
      <c r="M34" s="339" t="s">
        <v>49</v>
      </c>
      <c r="N34" s="339" t="s">
        <v>53</v>
      </c>
      <c r="O34" s="339" t="s">
        <v>53</v>
      </c>
      <c r="P34" s="339" t="s">
        <v>47</v>
      </c>
      <c r="Q34" s="339" t="s">
        <v>47</v>
      </c>
      <c r="R34" s="339" t="s">
        <v>45</v>
      </c>
      <c r="S34" s="339" t="s">
        <v>45</v>
      </c>
      <c r="T34" s="339" t="s">
        <v>49</v>
      </c>
      <c r="U34" s="339" t="s">
        <v>53</v>
      </c>
      <c r="V34" s="339" t="s">
        <v>53</v>
      </c>
      <c r="W34" s="339" t="s">
        <v>47</v>
      </c>
      <c r="X34" s="339" t="s">
        <v>47</v>
      </c>
      <c r="Y34" s="339" t="s">
        <v>45</v>
      </c>
      <c r="Z34" s="339" t="s">
        <v>44</v>
      </c>
      <c r="AA34" s="339" t="s">
        <v>43</v>
      </c>
      <c r="AB34" s="339" t="s">
        <v>53</v>
      </c>
      <c r="AC34" s="339" t="s">
        <v>53</v>
      </c>
      <c r="AD34" s="339" t="s">
        <v>47</v>
      </c>
      <c r="AE34" s="339" t="s">
        <v>46</v>
      </c>
      <c r="AF34" s="339" t="s">
        <v>45</v>
      </c>
      <c r="AG34" s="338"/>
      <c r="AH34" s="338"/>
    </row>
    <row r="35" ht="15.75" customHeight="1">
      <c r="A35" s="341" t="s">
        <v>265</v>
      </c>
      <c r="B35" s="339" t="s">
        <v>156</v>
      </c>
      <c r="C35" s="339" t="s">
        <v>43</v>
      </c>
      <c r="D35" s="339" t="s">
        <v>43</v>
      </c>
      <c r="E35" s="339" t="s">
        <v>43</v>
      </c>
      <c r="F35" s="339" t="s">
        <v>53</v>
      </c>
      <c r="G35" s="339" t="s">
        <v>53</v>
      </c>
      <c r="H35" s="339" t="s">
        <v>47</v>
      </c>
      <c r="I35" s="338" t="s">
        <v>47</v>
      </c>
      <c r="J35" s="338" t="s">
        <v>47</v>
      </c>
      <c r="K35" s="338" t="s">
        <v>43</v>
      </c>
      <c r="L35" s="338" t="s">
        <v>43</v>
      </c>
      <c r="M35" s="339" t="s">
        <v>53</v>
      </c>
      <c r="N35" s="339" t="s">
        <v>53</v>
      </c>
      <c r="O35" s="339" t="s">
        <v>47</v>
      </c>
      <c r="P35" s="339" t="s">
        <v>47</v>
      </c>
      <c r="Q35" s="339" t="s">
        <v>43</v>
      </c>
      <c r="R35" s="339" t="s">
        <v>43</v>
      </c>
      <c r="S35" s="338" t="s">
        <v>43</v>
      </c>
      <c r="T35" s="339" t="s">
        <v>53</v>
      </c>
      <c r="U35" s="339" t="s">
        <v>53</v>
      </c>
      <c r="V35" s="339" t="s">
        <v>47</v>
      </c>
      <c r="W35" s="339" t="s">
        <v>47</v>
      </c>
      <c r="X35" s="339" t="s">
        <v>47</v>
      </c>
      <c r="Y35" s="339" t="s">
        <v>43</v>
      </c>
      <c r="Z35" s="339" t="s">
        <v>43</v>
      </c>
      <c r="AA35" s="339" t="s">
        <v>53</v>
      </c>
      <c r="AB35" s="339" t="s">
        <v>53</v>
      </c>
      <c r="AC35" s="339" t="s">
        <v>47</v>
      </c>
      <c r="AD35" s="339" t="s">
        <v>47</v>
      </c>
      <c r="AE35" s="339" t="s">
        <v>47</v>
      </c>
      <c r="AF35" s="339" t="s">
        <v>43</v>
      </c>
      <c r="AG35" s="338"/>
      <c r="AH35" s="338"/>
    </row>
    <row r="36" ht="15.75" customHeight="1">
      <c r="A36" s="341" t="s">
        <v>266</v>
      </c>
      <c r="B36" s="339" t="s">
        <v>159</v>
      </c>
      <c r="C36" s="339" t="s">
        <v>47</v>
      </c>
      <c r="D36" s="339" t="s">
        <v>45</v>
      </c>
      <c r="E36" s="339" t="s">
        <v>44</v>
      </c>
      <c r="F36" s="339" t="s">
        <v>43</v>
      </c>
      <c r="G36" s="339" t="s">
        <v>49</v>
      </c>
      <c r="H36" s="339" t="s">
        <v>53</v>
      </c>
      <c r="I36" s="339" t="s">
        <v>53</v>
      </c>
      <c r="J36" s="339" t="s">
        <v>46</v>
      </c>
      <c r="K36" s="339" t="s">
        <v>45</v>
      </c>
      <c r="L36" s="339" t="s">
        <v>45</v>
      </c>
      <c r="M36" s="339" t="s">
        <v>43</v>
      </c>
      <c r="N36" s="339" t="s">
        <v>49</v>
      </c>
      <c r="O36" s="339" t="s">
        <v>53</v>
      </c>
      <c r="P36" s="339" t="s">
        <v>53</v>
      </c>
      <c r="Q36" s="339" t="s">
        <v>47</v>
      </c>
      <c r="R36" s="339" t="s">
        <v>46</v>
      </c>
      <c r="S36" s="339" t="s">
        <v>45</v>
      </c>
      <c r="T36" s="339" t="s">
        <v>44</v>
      </c>
      <c r="U36" s="339" t="s">
        <v>44</v>
      </c>
      <c r="V36" s="339" t="s">
        <v>53</v>
      </c>
      <c r="W36" s="339" t="s">
        <v>53</v>
      </c>
      <c r="X36" s="339" t="s">
        <v>47</v>
      </c>
      <c r="Y36" s="339" t="s">
        <v>45</v>
      </c>
      <c r="Z36" s="339" t="s">
        <v>49</v>
      </c>
      <c r="AA36" s="339" t="s">
        <v>49</v>
      </c>
      <c r="AB36" s="339" t="s">
        <v>48</v>
      </c>
      <c r="AC36" s="339" t="s">
        <v>53</v>
      </c>
      <c r="AD36" s="339" t="s">
        <v>53</v>
      </c>
      <c r="AE36" s="339" t="s">
        <v>46</v>
      </c>
      <c r="AF36" s="339" t="s">
        <v>47</v>
      </c>
      <c r="AG36" s="338"/>
      <c r="AH36" s="338"/>
    </row>
    <row r="37" ht="15.75" customHeight="1">
      <c r="A37" s="341" t="s">
        <v>267</v>
      </c>
      <c r="B37" s="339" t="s">
        <v>162</v>
      </c>
      <c r="C37" s="339" t="s">
        <v>44</v>
      </c>
      <c r="D37" s="338" t="s">
        <v>45</v>
      </c>
      <c r="E37" s="339" t="s">
        <v>49</v>
      </c>
      <c r="F37" s="339" t="s">
        <v>53</v>
      </c>
      <c r="G37" s="339" t="s">
        <v>53</v>
      </c>
      <c r="H37" s="339" t="s">
        <v>46</v>
      </c>
      <c r="I37" s="339" t="s">
        <v>45</v>
      </c>
      <c r="J37" s="339" t="s">
        <v>44</v>
      </c>
      <c r="K37" s="339" t="s">
        <v>44</v>
      </c>
      <c r="L37" s="338" t="s">
        <v>43</v>
      </c>
      <c r="M37" s="339" t="s">
        <v>53</v>
      </c>
      <c r="N37" s="339" t="s">
        <v>53</v>
      </c>
      <c r="O37" s="339" t="s">
        <v>46</v>
      </c>
      <c r="P37" s="339" t="s">
        <v>46</v>
      </c>
      <c r="Q37" s="339" t="s">
        <v>46</v>
      </c>
      <c r="R37" s="339" t="s">
        <v>45</v>
      </c>
      <c r="S37" s="339" t="s">
        <v>49</v>
      </c>
      <c r="T37" s="339" t="s">
        <v>53</v>
      </c>
      <c r="U37" s="339" t="s">
        <v>53</v>
      </c>
      <c r="V37" s="339" t="s">
        <v>49</v>
      </c>
      <c r="W37" s="339" t="s">
        <v>45</v>
      </c>
      <c r="X37" s="339" t="s">
        <v>45</v>
      </c>
      <c r="Y37" s="339" t="s">
        <v>44</v>
      </c>
      <c r="Z37" s="338" t="s">
        <v>43</v>
      </c>
      <c r="AA37" s="339" t="s">
        <v>53</v>
      </c>
      <c r="AB37" s="339" t="s">
        <v>53</v>
      </c>
      <c r="AC37" s="339" t="s">
        <v>46</v>
      </c>
      <c r="AD37" s="339" t="s">
        <v>45</v>
      </c>
      <c r="AE37" s="339" t="s">
        <v>43</v>
      </c>
      <c r="AF37" s="339" t="s">
        <v>43</v>
      </c>
      <c r="AG37" s="338"/>
      <c r="AH37" s="338"/>
    </row>
    <row r="38" ht="15.75" customHeight="1">
      <c r="A38" s="341" t="s">
        <v>268</v>
      </c>
      <c r="B38" s="339" t="s">
        <v>165</v>
      </c>
      <c r="C38" s="339" t="s">
        <v>45</v>
      </c>
      <c r="D38" s="339" t="s">
        <v>45</v>
      </c>
      <c r="E38" s="339" t="s">
        <v>45</v>
      </c>
      <c r="F38" s="339" t="s">
        <v>44</v>
      </c>
      <c r="G38" s="339" t="s">
        <v>43</v>
      </c>
      <c r="H38" s="339" t="s">
        <v>53</v>
      </c>
      <c r="I38" s="339" t="s">
        <v>53</v>
      </c>
      <c r="J38" s="339" t="s">
        <v>47</v>
      </c>
      <c r="K38" s="339" t="s">
        <v>45</v>
      </c>
      <c r="L38" s="339" t="s">
        <v>45</v>
      </c>
      <c r="M38" s="339" t="s">
        <v>45</v>
      </c>
      <c r="N38" s="339" t="s">
        <v>43</v>
      </c>
      <c r="O38" s="339" t="s">
        <v>53</v>
      </c>
      <c r="P38" s="339" t="s">
        <v>53</v>
      </c>
      <c r="Q38" s="339" t="s">
        <v>46</v>
      </c>
      <c r="R38" s="339" t="s">
        <v>43</v>
      </c>
      <c r="S38" s="339" t="s">
        <v>49</v>
      </c>
      <c r="T38" s="339" t="s">
        <v>45</v>
      </c>
      <c r="U38" s="339" t="s">
        <v>44</v>
      </c>
      <c r="V38" s="339" t="s">
        <v>53</v>
      </c>
      <c r="W38" s="339" t="s">
        <v>53</v>
      </c>
      <c r="X38" s="339" t="s">
        <v>46</v>
      </c>
      <c r="Y38" s="339" t="s">
        <v>45</v>
      </c>
      <c r="Z38" s="339" t="s">
        <v>45</v>
      </c>
      <c r="AA38" s="339" t="s">
        <v>43</v>
      </c>
      <c r="AB38" s="339" t="s">
        <v>43</v>
      </c>
      <c r="AC38" s="339" t="s">
        <v>53</v>
      </c>
      <c r="AD38" s="339" t="s">
        <v>53</v>
      </c>
      <c r="AE38" s="339" t="s">
        <v>47</v>
      </c>
      <c r="AF38" s="339" t="s">
        <v>47</v>
      </c>
      <c r="AG38" s="338"/>
      <c r="AH38" s="338"/>
    </row>
    <row r="39" ht="15.75" customHeight="1">
      <c r="A39" s="341" t="s">
        <v>269</v>
      </c>
      <c r="B39" s="339" t="s">
        <v>168</v>
      </c>
      <c r="C39" s="339" t="s">
        <v>53</v>
      </c>
      <c r="D39" s="339" t="s">
        <v>53</v>
      </c>
      <c r="E39" s="339" t="s">
        <v>46</v>
      </c>
      <c r="F39" s="339" t="s">
        <v>45</v>
      </c>
      <c r="G39" s="339" t="s">
        <v>43</v>
      </c>
      <c r="H39" s="339" t="s">
        <v>43</v>
      </c>
      <c r="I39" s="339" t="s">
        <v>43</v>
      </c>
      <c r="J39" s="339" t="s">
        <v>53</v>
      </c>
      <c r="K39" s="339" t="s">
        <v>53</v>
      </c>
      <c r="L39" s="339" t="s">
        <v>46</v>
      </c>
      <c r="M39" s="339" t="s">
        <v>45</v>
      </c>
      <c r="N39" s="339" t="s">
        <v>45</v>
      </c>
      <c r="O39" s="339" t="s">
        <v>49</v>
      </c>
      <c r="P39" s="339" t="s">
        <v>43</v>
      </c>
      <c r="Q39" s="339" t="s">
        <v>53</v>
      </c>
      <c r="R39" s="339" t="s">
        <v>53</v>
      </c>
      <c r="S39" s="339" t="s">
        <v>46</v>
      </c>
      <c r="T39" s="339" t="s">
        <v>45</v>
      </c>
      <c r="U39" s="339" t="s">
        <v>45</v>
      </c>
      <c r="V39" s="339" t="s">
        <v>43</v>
      </c>
      <c r="W39" s="339" t="s">
        <v>43</v>
      </c>
      <c r="X39" s="339" t="s">
        <v>53</v>
      </c>
      <c r="Y39" s="339" t="s">
        <v>53</v>
      </c>
      <c r="Z39" s="339" t="s">
        <v>46</v>
      </c>
      <c r="AA39" s="339" t="s">
        <v>45</v>
      </c>
      <c r="AB39" s="339" t="s">
        <v>45</v>
      </c>
      <c r="AC39" s="339" t="s">
        <v>44</v>
      </c>
      <c r="AD39" s="339" t="s">
        <v>44</v>
      </c>
      <c r="AE39" s="339" t="s">
        <v>53</v>
      </c>
      <c r="AF39" s="339" t="s">
        <v>53</v>
      </c>
      <c r="AG39" s="338"/>
      <c r="AH39" s="338"/>
    </row>
    <row r="40" ht="15.75" customHeight="1">
      <c r="A40" s="341" t="s">
        <v>270</v>
      </c>
      <c r="B40" s="339" t="s">
        <v>171</v>
      </c>
      <c r="C40" s="339" t="s">
        <v>53</v>
      </c>
      <c r="D40" s="339" t="s">
        <v>47</v>
      </c>
      <c r="E40" s="338" t="s">
        <v>47</v>
      </c>
      <c r="F40" s="338" t="s">
        <v>45</v>
      </c>
      <c r="G40" s="338" t="s">
        <v>45</v>
      </c>
      <c r="H40" s="338" t="s">
        <v>45</v>
      </c>
      <c r="I40" s="339" t="s">
        <v>53</v>
      </c>
      <c r="J40" s="339" t="s">
        <v>53</v>
      </c>
      <c r="K40" s="339" t="s">
        <v>49</v>
      </c>
      <c r="L40" s="338" t="s">
        <v>47</v>
      </c>
      <c r="M40" s="338" t="s">
        <v>45</v>
      </c>
      <c r="N40" s="338" t="s">
        <v>45</v>
      </c>
      <c r="O40" s="338" t="s">
        <v>43</v>
      </c>
      <c r="P40" s="339" t="s">
        <v>53</v>
      </c>
      <c r="Q40" s="339" t="s">
        <v>53</v>
      </c>
      <c r="R40" s="339" t="s">
        <v>47</v>
      </c>
      <c r="S40" s="338" t="s">
        <v>45</v>
      </c>
      <c r="T40" s="338" t="s">
        <v>45</v>
      </c>
      <c r="U40" s="338" t="s">
        <v>45</v>
      </c>
      <c r="V40" s="338" t="s">
        <v>43</v>
      </c>
      <c r="W40" s="339" t="s">
        <v>53</v>
      </c>
      <c r="X40" s="339" t="s">
        <v>53</v>
      </c>
      <c r="Y40" s="339" t="s">
        <v>46</v>
      </c>
      <c r="Z40" s="338" t="s">
        <v>45</v>
      </c>
      <c r="AA40" s="338" t="s">
        <v>44</v>
      </c>
      <c r="AB40" s="339" t="s">
        <v>44</v>
      </c>
      <c r="AC40" s="339" t="s">
        <v>43</v>
      </c>
      <c r="AD40" s="339" t="s">
        <v>53</v>
      </c>
      <c r="AE40" s="339" t="s">
        <v>53</v>
      </c>
      <c r="AF40" s="339" t="s">
        <v>47</v>
      </c>
      <c r="AG40" s="338"/>
      <c r="AH40" s="338"/>
    </row>
    <row r="41" ht="15.75" customHeight="1">
      <c r="A41" s="341" t="s">
        <v>271</v>
      </c>
      <c r="B41" s="339" t="s">
        <v>174</v>
      </c>
      <c r="C41" s="339" t="s">
        <v>53</v>
      </c>
      <c r="D41" s="339" t="s">
        <v>47</v>
      </c>
      <c r="E41" s="339" t="s">
        <v>45</v>
      </c>
      <c r="F41" s="339" t="s">
        <v>45</v>
      </c>
      <c r="G41" s="339" t="s">
        <v>43</v>
      </c>
      <c r="H41" s="339" t="s">
        <v>49</v>
      </c>
      <c r="I41" s="339" t="s">
        <v>53</v>
      </c>
      <c r="J41" s="339" t="s">
        <v>53</v>
      </c>
      <c r="K41" s="339" t="s">
        <v>45</v>
      </c>
      <c r="L41" s="339" t="s">
        <v>45</v>
      </c>
      <c r="M41" s="339" t="s">
        <v>44</v>
      </c>
      <c r="N41" s="339" t="s">
        <v>43</v>
      </c>
      <c r="O41" s="339" t="s">
        <v>49</v>
      </c>
      <c r="P41" s="339" t="s">
        <v>53</v>
      </c>
      <c r="Q41" s="339" t="s">
        <v>53</v>
      </c>
      <c r="R41" s="339" t="s">
        <v>43</v>
      </c>
      <c r="S41" s="339" t="s">
        <v>43</v>
      </c>
      <c r="T41" s="339" t="s">
        <v>43</v>
      </c>
      <c r="U41" s="339" t="s">
        <v>49</v>
      </c>
      <c r="V41" s="339" t="s">
        <v>49</v>
      </c>
      <c r="W41" s="339" t="s">
        <v>53</v>
      </c>
      <c r="X41" s="339" t="s">
        <v>53</v>
      </c>
      <c r="Y41" s="338" t="s">
        <v>45</v>
      </c>
      <c r="Z41" s="339" t="s">
        <v>43</v>
      </c>
      <c r="AA41" s="339" t="s">
        <v>43</v>
      </c>
      <c r="AB41" s="339" t="s">
        <v>43</v>
      </c>
      <c r="AC41" s="339" t="s">
        <v>49</v>
      </c>
      <c r="AD41" s="339" t="s">
        <v>53</v>
      </c>
      <c r="AE41" s="339" t="s">
        <v>53</v>
      </c>
      <c r="AF41" s="339" t="s">
        <v>45</v>
      </c>
      <c r="AG41" s="338"/>
      <c r="AH41" s="338"/>
    </row>
    <row r="42" ht="15.75" customHeight="1">
      <c r="A42" s="341" t="s">
        <v>272</v>
      </c>
      <c r="B42" s="339" t="s">
        <v>177</v>
      </c>
      <c r="C42" s="339" t="s">
        <v>47</v>
      </c>
      <c r="D42" s="339" t="s">
        <v>47</v>
      </c>
      <c r="E42" s="339" t="s">
        <v>45</v>
      </c>
      <c r="F42" s="339" t="s">
        <v>43</v>
      </c>
      <c r="G42" s="339" t="s">
        <v>43</v>
      </c>
      <c r="H42" s="339" t="s">
        <v>53</v>
      </c>
      <c r="I42" s="339" t="s">
        <v>53</v>
      </c>
      <c r="J42" s="339" t="s">
        <v>47</v>
      </c>
      <c r="K42" s="339" t="s">
        <v>46</v>
      </c>
      <c r="L42" s="339" t="s">
        <v>44</v>
      </c>
      <c r="M42" s="339" t="s">
        <v>49</v>
      </c>
      <c r="N42" s="339" t="s">
        <v>49</v>
      </c>
      <c r="O42" s="339" t="s">
        <v>53</v>
      </c>
      <c r="P42" s="339" t="s">
        <v>53</v>
      </c>
      <c r="Q42" s="339" t="s">
        <v>49</v>
      </c>
      <c r="R42" s="339" t="s">
        <v>49</v>
      </c>
      <c r="S42" s="339" t="s">
        <v>49</v>
      </c>
      <c r="T42" s="339" t="s">
        <v>49</v>
      </c>
      <c r="U42" s="339" t="s">
        <v>43</v>
      </c>
      <c r="V42" s="339" t="s">
        <v>53</v>
      </c>
      <c r="W42" s="339" t="s">
        <v>53</v>
      </c>
      <c r="X42" s="338" t="s">
        <v>46</v>
      </c>
      <c r="Y42" s="338" t="s">
        <v>44</v>
      </c>
      <c r="Z42" s="339" t="s">
        <v>48</v>
      </c>
      <c r="AA42" s="339" t="s">
        <v>48</v>
      </c>
      <c r="AB42" s="339" t="s">
        <v>48</v>
      </c>
      <c r="AC42" s="339" t="s">
        <v>53</v>
      </c>
      <c r="AD42" s="339" t="s">
        <v>53</v>
      </c>
      <c r="AE42" s="339" t="s">
        <v>45</v>
      </c>
      <c r="AF42" s="339" t="s">
        <v>44</v>
      </c>
      <c r="AG42" s="338"/>
      <c r="AH42" s="338"/>
    </row>
    <row r="43" ht="15.75" customHeight="1">
      <c r="A43" s="340" t="s">
        <v>273</v>
      </c>
      <c r="B43" s="339" t="s">
        <v>180</v>
      </c>
      <c r="C43" s="339" t="s">
        <v>53</v>
      </c>
      <c r="D43" s="339" t="s">
        <v>49</v>
      </c>
      <c r="E43" s="339" t="s">
        <v>49</v>
      </c>
      <c r="F43" s="339" t="s">
        <v>49</v>
      </c>
      <c r="G43" s="338" t="s">
        <v>44</v>
      </c>
      <c r="H43" s="338" t="s">
        <v>43</v>
      </c>
      <c r="I43" s="339" t="s">
        <v>53</v>
      </c>
      <c r="J43" s="339" t="s">
        <v>53</v>
      </c>
      <c r="K43" s="339" t="s">
        <v>47</v>
      </c>
      <c r="L43" s="338" t="s">
        <v>47</v>
      </c>
      <c r="M43" s="339" t="s">
        <v>45</v>
      </c>
      <c r="N43" s="338" t="s">
        <v>45</v>
      </c>
      <c r="O43" s="338" t="s">
        <v>43</v>
      </c>
      <c r="P43" s="339" t="s">
        <v>53</v>
      </c>
      <c r="Q43" s="339" t="s">
        <v>53</v>
      </c>
      <c r="R43" s="339" t="s">
        <v>47</v>
      </c>
      <c r="S43" s="338" t="s">
        <v>47</v>
      </c>
      <c r="T43" s="338" t="s">
        <v>45</v>
      </c>
      <c r="U43" s="339" t="s">
        <v>43</v>
      </c>
      <c r="V43" s="339" t="s">
        <v>43</v>
      </c>
      <c r="W43" s="339" t="s">
        <v>53</v>
      </c>
      <c r="X43" s="339" t="s">
        <v>53</v>
      </c>
      <c r="Y43" s="338" t="s">
        <v>47</v>
      </c>
      <c r="Z43" s="339" t="s">
        <v>47</v>
      </c>
      <c r="AA43" s="339" t="s">
        <v>45</v>
      </c>
      <c r="AB43" s="338" t="s">
        <v>44</v>
      </c>
      <c r="AC43" s="339" t="s">
        <v>45</v>
      </c>
      <c r="AD43" s="339" t="s">
        <v>53</v>
      </c>
      <c r="AE43" s="339" t="s">
        <v>53</v>
      </c>
      <c r="AF43" s="339" t="s">
        <v>49</v>
      </c>
      <c r="AG43" s="338"/>
      <c r="AH43" s="338"/>
    </row>
    <row r="44" ht="15.75" customHeight="1">
      <c r="A44" s="340" t="s">
        <v>274</v>
      </c>
      <c r="B44" s="339" t="s">
        <v>275</v>
      </c>
      <c r="C44" s="339" t="s">
        <v>47</v>
      </c>
      <c r="D44" s="339" t="s">
        <v>46</v>
      </c>
      <c r="E44" s="338" t="s">
        <v>45</v>
      </c>
      <c r="F44" s="338" t="s">
        <v>45</v>
      </c>
      <c r="G44" s="338" t="s">
        <v>43</v>
      </c>
      <c r="H44" s="339" t="s">
        <v>53</v>
      </c>
      <c r="I44" s="339" t="s">
        <v>53</v>
      </c>
      <c r="J44" s="339" t="s">
        <v>47</v>
      </c>
      <c r="K44" s="339" t="s">
        <v>47</v>
      </c>
      <c r="L44" s="338" t="s">
        <v>45</v>
      </c>
      <c r="M44" s="338" t="s">
        <v>43</v>
      </c>
      <c r="N44" s="338" t="s">
        <v>43</v>
      </c>
      <c r="O44" s="339" t="s">
        <v>53</v>
      </c>
      <c r="P44" s="339" t="s">
        <v>53</v>
      </c>
      <c r="Q44" s="339" t="s">
        <v>47</v>
      </c>
      <c r="R44" s="339" t="s">
        <v>46</v>
      </c>
      <c r="S44" s="338" t="s">
        <v>45</v>
      </c>
      <c r="T44" s="338" t="s">
        <v>44</v>
      </c>
      <c r="U44" s="339" t="s">
        <v>43</v>
      </c>
      <c r="V44" s="339" t="s">
        <v>53</v>
      </c>
      <c r="W44" s="339" t="s">
        <v>53</v>
      </c>
      <c r="X44" s="338" t="s">
        <v>45</v>
      </c>
      <c r="Y44" s="338" t="s">
        <v>46</v>
      </c>
      <c r="Z44" s="339" t="s">
        <v>45</v>
      </c>
      <c r="AA44" s="339" t="s">
        <v>48</v>
      </c>
      <c r="AB44" s="339" t="s">
        <v>48</v>
      </c>
      <c r="AC44" s="339" t="s">
        <v>53</v>
      </c>
      <c r="AD44" s="339" t="s">
        <v>53</v>
      </c>
      <c r="AE44" s="339" t="s">
        <v>47</v>
      </c>
      <c r="AF44" s="339" t="s">
        <v>45</v>
      </c>
      <c r="AG44" s="338"/>
      <c r="AH44" s="338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B1" s="359" t="s">
        <v>281</v>
      </c>
      <c r="C1" s="360"/>
      <c r="D1" s="360"/>
    </row>
  </sheetData>
  <conditionalFormatting sqref="B1:D1">
    <cfRule type="notContainsBlanks" dxfId="4" priority="1">
      <formula>LEN(TRIM(B1))&gt;0</formula>
    </cfRule>
  </conditionalFormatting>
  <drawing r:id="rId1"/>
</worksheet>
</file>