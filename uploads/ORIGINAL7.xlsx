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4"/>
    <sheet state="visible" name="Sheet2" sheetId="2" r:id="rId5"/>
    <sheet state="visible" name="ORIGIN MONTH 7" sheetId="3" r:id="rId6"/>
    <sheet state="visible" name="M0NTH7" sheetId="4" r:id="rId7"/>
    <sheet state="visible" name="ManPower7" sheetId="5" r:id="rId8"/>
    <sheet state="visible" name="Sumary" sheetId="6" r:id="rId9"/>
  </sheets>
  <definedNames/>
  <calcPr/>
  <extLst>
    <ext uri="GoogleSheetsCustomDataVersion2">
      <go:sheetsCustomData xmlns:go="http://customooxmlschemas.google.com/" r:id="rId10" roundtripDataChecksum="xUty3ssXN6S0yLOc5IC0fSkBvCfP0iGNRZgyjeNzUPw="/>
    </ext>
  </extLst>
</workbook>
</file>

<file path=xl/sharedStrings.xml><?xml version="1.0" encoding="utf-8"?>
<sst xmlns="http://schemas.openxmlformats.org/spreadsheetml/2006/main" count="4487" uniqueCount="276">
  <si>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</si>
  <si>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</si>
  <si>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</si>
  <si>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</si>
  <si>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</si>
  <si>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</si>
  <si>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</si>
  <si>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</si>
  <si>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</si>
  <si>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</si>
  <si>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</si>
  <si>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</si>
  <si>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</si>
  <si>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</si>
  <si>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</si>
  <si>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</si>
  <si>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</si>
  <si>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</si>
  <si>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</si>
  <si>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</si>
  <si>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</si>
  <si>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</si>
  <si>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</si>
  <si>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</si>
  <si>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</si>
  <si>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</si>
  <si>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</si>
  <si>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</si>
  <si>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</si>
  <si>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</si>
  <si>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</si>
  <si>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</si>
  <si>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</si>
  <si>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</si>
  <si>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</si>
  <si>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</si>
  <si>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</si>
  <si>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</si>
  <si>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</si>
  <si>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</si>
  <si>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</si>
  <si>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</si>
  <si>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</si>
  <si>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</si>
  <si>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</si>
  <si>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</si>
  <si>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</si>
  <si>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A2</t>
  </si>
  <si>
    <t>AL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</si>
  <si>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</si>
  <si>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</si>
  <si>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</si>
  <si>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</si>
  <si>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</si>
  <si>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</si>
  <si>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</si>
  <si>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</si>
  <si>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</si>
  <si>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</si>
  <si>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</si>
  <si>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</si>
  <si>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</si>
  <si>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</si>
  <si>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</si>
  <si>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</si>
  <si>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</si>
  <si>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</si>
  <si>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</si>
  <si>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</si>
  <si>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</si>
  <si>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</si>
  <si>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</si>
  <si>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</si>
  <si>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</si>
  <si>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</si>
  <si>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</si>
  <si>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</si>
  <si>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</si>
  <si>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</si>
  <si>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</si>
  <si>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</si>
  <si>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</si>
  <si>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</si>
  <si>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</si>
  <si>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</si>
  <si>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</si>
  <si>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</si>
  <si>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</si>
  <si>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</si>
  <si>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</si>
  <si>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</si>
  <si>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</si>
  <si>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</si>
  <si>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</si>
  <si>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</si>
  <si>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</si>
  <si>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</si>
  <si>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</si>
  <si>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</si>
  <si>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</si>
  <si>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</si>
  <si>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</si>
  <si>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</si>
  <si>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</si>
  <si>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</si>
  <si>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</si>
  <si>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</si>
  <si>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</si>
  <si>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</si>
  <si>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</si>
  <si>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</si>
  <si>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</si>
  <si>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</si>
  <si>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</si>
  <si>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</si>
  <si>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</si>
  <si>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</si>
  <si>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</si>
  <si>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</si>
  <si>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</si>
  <si>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</si>
  <si>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</si>
  <si>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</si>
  <si>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</si>
  <si>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</si>
  <si>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</si>
  <si>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</si>
  <si>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</si>
  <si>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</si>
  <si>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</si>
  <si>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</si>
  <si>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</si>
  <si>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</si>
  <si>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</si>
  <si>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</si>
  <si>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</si>
  <si>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</si>
  <si>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</si>
  <si>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</si>
  <si>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</si>
  <si>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</si>
  <si>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</si>
  <si>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</si>
  <si>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</si>
  <si>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</si>
  <si>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</si>
  <si>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</si>
  <si>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</si>
  <si>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</si>
  <si>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</si>
  <si>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</si>
  <si>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</si>
  <si>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</si>
  <si>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</si>
  <si>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</si>
  <si>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</si>
  <si>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</si>
  <si>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</si>
  <si>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</si>
  <si>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</si>
  <si>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</si>
  <si>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</si>
  <si>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</si>
  <si>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</si>
  <si>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</si>
  <si>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</si>
  <si>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</si>
  <si>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</si>
  <si>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</si>
  <si>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</si>
  <si>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</si>
  <si>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</si>
  <si>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</si>
  <si>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</si>
  <si>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</si>
  <si>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</si>
  <si>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</si>
  <si>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</si>
  <si>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</si>
  <si>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</si>
  <si>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</si>
  <si>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</si>
  <si>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</si>
  <si>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</si>
  <si>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</si>
  <si>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</si>
  <si>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</si>
  <si>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</si>
  <si>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</si>
  <si>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</si>
  <si>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</si>
  <si>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</si>
  <si>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</si>
  <si>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</si>
  <si>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</si>
  <si>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</si>
  <si>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</si>
  <si>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</si>
  <si>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</si>
  <si>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</si>
  <si>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</si>
  <si>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</si>
  <si>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</si>
  <si>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</si>
  <si>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</si>
  <si>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</si>
  <si>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</si>
  <si>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</si>
  <si>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</si>
  <si>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</si>
  <si>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</si>
  <si>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</si>
  <si>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</si>
  <si>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</si>
  <si>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</si>
  <si>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</si>
  <si>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</si>
  <si>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</si>
  <si>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</si>
  <si>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</si>
  <si>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</si>
  <si>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</si>
  <si>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</si>
  <si>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GA MONTHLY ROSTER</t>
  </si>
  <si>
    <t>Prepared by: MIN</t>
  </si>
  <si>
    <t>E .NAME</t>
  </si>
  <si>
    <t>29</t>
  </si>
  <si>
    <t>30</t>
  </si>
  <si>
    <t>1.Daisy</t>
  </si>
  <si>
    <t>2.Candy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</si>
  <si>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</si>
  <si>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</si>
  <si>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</si>
  <si>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</si>
  <si>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</si>
  <si>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</si>
  <si>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</si>
  <si>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</si>
  <si>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</si>
  <si>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</si>
  <si>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</si>
  <si>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</si>
  <si>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</si>
  <si>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</si>
  <si>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</si>
  <si>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</si>
  <si>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</si>
  <si>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</si>
  <si>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</si>
  <si>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</si>
  <si>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</si>
  <si>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</si>
  <si>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</si>
  <si>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</si>
  <si>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</si>
  <si>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</si>
  <si>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</si>
  <si>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</si>
  <si>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</si>
  <si>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</si>
  <si>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</si>
  <si>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</si>
  <si>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</si>
  <si>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</si>
  <si>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</si>
  <si>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</si>
  <si>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</si>
  <si>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</si>
  <si>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</si>
  <si>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</si>
  <si>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</si>
  <si>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</si>
  <si>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</si>
  <si>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 xml:space="preserve">OK </t>
  </si>
  <si>
    <t xml:space="preserve">NOT OK </t>
  </si>
  <si>
    <t>10,11/7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</si>
</sst>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41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</font>
    <font>
      <b/>
      <sz val="17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sz val="14.0"/>
      <color theme="1"/>
      <name val="Arial"/>
    </font>
    <font>
      <u/>
      <sz val="9.0"/>
      <color rgb="FFFF00FF"/>
      <name val="Arial"/>
    </font>
    <font>
      <i/>
      <sz val="12.0"/>
      <color theme="1"/>
      <name val="Arial"/>
    </font>
    <font>
      <b/>
      <sz val="8.0"/>
      <color rgb="FF073763"/>
      <name val="Arial"/>
    </font>
    <font>
      <b/>
      <color theme="8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E06666"/>
        <bgColor rgb="FFE06666"/>
      </patternFill>
    </fill>
    <fill>
      <patternFill patternType="solid">
        <fgColor rgb="FF434343"/>
        <bgColor rgb="FF434343"/>
      </patternFill>
    </fill>
  </fills>
  <borders count="58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/>
      <right/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48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0" fillId="0" fontId="32" numFmtId="0" xfId="0" applyFont="1"/>
    <xf borderId="0" fillId="0" fontId="32" numFmtId="164" xfId="0" applyAlignment="1" applyFont="1" applyNumberFormat="1">
      <alignment horizontal="center"/>
    </xf>
    <xf borderId="0" fillId="0" fontId="32" numFmtId="0" xfId="0" applyAlignment="1" applyFont="1">
      <alignment horizontal="center"/>
    </xf>
    <xf borderId="0" fillId="0" fontId="32" numFmtId="164" xfId="0" applyFont="1" applyNumberFormat="1"/>
    <xf borderId="2" fillId="3" fontId="33" numFmtId="0" xfId="0" applyAlignment="1" applyBorder="1" applyFont="1">
      <alignment horizontal="left" vertical="center"/>
    </xf>
    <xf borderId="3" fillId="3" fontId="33" numFmtId="0" xfId="0" applyAlignment="1" applyBorder="1" applyFont="1">
      <alignment horizontal="center" vertical="center"/>
    </xf>
    <xf borderId="39" fillId="3" fontId="33" numFmtId="0" xfId="0" applyAlignment="1" applyBorder="1" applyFont="1">
      <alignment horizontal="center" vertical="center"/>
    </xf>
    <xf borderId="1" fillId="2" fontId="34" numFmtId="49" xfId="0" applyAlignment="1" applyBorder="1" applyFont="1" applyNumberFormat="1">
      <alignment horizontal="center" vertical="center"/>
    </xf>
    <xf borderId="1" fillId="2" fontId="34" numFmtId="0" xfId="0" applyAlignment="1" applyBorder="1" applyFont="1">
      <alignment horizontal="center" vertical="center"/>
    </xf>
    <xf borderId="1" fillId="2" fontId="34" numFmtId="0" xfId="0" applyAlignment="1" applyBorder="1" applyFont="1">
      <alignment vertical="center"/>
    </xf>
    <xf borderId="40" fillId="2" fontId="35" numFmtId="0" xfId="0" applyAlignment="1" applyBorder="1" applyFont="1">
      <alignment horizontal="left"/>
    </xf>
    <xf borderId="40" fillId="3" fontId="35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5" numFmtId="49" xfId="0" applyAlignment="1" applyBorder="1" applyFont="1" applyNumberFormat="1">
      <alignment horizontal="center" vertical="center"/>
    </xf>
    <xf borderId="1" fillId="3" fontId="35" numFmtId="49" xfId="0" applyAlignment="1" applyBorder="1" applyFont="1" applyNumberFormat="1">
      <alignment horizontal="center" vertical="center"/>
    </xf>
    <xf borderId="1" fillId="3" fontId="35" numFmtId="0" xfId="0" applyAlignment="1" applyBorder="1" applyFont="1">
      <alignment horizontal="center" vertical="center"/>
    </xf>
    <xf borderId="1" fillId="3" fontId="35" numFmtId="0" xfId="0" applyAlignment="1" applyBorder="1" applyFont="1">
      <alignment vertical="center"/>
    </xf>
    <xf borderId="11" fillId="2" fontId="6" numFmtId="0" xfId="0" applyAlignment="1" applyBorder="1" applyFont="1">
      <alignment horizontal="left" vertical="center"/>
    </xf>
    <xf borderId="36" fillId="2" fontId="8" numFmtId="49" xfId="0" applyAlignment="1" applyBorder="1" applyFont="1" applyNumberFormat="1">
      <alignment horizontal="center" shrinkToFit="0" vertical="center" wrapText="1"/>
    </xf>
    <xf borderId="39" fillId="3" fontId="1" numFmtId="49" xfId="0" applyAlignment="1" applyBorder="1" applyFont="1" applyNumberFormat="1">
      <alignment horizontal="center" vertical="center"/>
    </xf>
    <xf borderId="18" fillId="3" fontId="6" numFmtId="49" xfId="0" applyAlignment="1" applyBorder="1" applyFont="1" applyNumberFormat="1">
      <alignment horizontal="center" vertical="center"/>
    </xf>
    <xf borderId="11" fillId="3" fontId="6" numFmtId="49" xfId="0" applyAlignment="1" applyBorder="1" applyFont="1" applyNumberFormat="1">
      <alignment horizontal="center" vertical="center"/>
    </xf>
    <xf borderId="19" fillId="3" fontId="6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vertical="center"/>
    </xf>
    <xf borderId="36" fillId="0" fontId="1" numFmtId="49" xfId="0" applyAlignment="1" applyBorder="1" applyFont="1" applyNumberFormat="1">
      <alignment vertical="center"/>
    </xf>
    <xf borderId="18" fillId="2" fontId="13" numFmtId="49" xfId="0" applyAlignment="1" applyBorder="1" applyFont="1" applyNumberFormat="1">
      <alignment horizontal="center" vertical="center"/>
    </xf>
    <xf borderId="11" fillId="2" fontId="13" numFmtId="0" xfId="0" applyAlignment="1" applyBorder="1" applyFont="1">
      <alignment horizontal="center" vertical="center"/>
    </xf>
    <xf borderId="18" fillId="2" fontId="13" numFmtId="0" xfId="0" applyAlignment="1" applyBorder="1" applyFont="1">
      <alignment horizontal="center" vertical="center"/>
    </xf>
    <xf borderId="19" fillId="2" fontId="13" numFmtId="49" xfId="0" applyAlignment="1" applyBorder="1" applyFont="1" applyNumberFormat="1">
      <alignment horizontal="center" vertical="center"/>
    </xf>
    <xf borderId="11" fillId="0" fontId="36" numFmtId="49" xfId="0" applyAlignment="1" applyBorder="1" applyFont="1" applyNumberFormat="1">
      <alignment horizontal="center" vertical="center"/>
    </xf>
    <xf borderId="18" fillId="0" fontId="36" numFmtId="49" xfId="0" applyAlignment="1" applyBorder="1" applyFont="1" applyNumberFormat="1">
      <alignment horizontal="center" vertical="center"/>
    </xf>
    <xf borderId="19" fillId="2" fontId="13" numFmtId="0" xfId="0" applyAlignment="1" applyBorder="1" applyFont="1">
      <alignment horizontal="center" vertical="center"/>
    </xf>
    <xf borderId="19" fillId="0" fontId="36" numFmtId="49" xfId="0" applyAlignment="1" applyBorder="1" applyFont="1" applyNumberFormat="1">
      <alignment horizontal="center" vertical="center"/>
    </xf>
    <xf borderId="36" fillId="0" fontId="37" numFmtId="49" xfId="0" applyAlignment="1" applyBorder="1" applyFont="1" applyNumberFormat="1">
      <alignment vertical="center"/>
    </xf>
    <xf borderId="18" fillId="2" fontId="38" numFmtId="49" xfId="0" applyAlignment="1" applyBorder="1" applyFont="1" applyNumberFormat="1">
      <alignment horizontal="center" vertical="center"/>
    </xf>
    <xf borderId="19" fillId="2" fontId="13" numFmtId="0" xfId="0" applyAlignment="1" applyBorder="1" applyFont="1">
      <alignment horizontal="center" shrinkToFit="0" vertical="center" wrapText="1"/>
    </xf>
    <xf borderId="18" fillId="2" fontId="13" numFmtId="0" xfId="0" applyAlignment="1" applyBorder="1" applyFont="1">
      <alignment horizontal="center" shrinkToFit="0" vertical="center" wrapText="1"/>
    </xf>
    <xf borderId="11" fillId="2" fontId="13" numFmtId="0" xfId="0" applyAlignment="1" applyBorder="1" applyFont="1">
      <alignment horizontal="center" shrinkToFit="0" vertical="center" wrapText="1"/>
    </xf>
    <xf borderId="11" fillId="2" fontId="6" numFmtId="0" xfId="0" applyAlignment="1" applyBorder="1" applyFont="1">
      <alignment horizontal="left"/>
    </xf>
    <xf borderId="36" fillId="0" fontId="1" numFmtId="49" xfId="0" applyAlignment="1" applyBorder="1" applyFont="1" applyNumberFormat="1">
      <alignment horizontal="center" vertical="center"/>
    </xf>
    <xf borderId="20" fillId="2" fontId="13" numFmtId="49" xfId="0" applyAlignment="1" applyBorder="1" applyFont="1" applyNumberFormat="1">
      <alignment horizontal="center" vertical="center"/>
    </xf>
    <xf borderId="21" fillId="2" fontId="13" numFmtId="49" xfId="0" applyAlignment="1" applyBorder="1" applyFont="1" applyNumberFormat="1">
      <alignment horizontal="center" vertical="center"/>
    </xf>
    <xf borderId="22" fillId="2" fontId="13" numFmtId="0" xfId="0" applyAlignment="1" applyBorder="1" applyFont="1">
      <alignment horizontal="center" shrinkToFit="0" vertical="center" wrapText="1"/>
    </xf>
    <xf borderId="20" fillId="2" fontId="13" numFmtId="0" xfId="0" applyAlignment="1" applyBorder="1" applyFont="1">
      <alignment horizontal="center" shrinkToFit="0" vertical="center" wrapText="1"/>
    </xf>
    <xf borderId="21" fillId="2" fontId="13" numFmtId="0" xfId="0" applyAlignment="1" applyBorder="1" applyFont="1">
      <alignment horizontal="center" shrinkToFit="0" vertical="center" wrapText="1"/>
    </xf>
    <xf borderId="21" fillId="2" fontId="13" numFmtId="0" xfId="0" applyAlignment="1" applyBorder="1" applyFont="1">
      <alignment horizontal="center" vertical="center"/>
    </xf>
    <xf borderId="22" fillId="2" fontId="13" numFmtId="49" xfId="0" applyAlignment="1" applyBorder="1" applyFont="1" applyNumberFormat="1">
      <alignment horizontal="center" vertical="center"/>
    </xf>
    <xf borderId="0" fillId="2" fontId="1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43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1" numFmtId="0" xfId="0" applyAlignment="1" applyBorder="1" applyFont="1">
      <alignment horizontal="left"/>
    </xf>
    <xf borderId="36" fillId="0" fontId="10" numFmtId="49" xfId="0" applyAlignment="1" applyBorder="1" applyFont="1" applyNumberFormat="1">
      <alignment horizontal="center" vertical="center"/>
    </xf>
    <xf borderId="36" fillId="0" fontId="31" numFmtId="49" xfId="0" applyAlignment="1" applyBorder="1" applyFont="1" applyNumberFormat="1">
      <alignment horizontal="center" vertical="center"/>
    </xf>
    <xf borderId="44" fillId="3" fontId="29" numFmtId="0" xfId="0" applyAlignment="1" applyBorder="1" applyFont="1">
      <alignment horizontal="center" vertical="center"/>
    </xf>
    <xf borderId="45" fillId="3" fontId="29" numFmtId="0" xfId="0" applyAlignment="1" applyBorder="1" applyFont="1">
      <alignment horizontal="center" vertical="center"/>
    </xf>
    <xf borderId="46" fillId="3" fontId="29" numFmtId="0" xfId="0" applyAlignment="1" applyBorder="1" applyFont="1">
      <alignment horizontal="center" vertical="center"/>
    </xf>
    <xf borderId="36" fillId="0" fontId="39" numFmtId="49" xfId="0" applyAlignment="1" applyBorder="1" applyFont="1" applyNumberFormat="1">
      <alignment horizontal="center" vertical="center"/>
    </xf>
    <xf borderId="20" fillId="15" fontId="31" numFmtId="0" xfId="0" applyAlignment="1" applyBorder="1" applyFill="1" applyFont="1">
      <alignment horizontal="center" vertical="center"/>
    </xf>
    <xf borderId="21" fillId="15" fontId="31" numFmtId="0" xfId="0" applyAlignment="1" applyBorder="1" applyFont="1">
      <alignment horizontal="center" vertical="center"/>
    </xf>
    <xf borderId="22" fillId="3" fontId="31" numFmtId="0" xfId="0" applyAlignment="1" applyBorder="1" applyFont="1">
      <alignment horizontal="center" vertical="center"/>
    </xf>
    <xf borderId="20" fillId="3" fontId="31" numFmtId="0" xfId="0" applyAlignment="1" applyBorder="1" applyFont="1">
      <alignment horizontal="center" vertical="center"/>
    </xf>
    <xf borderId="21" fillId="3" fontId="31" numFmtId="0" xfId="0" applyAlignment="1" applyBorder="1" applyFont="1">
      <alignment horizontal="center" vertical="center"/>
    </xf>
    <xf borderId="22" fillId="15" fontId="31" numFmtId="0" xfId="0" applyAlignment="1" applyBorder="1" applyFont="1">
      <alignment horizontal="center" vertical="center"/>
    </xf>
    <xf borderId="11" fillId="0" fontId="32" numFmtId="0" xfId="0" applyAlignment="1" applyBorder="1" applyFont="1">
      <alignment horizontal="center"/>
    </xf>
    <xf borderId="11" fillId="0" fontId="32" numFmtId="49" xfId="0" applyAlignment="1" applyBorder="1" applyFont="1" applyNumberFormat="1">
      <alignment horizontal="center"/>
    </xf>
    <xf borderId="11" fillId="0" fontId="32" numFmtId="0" xfId="0" applyBorder="1" applyFont="1"/>
    <xf borderId="11" fillId="0" fontId="32" numFmtId="49" xfId="0" applyBorder="1" applyFont="1" applyNumberFormat="1"/>
    <xf borderId="47" fillId="0" fontId="32" numFmtId="49" xfId="0" applyAlignment="1" applyBorder="1" applyFont="1" applyNumberFormat="1">
      <alignment horizontal="center"/>
    </xf>
    <xf borderId="48" fillId="0" fontId="32" numFmtId="49" xfId="0" applyAlignment="1" applyBorder="1" applyFont="1" applyNumberFormat="1">
      <alignment horizontal="center"/>
    </xf>
    <xf borderId="49" fillId="0" fontId="32" numFmtId="49" xfId="0" applyAlignment="1" applyBorder="1" applyFont="1" applyNumberFormat="1">
      <alignment horizontal="center"/>
    </xf>
    <xf borderId="50" fillId="0" fontId="32" numFmtId="49" xfId="0" applyAlignment="1" applyBorder="1" applyFont="1" applyNumberFormat="1">
      <alignment horizontal="center"/>
    </xf>
    <xf borderId="51" fillId="0" fontId="32" numFmtId="49" xfId="0" applyAlignment="1" applyBorder="1" applyFont="1" applyNumberFormat="1">
      <alignment horizontal="center"/>
    </xf>
    <xf borderId="52" fillId="0" fontId="32" numFmtId="49" xfId="0" applyAlignment="1" applyBorder="1" applyFont="1" applyNumberFormat="1">
      <alignment horizontal="center"/>
    </xf>
    <xf borderId="53" fillId="0" fontId="32" numFmtId="49" xfId="0" applyAlignment="1" applyBorder="1" applyFont="1" applyNumberFormat="1">
      <alignment horizontal="center"/>
    </xf>
    <xf borderId="52" fillId="0" fontId="32" numFmtId="0" xfId="0" applyAlignment="1" applyBorder="1" applyFont="1">
      <alignment horizontal="center"/>
    </xf>
    <xf borderId="53" fillId="0" fontId="32" numFmtId="0" xfId="0" applyAlignment="1" applyBorder="1" applyFont="1">
      <alignment horizontal="center"/>
    </xf>
    <xf borderId="54" fillId="0" fontId="32" numFmtId="49" xfId="0" applyAlignment="1" applyBorder="1" applyFont="1" applyNumberFormat="1">
      <alignment horizontal="center"/>
    </xf>
    <xf borderId="55" fillId="0" fontId="32" numFmtId="0" xfId="0" applyAlignment="1" applyBorder="1" applyFont="1">
      <alignment horizontal="center"/>
    </xf>
    <xf borderId="56" fillId="0" fontId="32" numFmtId="0" xfId="0" applyAlignment="1" applyBorder="1" applyFont="1">
      <alignment horizontal="center"/>
    </xf>
    <xf borderId="57" fillId="0" fontId="32" numFmtId="0" xfId="0" applyAlignment="1" applyBorder="1" applyFont="1">
      <alignment horizontal="center"/>
    </xf>
    <xf borderId="0" fillId="16" fontId="40" numFmtId="0" xfId="0" applyAlignment="1" applyFill="1" applyFon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34" t="s">
        <v>50</v>
      </c>
      <c r="B5" s="35">
        <v>1.0</v>
      </c>
      <c r="C5" s="36" t="s">
        <v>51</v>
      </c>
      <c r="D5" s="37" t="s">
        <v>52</v>
      </c>
      <c r="E5" s="38" t="s">
        <v>47</v>
      </c>
      <c r="F5" s="39" t="s">
        <v>47</v>
      </c>
      <c r="G5" s="40" t="s">
        <v>47</v>
      </c>
      <c r="H5" s="41" t="s">
        <v>45</v>
      </c>
      <c r="I5" s="42" t="s">
        <v>45</v>
      </c>
      <c r="J5" s="40" t="s">
        <v>43</v>
      </c>
      <c r="K5" s="43" t="s">
        <v>53</v>
      </c>
      <c r="L5" s="43" t="s">
        <v>53</v>
      </c>
      <c r="M5" s="44" t="s">
        <v>47</v>
      </c>
      <c r="N5" s="39" t="s">
        <v>45</v>
      </c>
      <c r="O5" s="45" t="s">
        <v>44</v>
      </c>
      <c r="P5" s="38" t="s">
        <v>44</v>
      </c>
      <c r="Q5" s="39" t="s">
        <v>43</v>
      </c>
      <c r="R5" s="43" t="s">
        <v>53</v>
      </c>
      <c r="S5" s="43" t="s">
        <v>53</v>
      </c>
      <c r="T5" s="44" t="s">
        <v>47</v>
      </c>
      <c r="U5" s="44" t="s">
        <v>47</v>
      </c>
      <c r="V5" s="45" t="s">
        <v>45</v>
      </c>
      <c r="W5" s="38" t="s">
        <v>43</v>
      </c>
      <c r="X5" s="39" t="s">
        <v>43</v>
      </c>
      <c r="Y5" s="43" t="s">
        <v>53</v>
      </c>
      <c r="Z5" s="43" t="s">
        <v>53</v>
      </c>
      <c r="AA5" s="44" t="s">
        <v>47</v>
      </c>
      <c r="AB5" s="44" t="s">
        <v>46</v>
      </c>
      <c r="AC5" s="45" t="s">
        <v>45</v>
      </c>
      <c r="AD5" s="42" t="s">
        <v>45</v>
      </c>
      <c r="AE5" s="40" t="s">
        <v>44</v>
      </c>
      <c r="AF5" s="46" t="s">
        <v>53</v>
      </c>
      <c r="AG5" s="25"/>
      <c r="AH5" s="47">
        <f t="shared" ref="AH5:AH47" si="1">SUM(AI5:AJ5)</f>
        <v>7</v>
      </c>
      <c r="AI5" s="48">
        <f t="shared" ref="AI5:AI47" si="2">COUNTIF($E5:$AF5,"D5")</f>
        <v>4</v>
      </c>
      <c r="AJ5" s="48">
        <f t="shared" ref="AJ5:AJ47" si="3">COUNTIF($E5:$AF5,"C6")</f>
        <v>3</v>
      </c>
      <c r="AK5" s="49">
        <f t="shared" ref="AK5:AK47" si="4">COUNTIF($E5:$AF5,"B5")</f>
        <v>6</v>
      </c>
      <c r="AL5" s="50">
        <f t="shared" ref="AL5:AL47" si="5">COUNTIF($E5:$AF5,"A8")</f>
        <v>1</v>
      </c>
      <c r="AM5" s="51">
        <f t="shared" ref="AM5:AM47" si="6">COUNTIF($E5:$AF5,"A2")</f>
        <v>7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54</v>
      </c>
      <c r="B6" s="47">
        <v>2.0</v>
      </c>
      <c r="C6" s="54" t="s">
        <v>55</v>
      </c>
      <c r="D6" s="55" t="s">
        <v>56</v>
      </c>
      <c r="E6" s="56" t="s">
        <v>43</v>
      </c>
      <c r="F6" s="57" t="s">
        <v>44</v>
      </c>
      <c r="G6" s="58" t="s">
        <v>53</v>
      </c>
      <c r="H6" s="59" t="s">
        <v>53</v>
      </c>
      <c r="I6" s="60" t="s">
        <v>45</v>
      </c>
      <c r="J6" s="57" t="s">
        <v>45</v>
      </c>
      <c r="K6" s="61" t="s">
        <v>45</v>
      </c>
      <c r="L6" s="61" t="s">
        <v>44</v>
      </c>
      <c r="M6" s="57" t="s">
        <v>43</v>
      </c>
      <c r="N6" s="58" t="s">
        <v>53</v>
      </c>
      <c r="O6" s="59" t="s">
        <v>53</v>
      </c>
      <c r="P6" s="62" t="s">
        <v>53</v>
      </c>
      <c r="Q6" s="63" t="s">
        <v>57</v>
      </c>
      <c r="R6" s="63" t="s">
        <v>57</v>
      </c>
      <c r="S6" s="64" t="s">
        <v>57</v>
      </c>
      <c r="T6" s="64" t="s">
        <v>57</v>
      </c>
      <c r="U6" s="63" t="s">
        <v>57</v>
      </c>
      <c r="V6" s="59" t="s">
        <v>53</v>
      </c>
      <c r="W6" s="60" t="s">
        <v>47</v>
      </c>
      <c r="X6" s="57" t="s">
        <v>46</v>
      </c>
      <c r="Y6" s="57" t="s">
        <v>47</v>
      </c>
      <c r="Z6" s="61" t="s">
        <v>43</v>
      </c>
      <c r="AA6" s="57" t="s">
        <v>43</v>
      </c>
      <c r="AB6" s="58" t="s">
        <v>53</v>
      </c>
      <c r="AC6" s="59" t="s">
        <v>53</v>
      </c>
      <c r="AD6" s="60" t="s">
        <v>45</v>
      </c>
      <c r="AE6" s="65" t="s">
        <v>45</v>
      </c>
      <c r="AF6" s="66" t="s">
        <v>45</v>
      </c>
      <c r="AG6" s="25"/>
      <c r="AH6" s="47">
        <f t="shared" si="1"/>
        <v>6</v>
      </c>
      <c r="AI6" s="48">
        <f t="shared" si="2"/>
        <v>4</v>
      </c>
      <c r="AJ6" s="48">
        <f t="shared" si="3"/>
        <v>2</v>
      </c>
      <c r="AK6" s="49">
        <f t="shared" si="4"/>
        <v>6</v>
      </c>
      <c r="AL6" s="50">
        <f t="shared" si="5"/>
        <v>1</v>
      </c>
      <c r="AM6" s="51">
        <f t="shared" si="6"/>
        <v>2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58</v>
      </c>
      <c r="B7" s="47">
        <v>3.0</v>
      </c>
      <c r="C7" s="54" t="s">
        <v>59</v>
      </c>
      <c r="D7" s="55" t="s">
        <v>60</v>
      </c>
      <c r="E7" s="60" t="s">
        <v>44</v>
      </c>
      <c r="F7" s="68" t="s">
        <v>43</v>
      </c>
      <c r="G7" s="58" t="s">
        <v>53</v>
      </c>
      <c r="H7" s="59" t="s">
        <v>53</v>
      </c>
      <c r="I7" s="69" t="s">
        <v>57</v>
      </c>
      <c r="J7" s="63" t="s">
        <v>57</v>
      </c>
      <c r="K7" s="63" t="s">
        <v>57</v>
      </c>
      <c r="L7" s="64" t="s">
        <v>57</v>
      </c>
      <c r="M7" s="63" t="s">
        <v>57</v>
      </c>
      <c r="N7" s="58" t="s">
        <v>53</v>
      </c>
      <c r="O7" s="59" t="s">
        <v>53</v>
      </c>
      <c r="P7" s="60" t="s">
        <v>45</v>
      </c>
      <c r="Q7" s="57" t="s">
        <v>45</v>
      </c>
      <c r="R7" s="57" t="s">
        <v>45</v>
      </c>
      <c r="S7" s="61" t="s">
        <v>45</v>
      </c>
      <c r="T7" s="57" t="s">
        <v>45</v>
      </c>
      <c r="U7" s="58" t="s">
        <v>53</v>
      </c>
      <c r="V7" s="59" t="s">
        <v>53</v>
      </c>
      <c r="W7" s="60" t="s">
        <v>45</v>
      </c>
      <c r="X7" s="57" t="s">
        <v>45</v>
      </c>
      <c r="Y7" s="57" t="s">
        <v>43</v>
      </c>
      <c r="Z7" s="61" t="s">
        <v>43</v>
      </c>
      <c r="AA7" s="57" t="s">
        <v>44</v>
      </c>
      <c r="AB7" s="58" t="s">
        <v>53</v>
      </c>
      <c r="AC7" s="59" t="s">
        <v>53</v>
      </c>
      <c r="AD7" s="60" t="s">
        <v>47</v>
      </c>
      <c r="AE7" s="65" t="s">
        <v>47</v>
      </c>
      <c r="AF7" s="70" t="s">
        <v>43</v>
      </c>
      <c r="AG7" s="25"/>
      <c r="AH7" s="47">
        <f t="shared" si="1"/>
        <v>6</v>
      </c>
      <c r="AI7" s="48">
        <f t="shared" si="2"/>
        <v>4</v>
      </c>
      <c r="AJ7" s="48">
        <f t="shared" si="3"/>
        <v>2</v>
      </c>
      <c r="AK7" s="49">
        <f t="shared" si="4"/>
        <v>7</v>
      </c>
      <c r="AL7" s="50">
        <f t="shared" si="5"/>
        <v>0</v>
      </c>
      <c r="AM7" s="51">
        <f t="shared" si="6"/>
        <v>2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61</v>
      </c>
      <c r="B8" s="47">
        <v>4.0</v>
      </c>
      <c r="C8" s="54" t="s">
        <v>62</v>
      </c>
      <c r="D8" s="71" t="s">
        <v>63</v>
      </c>
      <c r="E8" s="60" t="s">
        <v>44</v>
      </c>
      <c r="F8" s="65" t="s">
        <v>43</v>
      </c>
      <c r="G8" s="58" t="s">
        <v>53</v>
      </c>
      <c r="H8" s="59" t="s">
        <v>53</v>
      </c>
      <c r="I8" s="69" t="s">
        <v>57</v>
      </c>
      <c r="J8" s="63" t="s">
        <v>57</v>
      </c>
      <c r="K8" s="63" t="s">
        <v>57</v>
      </c>
      <c r="L8" s="64" t="s">
        <v>57</v>
      </c>
      <c r="M8" s="63" t="s">
        <v>57</v>
      </c>
      <c r="N8" s="58" t="s">
        <v>53</v>
      </c>
      <c r="O8" s="59" t="s">
        <v>53</v>
      </c>
      <c r="P8" s="60" t="s">
        <v>45</v>
      </c>
      <c r="Q8" s="57" t="s">
        <v>45</v>
      </c>
      <c r="R8" s="57" t="s">
        <v>45</v>
      </c>
      <c r="S8" s="57" t="s">
        <v>44</v>
      </c>
      <c r="T8" s="57" t="s">
        <v>43</v>
      </c>
      <c r="U8" s="58" t="s">
        <v>53</v>
      </c>
      <c r="V8" s="59" t="s">
        <v>53</v>
      </c>
      <c r="W8" s="60" t="s">
        <v>45</v>
      </c>
      <c r="X8" s="57" t="s">
        <v>45</v>
      </c>
      <c r="Y8" s="57" t="s">
        <v>45</v>
      </c>
      <c r="Z8" s="57" t="s">
        <v>45</v>
      </c>
      <c r="AA8" s="57" t="s">
        <v>45</v>
      </c>
      <c r="AB8" s="58" t="s">
        <v>53</v>
      </c>
      <c r="AC8" s="59" t="s">
        <v>53</v>
      </c>
      <c r="AD8" s="60" t="s">
        <v>45</v>
      </c>
      <c r="AE8" s="57" t="s">
        <v>45</v>
      </c>
      <c r="AF8" s="70" t="s">
        <v>44</v>
      </c>
      <c r="AG8" s="25"/>
      <c r="AH8" s="47">
        <f t="shared" si="1"/>
        <v>5</v>
      </c>
      <c r="AI8" s="48">
        <f t="shared" si="2"/>
        <v>2</v>
      </c>
      <c r="AJ8" s="48">
        <f t="shared" si="3"/>
        <v>3</v>
      </c>
      <c r="AK8" s="49">
        <f t="shared" si="4"/>
        <v>10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64</v>
      </c>
      <c r="B9" s="47">
        <v>5.0</v>
      </c>
      <c r="C9" s="54" t="s">
        <v>65</v>
      </c>
      <c r="D9" s="73" t="s">
        <v>66</v>
      </c>
      <c r="E9" s="56" t="s">
        <v>47</v>
      </c>
      <c r="F9" s="61" t="s">
        <v>47</v>
      </c>
      <c r="G9" s="68" t="s">
        <v>43</v>
      </c>
      <c r="H9" s="59" t="s">
        <v>53</v>
      </c>
      <c r="I9" s="62" t="s">
        <v>53</v>
      </c>
      <c r="J9" s="57" t="s">
        <v>47</v>
      </c>
      <c r="K9" s="65" t="s">
        <v>47</v>
      </c>
      <c r="L9" s="65" t="s">
        <v>47</v>
      </c>
      <c r="M9" s="57" t="s">
        <v>43</v>
      </c>
      <c r="N9" s="65" t="s">
        <v>43</v>
      </c>
      <c r="O9" s="59" t="s">
        <v>53</v>
      </c>
      <c r="P9" s="62" t="s">
        <v>53</v>
      </c>
      <c r="Q9" s="65" t="s">
        <v>47</v>
      </c>
      <c r="R9" s="57" t="s">
        <v>47</v>
      </c>
      <c r="S9" s="57" t="s">
        <v>45</v>
      </c>
      <c r="T9" s="57" t="s">
        <v>44</v>
      </c>
      <c r="U9" s="57" t="s">
        <v>43</v>
      </c>
      <c r="V9" s="59" t="s">
        <v>53</v>
      </c>
      <c r="W9" s="62" t="s">
        <v>53</v>
      </c>
      <c r="X9" s="65" t="s">
        <v>45</v>
      </c>
      <c r="Y9" s="57" t="s">
        <v>45</v>
      </c>
      <c r="Z9" s="57" t="s">
        <v>45</v>
      </c>
      <c r="AA9" s="57" t="s">
        <v>44</v>
      </c>
      <c r="AB9" s="57" t="s">
        <v>43</v>
      </c>
      <c r="AC9" s="59" t="s">
        <v>53</v>
      </c>
      <c r="AD9" s="62" t="s">
        <v>53</v>
      </c>
      <c r="AE9" s="65" t="s">
        <v>47</v>
      </c>
      <c r="AF9" s="70" t="s">
        <v>47</v>
      </c>
      <c r="AG9" s="25"/>
      <c r="AH9" s="47">
        <f t="shared" si="1"/>
        <v>7</v>
      </c>
      <c r="AI9" s="48">
        <f t="shared" si="2"/>
        <v>5</v>
      </c>
      <c r="AJ9" s="48">
        <f t="shared" si="3"/>
        <v>2</v>
      </c>
      <c r="AK9" s="49">
        <f t="shared" si="4"/>
        <v>4</v>
      </c>
      <c r="AL9" s="50">
        <f t="shared" si="5"/>
        <v>0</v>
      </c>
      <c r="AM9" s="51">
        <f t="shared" si="6"/>
        <v>9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67</v>
      </c>
      <c r="B10" s="47">
        <v>6.0</v>
      </c>
      <c r="C10" s="54" t="s">
        <v>68</v>
      </c>
      <c r="D10" s="74" t="s">
        <v>69</v>
      </c>
      <c r="E10" s="56" t="s">
        <v>47</v>
      </c>
      <c r="F10" s="68" t="s">
        <v>47</v>
      </c>
      <c r="G10" s="68" t="s">
        <v>43</v>
      </c>
      <c r="H10" s="59" t="s">
        <v>53</v>
      </c>
      <c r="I10" s="62" t="s">
        <v>53</v>
      </c>
      <c r="J10" s="61" t="s">
        <v>47</v>
      </c>
      <c r="K10" s="68" t="s">
        <v>47</v>
      </c>
      <c r="L10" s="65" t="s">
        <v>44</v>
      </c>
      <c r="M10" s="65" t="s">
        <v>44</v>
      </c>
      <c r="N10" s="65" t="s">
        <v>49</v>
      </c>
      <c r="O10" s="59" t="s">
        <v>53</v>
      </c>
      <c r="P10" s="62" t="s">
        <v>53</v>
      </c>
      <c r="Q10" s="65" t="s">
        <v>47</v>
      </c>
      <c r="R10" s="65" t="s">
        <v>47</v>
      </c>
      <c r="S10" s="57" t="s">
        <v>45</v>
      </c>
      <c r="T10" s="57" t="s">
        <v>43</v>
      </c>
      <c r="U10" s="57" t="s">
        <v>43</v>
      </c>
      <c r="V10" s="59" t="s">
        <v>53</v>
      </c>
      <c r="W10" s="62" t="s">
        <v>53</v>
      </c>
      <c r="X10" s="65" t="s">
        <v>45</v>
      </c>
      <c r="Y10" s="57" t="s">
        <v>45</v>
      </c>
      <c r="Z10" s="57" t="s">
        <v>45</v>
      </c>
      <c r="AA10" s="57" t="s">
        <v>44</v>
      </c>
      <c r="AB10" s="57" t="s">
        <v>44</v>
      </c>
      <c r="AC10" s="59" t="s">
        <v>53</v>
      </c>
      <c r="AD10" s="62" t="s">
        <v>53</v>
      </c>
      <c r="AE10" s="65" t="s">
        <v>47</v>
      </c>
      <c r="AF10" s="75" t="s">
        <v>47</v>
      </c>
      <c r="AG10" s="25"/>
      <c r="AH10" s="47">
        <f t="shared" si="1"/>
        <v>7</v>
      </c>
      <c r="AI10" s="48">
        <f t="shared" si="2"/>
        <v>3</v>
      </c>
      <c r="AJ10" s="48">
        <f t="shared" si="3"/>
        <v>4</v>
      </c>
      <c r="AK10" s="49">
        <f t="shared" si="4"/>
        <v>4</v>
      </c>
      <c r="AL10" s="50">
        <f t="shared" si="5"/>
        <v>0</v>
      </c>
      <c r="AM10" s="51">
        <f t="shared" si="6"/>
        <v>8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70</v>
      </c>
      <c r="B11" s="47">
        <v>7.0</v>
      </c>
      <c r="C11" s="54" t="s">
        <v>71</v>
      </c>
      <c r="D11" s="71" t="s">
        <v>72</v>
      </c>
      <c r="E11" s="76" t="s">
        <v>43</v>
      </c>
      <c r="F11" s="65" t="s">
        <v>43</v>
      </c>
      <c r="G11" s="58" t="s">
        <v>53</v>
      </c>
      <c r="H11" s="59" t="s">
        <v>53</v>
      </c>
      <c r="I11" s="69" t="s">
        <v>57</v>
      </c>
      <c r="J11" s="63" t="s">
        <v>57</v>
      </c>
      <c r="K11" s="63" t="s">
        <v>57</v>
      </c>
      <c r="L11" s="64" t="s">
        <v>57</v>
      </c>
      <c r="M11" s="63" t="s">
        <v>57</v>
      </c>
      <c r="N11" s="58" t="s">
        <v>53</v>
      </c>
      <c r="O11" s="59" t="s">
        <v>53</v>
      </c>
      <c r="P11" s="76" t="s">
        <v>45</v>
      </c>
      <c r="Q11" s="65" t="s">
        <v>45</v>
      </c>
      <c r="R11" s="57" t="s">
        <v>45</v>
      </c>
      <c r="S11" s="57" t="s">
        <v>44</v>
      </c>
      <c r="T11" s="57" t="s">
        <v>43</v>
      </c>
      <c r="U11" s="58" t="s">
        <v>53</v>
      </c>
      <c r="V11" s="59" t="s">
        <v>53</v>
      </c>
      <c r="W11" s="76" t="s">
        <v>45</v>
      </c>
      <c r="X11" s="65" t="s">
        <v>45</v>
      </c>
      <c r="Y11" s="68" t="s">
        <v>44</v>
      </c>
      <c r="Z11" s="65" t="s">
        <v>44</v>
      </c>
      <c r="AA11" s="65" t="s">
        <v>43</v>
      </c>
      <c r="AB11" s="58" t="s">
        <v>53</v>
      </c>
      <c r="AC11" s="59" t="s">
        <v>53</v>
      </c>
      <c r="AD11" s="76" t="s">
        <v>45</v>
      </c>
      <c r="AE11" s="65" t="s">
        <v>45</v>
      </c>
      <c r="AF11" s="77" t="s">
        <v>45</v>
      </c>
      <c r="AG11" s="25"/>
      <c r="AH11" s="47">
        <f t="shared" si="1"/>
        <v>7</v>
      </c>
      <c r="AI11" s="48">
        <f t="shared" si="2"/>
        <v>4</v>
      </c>
      <c r="AJ11" s="48">
        <f t="shared" si="3"/>
        <v>3</v>
      </c>
      <c r="AK11" s="49">
        <f t="shared" si="4"/>
        <v>8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73</v>
      </c>
      <c r="B12" s="47">
        <v>8.0</v>
      </c>
      <c r="C12" s="54" t="s">
        <v>74</v>
      </c>
      <c r="D12" s="79" t="s">
        <v>75</v>
      </c>
      <c r="E12" s="60" t="s">
        <v>45</v>
      </c>
      <c r="F12" s="57" t="s">
        <v>43</v>
      </c>
      <c r="G12" s="57" t="s">
        <v>43</v>
      </c>
      <c r="H12" s="59" t="s">
        <v>53</v>
      </c>
      <c r="I12" s="62" t="s">
        <v>53</v>
      </c>
      <c r="J12" s="65" t="s">
        <v>47</v>
      </c>
      <c r="K12" s="65" t="s">
        <v>47</v>
      </c>
      <c r="L12" s="65" t="s">
        <v>45</v>
      </c>
      <c r="M12" s="65" t="s">
        <v>43</v>
      </c>
      <c r="N12" s="65" t="s">
        <v>44</v>
      </c>
      <c r="O12" s="59" t="s">
        <v>53</v>
      </c>
      <c r="P12" s="62" t="s">
        <v>53</v>
      </c>
      <c r="Q12" s="57" t="s">
        <v>47</v>
      </c>
      <c r="R12" s="57" t="s">
        <v>47</v>
      </c>
      <c r="S12" s="65" t="s">
        <v>47</v>
      </c>
      <c r="T12" s="65" t="s">
        <v>47</v>
      </c>
      <c r="U12" s="65" t="s">
        <v>45</v>
      </c>
      <c r="V12" s="59" t="s">
        <v>53</v>
      </c>
      <c r="W12" s="62" t="s">
        <v>53</v>
      </c>
      <c r="X12" s="57" t="s">
        <v>47</v>
      </c>
      <c r="Y12" s="57" t="s">
        <v>46</v>
      </c>
      <c r="Z12" s="65" t="s">
        <v>46</v>
      </c>
      <c r="AA12" s="65" t="s">
        <v>44</v>
      </c>
      <c r="AB12" s="57" t="s">
        <v>44</v>
      </c>
      <c r="AC12" s="59" t="s">
        <v>53</v>
      </c>
      <c r="AD12" s="62" t="s">
        <v>53</v>
      </c>
      <c r="AE12" s="57" t="s">
        <v>47</v>
      </c>
      <c r="AF12" s="70" t="s">
        <v>47</v>
      </c>
      <c r="AG12" s="25"/>
      <c r="AH12" s="47">
        <f t="shared" si="1"/>
        <v>6</v>
      </c>
      <c r="AI12" s="48">
        <f t="shared" si="2"/>
        <v>3</v>
      </c>
      <c r="AJ12" s="48">
        <f t="shared" si="3"/>
        <v>3</v>
      </c>
      <c r="AK12" s="49">
        <f t="shared" si="4"/>
        <v>3</v>
      </c>
      <c r="AL12" s="50">
        <f t="shared" si="5"/>
        <v>2</v>
      </c>
      <c r="AM12" s="51">
        <f t="shared" si="6"/>
        <v>9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76</v>
      </c>
      <c r="B13" s="47">
        <v>9.0</v>
      </c>
      <c r="C13" s="54" t="s">
        <v>77</v>
      </c>
      <c r="D13" s="55" t="s">
        <v>78</v>
      </c>
      <c r="E13" s="76" t="s">
        <v>44</v>
      </c>
      <c r="F13" s="65" t="s">
        <v>43</v>
      </c>
      <c r="G13" s="58" t="s">
        <v>53</v>
      </c>
      <c r="H13" s="59" t="s">
        <v>53</v>
      </c>
      <c r="I13" s="60" t="s">
        <v>45</v>
      </c>
      <c r="J13" s="57" t="s">
        <v>46</v>
      </c>
      <c r="K13" s="57" t="s">
        <v>46</v>
      </c>
      <c r="L13" s="68" t="s">
        <v>44</v>
      </c>
      <c r="M13" s="68" t="s">
        <v>43</v>
      </c>
      <c r="N13" s="58" t="s">
        <v>53</v>
      </c>
      <c r="O13" s="59" t="s">
        <v>53</v>
      </c>
      <c r="P13" s="60" t="s">
        <v>47</v>
      </c>
      <c r="Q13" s="57" t="s">
        <v>46</v>
      </c>
      <c r="R13" s="65" t="s">
        <v>46</v>
      </c>
      <c r="S13" s="68" t="s">
        <v>46</v>
      </c>
      <c r="T13" s="68" t="s">
        <v>45</v>
      </c>
      <c r="U13" s="58" t="s">
        <v>53</v>
      </c>
      <c r="V13" s="59" t="s">
        <v>53</v>
      </c>
      <c r="W13" s="60" t="s">
        <v>46</v>
      </c>
      <c r="X13" s="57" t="s">
        <v>45</v>
      </c>
      <c r="Y13" s="65" t="s">
        <v>45</v>
      </c>
      <c r="Z13" s="68" t="s">
        <v>44</v>
      </c>
      <c r="AA13" s="68" t="s">
        <v>45</v>
      </c>
      <c r="AB13" s="58" t="s">
        <v>53</v>
      </c>
      <c r="AC13" s="59" t="s">
        <v>53</v>
      </c>
      <c r="AD13" s="60" t="s">
        <v>46</v>
      </c>
      <c r="AE13" s="57" t="s">
        <v>46</v>
      </c>
      <c r="AF13" s="75" t="s">
        <v>43</v>
      </c>
      <c r="AG13" s="25"/>
      <c r="AH13" s="47">
        <f t="shared" si="1"/>
        <v>6</v>
      </c>
      <c r="AI13" s="48">
        <f t="shared" si="2"/>
        <v>3</v>
      </c>
      <c r="AJ13" s="48">
        <f t="shared" si="3"/>
        <v>3</v>
      </c>
      <c r="AK13" s="49">
        <f t="shared" si="4"/>
        <v>5</v>
      </c>
      <c r="AL13" s="50">
        <f t="shared" si="5"/>
        <v>8</v>
      </c>
      <c r="AM13" s="51">
        <f t="shared" si="6"/>
        <v>1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79</v>
      </c>
      <c r="B14" s="47">
        <v>10.0</v>
      </c>
      <c r="C14" s="54" t="s">
        <v>80</v>
      </c>
      <c r="D14" s="80" t="s">
        <v>81</v>
      </c>
      <c r="E14" s="76" t="s">
        <v>45</v>
      </c>
      <c r="F14" s="65" t="s">
        <v>43</v>
      </c>
      <c r="G14" s="65" t="s">
        <v>43</v>
      </c>
      <c r="H14" s="59" t="s">
        <v>53</v>
      </c>
      <c r="I14" s="62" t="s">
        <v>53</v>
      </c>
      <c r="J14" s="57" t="s">
        <v>47</v>
      </c>
      <c r="K14" s="57" t="s">
        <v>43</v>
      </c>
      <c r="L14" s="68" t="s">
        <v>43</v>
      </c>
      <c r="M14" s="68" t="s">
        <v>43</v>
      </c>
      <c r="N14" s="57" t="s">
        <v>49</v>
      </c>
      <c r="O14" s="59" t="s">
        <v>53</v>
      </c>
      <c r="P14" s="62" t="s">
        <v>53</v>
      </c>
      <c r="Q14" s="65" t="s">
        <v>49</v>
      </c>
      <c r="R14" s="65" t="s">
        <v>49</v>
      </c>
      <c r="S14" s="63" t="s">
        <v>57</v>
      </c>
      <c r="T14" s="63" t="s">
        <v>57</v>
      </c>
      <c r="U14" s="63" t="s">
        <v>57</v>
      </c>
      <c r="V14" s="59" t="s">
        <v>53</v>
      </c>
      <c r="W14" s="62" t="s">
        <v>53</v>
      </c>
      <c r="X14" s="65" t="s">
        <v>43</v>
      </c>
      <c r="Y14" s="65" t="s">
        <v>49</v>
      </c>
      <c r="Z14" s="65" t="s">
        <v>49</v>
      </c>
      <c r="AA14" s="65" t="s">
        <v>49</v>
      </c>
      <c r="AB14" s="65" t="s">
        <v>43</v>
      </c>
      <c r="AC14" s="59" t="s">
        <v>53</v>
      </c>
      <c r="AD14" s="62" t="s">
        <v>53</v>
      </c>
      <c r="AE14" s="65" t="s">
        <v>47</v>
      </c>
      <c r="AF14" s="75" t="s">
        <v>47</v>
      </c>
      <c r="AG14" s="25"/>
      <c r="AH14" s="47">
        <f t="shared" si="1"/>
        <v>7</v>
      </c>
      <c r="AI14" s="48">
        <f t="shared" si="2"/>
        <v>7</v>
      </c>
      <c r="AJ14" s="48">
        <f t="shared" si="3"/>
        <v>0</v>
      </c>
      <c r="AK14" s="49">
        <f t="shared" si="4"/>
        <v>1</v>
      </c>
      <c r="AL14" s="50">
        <f t="shared" si="5"/>
        <v>0</v>
      </c>
      <c r="AM14" s="51">
        <f t="shared" si="6"/>
        <v>3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82</v>
      </c>
      <c r="B15" s="47">
        <v>11.0</v>
      </c>
      <c r="C15" s="54" t="s">
        <v>83</v>
      </c>
      <c r="D15" s="73" t="s">
        <v>84</v>
      </c>
      <c r="E15" s="60" t="s">
        <v>49</v>
      </c>
      <c r="F15" s="57" t="s">
        <v>49</v>
      </c>
      <c r="G15" s="58" t="s">
        <v>53</v>
      </c>
      <c r="H15" s="59" t="s">
        <v>53</v>
      </c>
      <c r="I15" s="76" t="s">
        <v>47</v>
      </c>
      <c r="J15" s="65" t="s">
        <v>47</v>
      </c>
      <c r="K15" s="65" t="s">
        <v>47</v>
      </c>
      <c r="L15" s="65" t="s">
        <v>47</v>
      </c>
      <c r="M15" s="65" t="s">
        <v>43</v>
      </c>
      <c r="N15" s="58" t="s">
        <v>53</v>
      </c>
      <c r="O15" s="59" t="s">
        <v>53</v>
      </c>
      <c r="P15" s="76" t="s">
        <v>47</v>
      </c>
      <c r="Q15" s="57" t="s">
        <v>47</v>
      </c>
      <c r="R15" s="57" t="s">
        <v>44</v>
      </c>
      <c r="S15" s="57" t="s">
        <v>43</v>
      </c>
      <c r="T15" s="57" t="s">
        <v>43</v>
      </c>
      <c r="U15" s="58" t="s">
        <v>53</v>
      </c>
      <c r="V15" s="59" t="s">
        <v>53</v>
      </c>
      <c r="W15" s="76" t="s">
        <v>47</v>
      </c>
      <c r="X15" s="65" t="s">
        <v>45</v>
      </c>
      <c r="Y15" s="65" t="s">
        <v>43</v>
      </c>
      <c r="Z15" s="57" t="s">
        <v>44</v>
      </c>
      <c r="AA15" s="57" t="s">
        <v>43</v>
      </c>
      <c r="AB15" s="58" t="s">
        <v>53</v>
      </c>
      <c r="AC15" s="59" t="s">
        <v>53</v>
      </c>
      <c r="AD15" s="76" t="s">
        <v>47</v>
      </c>
      <c r="AE15" s="57" t="s">
        <v>47</v>
      </c>
      <c r="AF15" s="70" t="s">
        <v>47</v>
      </c>
      <c r="AG15" s="25"/>
      <c r="AH15" s="47">
        <f t="shared" si="1"/>
        <v>7</v>
      </c>
      <c r="AI15" s="48">
        <f t="shared" si="2"/>
        <v>5</v>
      </c>
      <c r="AJ15" s="48">
        <f t="shared" si="3"/>
        <v>2</v>
      </c>
      <c r="AK15" s="49">
        <f t="shared" si="4"/>
        <v>1</v>
      </c>
      <c r="AL15" s="50">
        <f t="shared" si="5"/>
        <v>0</v>
      </c>
      <c r="AM15" s="51">
        <f t="shared" si="6"/>
        <v>10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85</v>
      </c>
      <c r="B16" s="47">
        <v>12.0</v>
      </c>
      <c r="C16" s="54" t="s">
        <v>86</v>
      </c>
      <c r="D16" s="73" t="s">
        <v>87</v>
      </c>
      <c r="E16" s="76" t="s">
        <v>47</v>
      </c>
      <c r="F16" s="65" t="s">
        <v>44</v>
      </c>
      <c r="G16" s="68" t="s">
        <v>43</v>
      </c>
      <c r="H16" s="59" t="s">
        <v>53</v>
      </c>
      <c r="I16" s="62" t="s">
        <v>53</v>
      </c>
      <c r="J16" s="57" t="s">
        <v>47</v>
      </c>
      <c r="K16" s="65" t="s">
        <v>47</v>
      </c>
      <c r="L16" s="57" t="s">
        <v>45</v>
      </c>
      <c r="M16" s="57" t="s">
        <v>44</v>
      </c>
      <c r="N16" s="81" t="s">
        <v>44</v>
      </c>
      <c r="O16" s="59" t="s">
        <v>53</v>
      </c>
      <c r="P16" s="62" t="s">
        <v>53</v>
      </c>
      <c r="Q16" s="57" t="s">
        <v>47</v>
      </c>
      <c r="R16" s="65" t="s">
        <v>47</v>
      </c>
      <c r="S16" s="57" t="s">
        <v>45</v>
      </c>
      <c r="T16" s="57" t="s">
        <v>44</v>
      </c>
      <c r="U16" s="81" t="s">
        <v>43</v>
      </c>
      <c r="V16" s="59" t="s">
        <v>53</v>
      </c>
      <c r="W16" s="62" t="s">
        <v>53</v>
      </c>
      <c r="X16" s="57" t="s">
        <v>47</v>
      </c>
      <c r="Y16" s="65" t="s">
        <v>47</v>
      </c>
      <c r="Z16" s="57" t="s">
        <v>47</v>
      </c>
      <c r="AA16" s="57" t="s">
        <v>47</v>
      </c>
      <c r="AB16" s="81" t="s">
        <v>44</v>
      </c>
      <c r="AC16" s="59" t="s">
        <v>53</v>
      </c>
      <c r="AD16" s="62" t="s">
        <v>53</v>
      </c>
      <c r="AE16" s="57" t="s">
        <v>47</v>
      </c>
      <c r="AF16" s="75" t="s">
        <v>47</v>
      </c>
      <c r="AG16" s="25"/>
      <c r="AH16" s="47">
        <f t="shared" si="1"/>
        <v>7</v>
      </c>
      <c r="AI16" s="48">
        <f t="shared" si="2"/>
        <v>2</v>
      </c>
      <c r="AJ16" s="48">
        <f t="shared" si="3"/>
        <v>5</v>
      </c>
      <c r="AK16" s="49">
        <f t="shared" si="4"/>
        <v>2</v>
      </c>
      <c r="AL16" s="50">
        <f t="shared" si="5"/>
        <v>0</v>
      </c>
      <c r="AM16" s="51">
        <f t="shared" si="6"/>
        <v>11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88</v>
      </c>
      <c r="B17" s="47">
        <v>13.0</v>
      </c>
      <c r="C17" s="54" t="s">
        <v>89</v>
      </c>
      <c r="D17" s="55" t="s">
        <v>90</v>
      </c>
      <c r="E17" s="60" t="s">
        <v>45</v>
      </c>
      <c r="F17" s="65" t="s">
        <v>45</v>
      </c>
      <c r="G17" s="65" t="s">
        <v>45</v>
      </c>
      <c r="H17" s="75" t="s">
        <v>43</v>
      </c>
      <c r="I17" s="76" t="s">
        <v>43</v>
      </c>
      <c r="J17" s="58" t="s">
        <v>53</v>
      </c>
      <c r="K17" s="58" t="s">
        <v>53</v>
      </c>
      <c r="L17" s="57" t="s">
        <v>45</v>
      </c>
      <c r="M17" s="57" t="s">
        <v>45</v>
      </c>
      <c r="N17" s="57" t="s">
        <v>43</v>
      </c>
      <c r="O17" s="75" t="s">
        <v>43</v>
      </c>
      <c r="P17" s="62" t="s">
        <v>53</v>
      </c>
      <c r="Q17" s="58" t="s">
        <v>53</v>
      </c>
      <c r="R17" s="65" t="s">
        <v>45</v>
      </c>
      <c r="S17" s="65" t="s">
        <v>45</v>
      </c>
      <c r="T17" s="57" t="s">
        <v>45</v>
      </c>
      <c r="U17" s="57" t="s">
        <v>45</v>
      </c>
      <c r="V17" s="75" t="s">
        <v>46</v>
      </c>
      <c r="W17" s="62" t="s">
        <v>53</v>
      </c>
      <c r="X17" s="58" t="s">
        <v>53</v>
      </c>
      <c r="Y17" s="65" t="s">
        <v>49</v>
      </c>
      <c r="Z17" s="65" t="s">
        <v>45</v>
      </c>
      <c r="AA17" s="57" t="s">
        <v>45</v>
      </c>
      <c r="AB17" s="68" t="s">
        <v>43</v>
      </c>
      <c r="AC17" s="77" t="s">
        <v>43</v>
      </c>
      <c r="AD17" s="62" t="s">
        <v>53</v>
      </c>
      <c r="AE17" s="58" t="s">
        <v>53</v>
      </c>
      <c r="AF17" s="75" t="s">
        <v>49</v>
      </c>
      <c r="AG17" s="25"/>
      <c r="AH17" s="47">
        <f t="shared" si="1"/>
        <v>6</v>
      </c>
      <c r="AI17" s="48">
        <f t="shared" si="2"/>
        <v>6</v>
      </c>
      <c r="AJ17" s="48">
        <f t="shared" si="3"/>
        <v>0</v>
      </c>
      <c r="AK17" s="49">
        <f t="shared" si="4"/>
        <v>11</v>
      </c>
      <c r="AL17" s="50">
        <f t="shared" si="5"/>
        <v>1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91</v>
      </c>
      <c r="B18" s="47">
        <v>14.0</v>
      </c>
      <c r="C18" s="54" t="s">
        <v>92</v>
      </c>
      <c r="D18" s="55" t="s">
        <v>93</v>
      </c>
      <c r="E18" s="62" t="s">
        <v>53</v>
      </c>
      <c r="F18" s="65" t="s">
        <v>47</v>
      </c>
      <c r="G18" s="65" t="s">
        <v>47</v>
      </c>
      <c r="H18" s="66" t="s">
        <v>44</v>
      </c>
      <c r="I18" s="56" t="s">
        <v>44</v>
      </c>
      <c r="J18" s="57" t="s">
        <v>43</v>
      </c>
      <c r="K18" s="58" t="s">
        <v>53</v>
      </c>
      <c r="L18" s="58" t="s">
        <v>53</v>
      </c>
      <c r="M18" s="57" t="s">
        <v>47</v>
      </c>
      <c r="N18" s="57" t="s">
        <v>47</v>
      </c>
      <c r="O18" s="82" t="s">
        <v>47</v>
      </c>
      <c r="P18" s="76" t="s">
        <v>45</v>
      </c>
      <c r="Q18" s="65" t="s">
        <v>43</v>
      </c>
      <c r="R18" s="58" t="s">
        <v>53</v>
      </c>
      <c r="S18" s="58" t="s">
        <v>53</v>
      </c>
      <c r="T18" s="57" t="s">
        <v>49</v>
      </c>
      <c r="U18" s="57" t="s">
        <v>49</v>
      </c>
      <c r="V18" s="70" t="s">
        <v>49</v>
      </c>
      <c r="W18" s="76" t="s">
        <v>45</v>
      </c>
      <c r="X18" s="57" t="s">
        <v>43</v>
      </c>
      <c r="Y18" s="58" t="s">
        <v>53</v>
      </c>
      <c r="Z18" s="58" t="s">
        <v>53</v>
      </c>
      <c r="AA18" s="57" t="s">
        <v>47</v>
      </c>
      <c r="AB18" s="57" t="s">
        <v>46</v>
      </c>
      <c r="AC18" s="75" t="s">
        <v>45</v>
      </c>
      <c r="AD18" s="76" t="s">
        <v>44</v>
      </c>
      <c r="AE18" s="57" t="s">
        <v>43</v>
      </c>
      <c r="AF18" s="59" t="s">
        <v>53</v>
      </c>
      <c r="AG18" s="25"/>
      <c r="AH18" s="47">
        <f t="shared" si="1"/>
        <v>7</v>
      </c>
      <c r="AI18" s="48">
        <f t="shared" si="2"/>
        <v>4</v>
      </c>
      <c r="AJ18" s="48">
        <f t="shared" si="3"/>
        <v>3</v>
      </c>
      <c r="AK18" s="49">
        <f t="shared" si="4"/>
        <v>3</v>
      </c>
      <c r="AL18" s="50">
        <f t="shared" si="5"/>
        <v>1</v>
      </c>
      <c r="AM18" s="51">
        <f t="shared" si="6"/>
        <v>6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94</v>
      </c>
      <c r="B19" s="47">
        <v>15.0</v>
      </c>
      <c r="C19" s="54" t="s">
        <v>95</v>
      </c>
      <c r="D19" s="73" t="s">
        <v>96</v>
      </c>
      <c r="E19" s="60" t="s">
        <v>43</v>
      </c>
      <c r="F19" s="58" t="s">
        <v>53</v>
      </c>
      <c r="G19" s="58" t="s">
        <v>53</v>
      </c>
      <c r="H19" s="70" t="s">
        <v>47</v>
      </c>
      <c r="I19" s="60" t="s">
        <v>47</v>
      </c>
      <c r="J19" s="83" t="s">
        <v>45</v>
      </c>
      <c r="K19" s="57" t="s">
        <v>44</v>
      </c>
      <c r="L19" s="57" t="s">
        <v>44</v>
      </c>
      <c r="M19" s="58" t="s">
        <v>53</v>
      </c>
      <c r="N19" s="58" t="s">
        <v>53</v>
      </c>
      <c r="O19" s="75" t="s">
        <v>47</v>
      </c>
      <c r="P19" s="76" t="s">
        <v>47</v>
      </c>
      <c r="Q19" s="57" t="s">
        <v>45</v>
      </c>
      <c r="R19" s="57" t="s">
        <v>44</v>
      </c>
      <c r="S19" s="57" t="s">
        <v>43</v>
      </c>
      <c r="T19" s="58" t="s">
        <v>53</v>
      </c>
      <c r="U19" s="58" t="s">
        <v>53</v>
      </c>
      <c r="V19" s="75" t="s">
        <v>49</v>
      </c>
      <c r="W19" s="60" t="s">
        <v>47</v>
      </c>
      <c r="X19" s="57" t="s">
        <v>47</v>
      </c>
      <c r="Y19" s="57" t="s">
        <v>47</v>
      </c>
      <c r="Z19" s="57" t="s">
        <v>45</v>
      </c>
      <c r="AA19" s="58" t="s">
        <v>53</v>
      </c>
      <c r="AB19" s="58" t="s">
        <v>53</v>
      </c>
      <c r="AC19" s="75" t="s">
        <v>47</v>
      </c>
      <c r="AD19" s="76" t="s">
        <v>47</v>
      </c>
      <c r="AE19" s="57" t="s">
        <v>44</v>
      </c>
      <c r="AF19" s="70" t="s">
        <v>43</v>
      </c>
      <c r="AG19" s="25"/>
      <c r="AH19" s="47">
        <f t="shared" si="1"/>
        <v>7</v>
      </c>
      <c r="AI19" s="48">
        <f t="shared" si="2"/>
        <v>3</v>
      </c>
      <c r="AJ19" s="48">
        <f t="shared" si="3"/>
        <v>4</v>
      </c>
      <c r="AK19" s="49">
        <f t="shared" si="4"/>
        <v>3</v>
      </c>
      <c r="AL19" s="50">
        <f t="shared" si="5"/>
        <v>0</v>
      </c>
      <c r="AM19" s="51">
        <f t="shared" si="6"/>
        <v>9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97</v>
      </c>
      <c r="B20" s="47">
        <v>16.0</v>
      </c>
      <c r="C20" s="54" t="s">
        <v>98</v>
      </c>
      <c r="D20" s="55" t="s">
        <v>99</v>
      </c>
      <c r="E20" s="76" t="s">
        <v>45</v>
      </c>
      <c r="F20" s="65" t="s">
        <v>44</v>
      </c>
      <c r="G20" s="57" t="s">
        <v>43</v>
      </c>
      <c r="H20" s="59" t="s">
        <v>53</v>
      </c>
      <c r="I20" s="62" t="s">
        <v>53</v>
      </c>
      <c r="J20" s="57" t="s">
        <v>47</v>
      </c>
      <c r="K20" s="65" t="s">
        <v>45</v>
      </c>
      <c r="L20" s="57" t="s">
        <v>45</v>
      </c>
      <c r="M20" s="57" t="s">
        <v>44</v>
      </c>
      <c r="N20" s="57" t="s">
        <v>49</v>
      </c>
      <c r="O20" s="59" t="s">
        <v>53</v>
      </c>
      <c r="P20" s="62" t="s">
        <v>53</v>
      </c>
      <c r="Q20" s="57" t="s">
        <v>47</v>
      </c>
      <c r="R20" s="65" t="s">
        <v>46</v>
      </c>
      <c r="S20" s="57" t="s">
        <v>43</v>
      </c>
      <c r="T20" s="57" t="s">
        <v>44</v>
      </c>
      <c r="U20" s="57" t="s">
        <v>49</v>
      </c>
      <c r="V20" s="59" t="s">
        <v>53</v>
      </c>
      <c r="W20" s="62" t="s">
        <v>53</v>
      </c>
      <c r="X20" s="57" t="s">
        <v>47</v>
      </c>
      <c r="Y20" s="57" t="s">
        <v>45</v>
      </c>
      <c r="Z20" s="57" t="s">
        <v>44</v>
      </c>
      <c r="AA20" s="57" t="s">
        <v>43</v>
      </c>
      <c r="AB20" s="57" t="s">
        <v>49</v>
      </c>
      <c r="AC20" s="59" t="s">
        <v>53</v>
      </c>
      <c r="AD20" s="62" t="s">
        <v>53</v>
      </c>
      <c r="AE20" s="57" t="s">
        <v>45</v>
      </c>
      <c r="AF20" s="75" t="s">
        <v>45</v>
      </c>
      <c r="AG20" s="25"/>
      <c r="AH20" s="47">
        <f t="shared" si="1"/>
        <v>7</v>
      </c>
      <c r="AI20" s="48">
        <f t="shared" si="2"/>
        <v>3</v>
      </c>
      <c r="AJ20" s="48">
        <f t="shared" si="3"/>
        <v>4</v>
      </c>
      <c r="AK20" s="49">
        <f t="shared" si="4"/>
        <v>6</v>
      </c>
      <c r="AL20" s="50">
        <f t="shared" si="5"/>
        <v>1</v>
      </c>
      <c r="AM20" s="51">
        <f t="shared" si="6"/>
        <v>3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100</v>
      </c>
      <c r="B21" s="47">
        <v>17.0</v>
      </c>
      <c r="C21" s="54" t="s">
        <v>101</v>
      </c>
      <c r="D21" s="73" t="s">
        <v>102</v>
      </c>
      <c r="E21" s="60" t="s">
        <v>43</v>
      </c>
      <c r="F21" s="58" t="s">
        <v>53</v>
      </c>
      <c r="G21" s="58" t="s">
        <v>53</v>
      </c>
      <c r="H21" s="70" t="s">
        <v>47</v>
      </c>
      <c r="I21" s="60" t="s">
        <v>47</v>
      </c>
      <c r="J21" s="57" t="s">
        <v>45</v>
      </c>
      <c r="K21" s="57" t="s">
        <v>44</v>
      </c>
      <c r="L21" s="57" t="s">
        <v>43</v>
      </c>
      <c r="M21" s="58" t="s">
        <v>53</v>
      </c>
      <c r="N21" s="58" t="s">
        <v>53</v>
      </c>
      <c r="O21" s="75" t="s">
        <v>45</v>
      </c>
      <c r="P21" s="62" t="s">
        <v>53</v>
      </c>
      <c r="Q21" s="63" t="s">
        <v>57</v>
      </c>
      <c r="R21" s="63" t="s">
        <v>57</v>
      </c>
      <c r="S21" s="64" t="s">
        <v>57</v>
      </c>
      <c r="T21" s="64" t="s">
        <v>57</v>
      </c>
      <c r="U21" s="63" t="s">
        <v>57</v>
      </c>
      <c r="V21" s="59" t="s">
        <v>53</v>
      </c>
      <c r="W21" s="76" t="s">
        <v>47</v>
      </c>
      <c r="X21" s="57" t="s">
        <v>45</v>
      </c>
      <c r="Y21" s="57" t="s">
        <v>44</v>
      </c>
      <c r="Z21" s="57" t="s">
        <v>43</v>
      </c>
      <c r="AA21" s="58" t="s">
        <v>53</v>
      </c>
      <c r="AB21" s="58" t="s">
        <v>53</v>
      </c>
      <c r="AC21" s="75" t="s">
        <v>47</v>
      </c>
      <c r="AD21" s="76" t="s">
        <v>47</v>
      </c>
      <c r="AE21" s="57" t="s">
        <v>44</v>
      </c>
      <c r="AF21" s="70" t="s">
        <v>43</v>
      </c>
      <c r="AG21" s="25"/>
      <c r="AH21" s="47">
        <f t="shared" si="1"/>
        <v>7</v>
      </c>
      <c r="AI21" s="48">
        <f t="shared" si="2"/>
        <v>4</v>
      </c>
      <c r="AJ21" s="48">
        <f t="shared" si="3"/>
        <v>3</v>
      </c>
      <c r="AK21" s="49">
        <f t="shared" si="4"/>
        <v>3</v>
      </c>
      <c r="AL21" s="50">
        <f t="shared" si="5"/>
        <v>0</v>
      </c>
      <c r="AM21" s="51">
        <f t="shared" si="6"/>
        <v>5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103</v>
      </c>
      <c r="B22" s="47">
        <v>18.0</v>
      </c>
      <c r="C22" s="54" t="s">
        <v>104</v>
      </c>
      <c r="D22" s="55" t="s">
        <v>105</v>
      </c>
      <c r="E22" s="62" t="s">
        <v>53</v>
      </c>
      <c r="F22" s="58" t="s">
        <v>53</v>
      </c>
      <c r="G22" s="65" t="s">
        <v>47</v>
      </c>
      <c r="H22" s="75" t="s">
        <v>47</v>
      </c>
      <c r="I22" s="76" t="s">
        <v>45</v>
      </c>
      <c r="J22" s="57" t="s">
        <v>44</v>
      </c>
      <c r="K22" s="65" t="s">
        <v>43</v>
      </c>
      <c r="L22" s="58" t="s">
        <v>53</v>
      </c>
      <c r="M22" s="58" t="s">
        <v>53</v>
      </c>
      <c r="N22" s="65" t="s">
        <v>47</v>
      </c>
      <c r="O22" s="75" t="s">
        <v>46</v>
      </c>
      <c r="P22" s="76" t="s">
        <v>45</v>
      </c>
      <c r="Q22" s="57" t="s">
        <v>45</v>
      </c>
      <c r="R22" s="68" t="s">
        <v>43</v>
      </c>
      <c r="S22" s="58" t="s">
        <v>53</v>
      </c>
      <c r="T22" s="58" t="s">
        <v>53</v>
      </c>
      <c r="U22" s="65" t="s">
        <v>49</v>
      </c>
      <c r="V22" s="75" t="s">
        <v>47</v>
      </c>
      <c r="W22" s="85" t="s">
        <v>46</v>
      </c>
      <c r="X22" s="57" t="s">
        <v>47</v>
      </c>
      <c r="Y22" s="68" t="s">
        <v>44</v>
      </c>
      <c r="Z22" s="58" t="s">
        <v>53</v>
      </c>
      <c r="AA22" s="58" t="s">
        <v>53</v>
      </c>
      <c r="AB22" s="65" t="s">
        <v>47</v>
      </c>
      <c r="AC22" s="75" t="s">
        <v>47</v>
      </c>
      <c r="AD22" s="76" t="s">
        <v>44</v>
      </c>
      <c r="AE22" s="57" t="s">
        <v>43</v>
      </c>
      <c r="AF22" s="77" t="s">
        <v>44</v>
      </c>
      <c r="AG22" s="25"/>
      <c r="AH22" s="47">
        <f t="shared" si="1"/>
        <v>7</v>
      </c>
      <c r="AI22" s="48">
        <f t="shared" si="2"/>
        <v>3</v>
      </c>
      <c r="AJ22" s="48">
        <f t="shared" si="3"/>
        <v>4</v>
      </c>
      <c r="AK22" s="49">
        <f t="shared" si="4"/>
        <v>3</v>
      </c>
      <c r="AL22" s="50">
        <f t="shared" si="5"/>
        <v>2</v>
      </c>
      <c r="AM22" s="51">
        <f t="shared" si="6"/>
        <v>7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106</v>
      </c>
      <c r="B23" s="47">
        <v>19.0</v>
      </c>
      <c r="C23" s="54" t="s">
        <v>107</v>
      </c>
      <c r="D23" s="55" t="s">
        <v>108</v>
      </c>
      <c r="E23" s="76" t="s">
        <v>49</v>
      </c>
      <c r="F23" s="65" t="s">
        <v>49</v>
      </c>
      <c r="G23" s="65" t="s">
        <v>49</v>
      </c>
      <c r="H23" s="75" t="s">
        <v>49</v>
      </c>
      <c r="I23" s="62" t="s">
        <v>53</v>
      </c>
      <c r="J23" s="58" t="s">
        <v>53</v>
      </c>
      <c r="K23" s="68" t="s">
        <v>49</v>
      </c>
      <c r="L23" s="86" t="s">
        <v>47</v>
      </c>
      <c r="M23" s="68" t="s">
        <v>49</v>
      </c>
      <c r="N23" s="68" t="s">
        <v>49</v>
      </c>
      <c r="O23" s="77" t="s">
        <v>49</v>
      </c>
      <c r="P23" s="62" t="s">
        <v>53</v>
      </c>
      <c r="Q23" s="58" t="s">
        <v>53</v>
      </c>
      <c r="R23" s="68" t="s">
        <v>49</v>
      </c>
      <c r="S23" s="68" t="s">
        <v>43</v>
      </c>
      <c r="T23" s="57" t="s">
        <v>43</v>
      </c>
      <c r="U23" s="65" t="s">
        <v>43</v>
      </c>
      <c r="V23" s="75" t="s">
        <v>43</v>
      </c>
      <c r="W23" s="76" t="s">
        <v>43</v>
      </c>
      <c r="X23" s="58" t="s">
        <v>53</v>
      </c>
      <c r="Y23" s="58" t="s">
        <v>53</v>
      </c>
      <c r="Z23" s="65" t="s">
        <v>49</v>
      </c>
      <c r="AA23" s="65" t="s">
        <v>43</v>
      </c>
      <c r="AB23" s="68" t="s">
        <v>43</v>
      </c>
      <c r="AC23" s="77" t="s">
        <v>43</v>
      </c>
      <c r="AD23" s="62" t="s">
        <v>53</v>
      </c>
      <c r="AE23" s="58" t="s">
        <v>53</v>
      </c>
      <c r="AF23" s="77" t="s">
        <v>43</v>
      </c>
      <c r="AG23" s="25"/>
      <c r="AH23" s="47">
        <f t="shared" si="1"/>
        <v>9</v>
      </c>
      <c r="AI23" s="48">
        <f t="shared" si="2"/>
        <v>9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1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109</v>
      </c>
      <c r="B24" s="47">
        <v>20.0</v>
      </c>
      <c r="C24" s="54" t="s">
        <v>110</v>
      </c>
      <c r="D24" s="55" t="s">
        <v>111</v>
      </c>
      <c r="E24" s="62" t="s">
        <v>53</v>
      </c>
      <c r="F24" s="58" t="s">
        <v>53</v>
      </c>
      <c r="G24" s="65" t="s">
        <v>47</v>
      </c>
      <c r="H24" s="75" t="s">
        <v>47</v>
      </c>
      <c r="I24" s="85" t="s">
        <v>46</v>
      </c>
      <c r="J24" s="65" t="s">
        <v>44</v>
      </c>
      <c r="K24" s="65" t="s">
        <v>44</v>
      </c>
      <c r="L24" s="58" t="s">
        <v>53</v>
      </c>
      <c r="M24" s="58" t="s">
        <v>53</v>
      </c>
      <c r="N24" s="65" t="s">
        <v>47</v>
      </c>
      <c r="O24" s="75" t="s">
        <v>45</v>
      </c>
      <c r="P24" s="60" t="s">
        <v>45</v>
      </c>
      <c r="Q24" s="57" t="s">
        <v>43</v>
      </c>
      <c r="R24" s="57" t="s">
        <v>43</v>
      </c>
      <c r="S24" s="58" t="s">
        <v>53</v>
      </c>
      <c r="T24" s="58" t="s">
        <v>53</v>
      </c>
      <c r="U24" s="57" t="s">
        <v>47</v>
      </c>
      <c r="V24" s="75" t="s">
        <v>47</v>
      </c>
      <c r="W24" s="76" t="s">
        <v>45</v>
      </c>
      <c r="X24" s="57" t="s">
        <v>44</v>
      </c>
      <c r="Y24" s="68" t="s">
        <v>43</v>
      </c>
      <c r="Z24" s="58" t="s">
        <v>53</v>
      </c>
      <c r="AA24" s="58" t="s">
        <v>53</v>
      </c>
      <c r="AB24" s="65" t="s">
        <v>47</v>
      </c>
      <c r="AC24" s="75" t="s">
        <v>46</v>
      </c>
      <c r="AD24" s="60" t="s">
        <v>46</v>
      </c>
      <c r="AE24" s="57" t="s">
        <v>45</v>
      </c>
      <c r="AF24" s="77" t="s">
        <v>45</v>
      </c>
      <c r="AG24" s="25"/>
      <c r="AH24" s="47">
        <f t="shared" si="1"/>
        <v>6</v>
      </c>
      <c r="AI24" s="48">
        <f t="shared" si="2"/>
        <v>3</v>
      </c>
      <c r="AJ24" s="48">
        <f t="shared" si="3"/>
        <v>3</v>
      </c>
      <c r="AK24" s="49">
        <f t="shared" si="4"/>
        <v>5</v>
      </c>
      <c r="AL24" s="50">
        <f t="shared" si="5"/>
        <v>3</v>
      </c>
      <c r="AM24" s="51">
        <f t="shared" si="6"/>
        <v>6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112</v>
      </c>
      <c r="B25" s="47">
        <v>21.0</v>
      </c>
      <c r="C25" s="54" t="s">
        <v>113</v>
      </c>
      <c r="D25" s="55" t="s">
        <v>114</v>
      </c>
      <c r="E25" s="62" t="s">
        <v>53</v>
      </c>
      <c r="F25" s="58" t="s">
        <v>53</v>
      </c>
      <c r="G25" s="65" t="s">
        <v>49</v>
      </c>
      <c r="H25" s="75" t="s">
        <v>49</v>
      </c>
      <c r="I25" s="76" t="s">
        <v>45</v>
      </c>
      <c r="J25" s="65" t="s">
        <v>45</v>
      </c>
      <c r="K25" s="65" t="s">
        <v>43</v>
      </c>
      <c r="L25" s="58" t="s">
        <v>53</v>
      </c>
      <c r="M25" s="58" t="s">
        <v>53</v>
      </c>
      <c r="N25" s="68" t="s">
        <v>47</v>
      </c>
      <c r="O25" s="77" t="s">
        <v>47</v>
      </c>
      <c r="P25" s="56" t="s">
        <v>46</v>
      </c>
      <c r="Q25" s="68" t="s">
        <v>45</v>
      </c>
      <c r="R25" s="68" t="s">
        <v>45</v>
      </c>
      <c r="S25" s="58" t="s">
        <v>53</v>
      </c>
      <c r="T25" s="58" t="s">
        <v>53</v>
      </c>
      <c r="U25" s="68" t="s">
        <v>47</v>
      </c>
      <c r="V25" s="77" t="s">
        <v>47</v>
      </c>
      <c r="W25" s="56" t="s">
        <v>44</v>
      </c>
      <c r="X25" s="68" t="s">
        <v>43</v>
      </c>
      <c r="Y25" s="68" t="s">
        <v>43</v>
      </c>
      <c r="Z25" s="58" t="s">
        <v>53</v>
      </c>
      <c r="AA25" s="58" t="s">
        <v>53</v>
      </c>
      <c r="AB25" s="68" t="s">
        <v>47</v>
      </c>
      <c r="AC25" s="70" t="s">
        <v>47</v>
      </c>
      <c r="AD25" s="56" t="s">
        <v>44</v>
      </c>
      <c r="AE25" s="68" t="s">
        <v>44</v>
      </c>
      <c r="AF25" s="77" t="s">
        <v>44</v>
      </c>
      <c r="AG25" s="25"/>
      <c r="AH25" s="47">
        <f t="shared" si="1"/>
        <v>7</v>
      </c>
      <c r="AI25" s="48">
        <f t="shared" si="2"/>
        <v>3</v>
      </c>
      <c r="AJ25" s="48">
        <f t="shared" si="3"/>
        <v>4</v>
      </c>
      <c r="AK25" s="49">
        <f t="shared" si="4"/>
        <v>4</v>
      </c>
      <c r="AL25" s="50">
        <f t="shared" si="5"/>
        <v>1</v>
      </c>
      <c r="AM25" s="51">
        <f t="shared" si="6"/>
        <v>6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115</v>
      </c>
      <c r="B26" s="47">
        <v>22.0</v>
      </c>
      <c r="C26" s="54" t="s">
        <v>116</v>
      </c>
      <c r="D26" s="55" t="s">
        <v>117</v>
      </c>
      <c r="E26" s="56" t="s">
        <v>45</v>
      </c>
      <c r="F26" s="68" t="s">
        <v>45</v>
      </c>
      <c r="G26" s="68" t="s">
        <v>45</v>
      </c>
      <c r="H26" s="77" t="s">
        <v>44</v>
      </c>
      <c r="I26" s="56" t="s">
        <v>43</v>
      </c>
      <c r="J26" s="58" t="s">
        <v>53</v>
      </c>
      <c r="K26" s="58" t="s">
        <v>53</v>
      </c>
      <c r="L26" s="61" t="s">
        <v>46</v>
      </c>
      <c r="M26" s="61" t="s">
        <v>45</v>
      </c>
      <c r="N26" s="57" t="s">
        <v>45</v>
      </c>
      <c r="O26" s="75" t="s">
        <v>44</v>
      </c>
      <c r="P26" s="60" t="s">
        <v>43</v>
      </c>
      <c r="Q26" s="58" t="s">
        <v>53</v>
      </c>
      <c r="R26" s="58" t="s">
        <v>53</v>
      </c>
      <c r="S26" s="57" t="s">
        <v>47</v>
      </c>
      <c r="T26" s="57" t="s">
        <v>47</v>
      </c>
      <c r="U26" s="57" t="s">
        <v>47</v>
      </c>
      <c r="V26" s="75" t="s">
        <v>45</v>
      </c>
      <c r="W26" s="60" t="s">
        <v>44</v>
      </c>
      <c r="X26" s="58" t="s">
        <v>53</v>
      </c>
      <c r="Y26" s="58" t="s">
        <v>53</v>
      </c>
      <c r="Z26" s="57" t="s">
        <v>46</v>
      </c>
      <c r="AA26" s="57" t="s">
        <v>45</v>
      </c>
      <c r="AB26" s="57" t="s">
        <v>45</v>
      </c>
      <c r="AC26" s="75" t="s">
        <v>44</v>
      </c>
      <c r="AD26" s="60" t="s">
        <v>43</v>
      </c>
      <c r="AE26" s="58" t="s">
        <v>53</v>
      </c>
      <c r="AF26" s="59" t="s">
        <v>53</v>
      </c>
      <c r="AG26" s="25"/>
      <c r="AH26" s="47">
        <f t="shared" si="1"/>
        <v>7</v>
      </c>
      <c r="AI26" s="48">
        <f t="shared" si="2"/>
        <v>3</v>
      </c>
      <c r="AJ26" s="48">
        <f t="shared" si="3"/>
        <v>4</v>
      </c>
      <c r="AK26" s="49">
        <f t="shared" si="4"/>
        <v>8</v>
      </c>
      <c r="AL26" s="50">
        <f t="shared" si="5"/>
        <v>2</v>
      </c>
      <c r="AM26" s="51">
        <f t="shared" si="6"/>
        <v>3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118</v>
      </c>
      <c r="B27" s="47">
        <v>23.0</v>
      </c>
      <c r="C27" s="54" t="s">
        <v>119</v>
      </c>
      <c r="D27" s="80" t="s">
        <v>120</v>
      </c>
      <c r="E27" s="60" t="s">
        <v>43</v>
      </c>
      <c r="F27" s="58" t="s">
        <v>53</v>
      </c>
      <c r="G27" s="58" t="s">
        <v>53</v>
      </c>
      <c r="H27" s="70" t="s">
        <v>47</v>
      </c>
      <c r="I27" s="60" t="s">
        <v>47</v>
      </c>
      <c r="J27" s="57" t="s">
        <v>47</v>
      </c>
      <c r="K27" s="57" t="s">
        <v>47</v>
      </c>
      <c r="L27" s="57" t="s">
        <v>43</v>
      </c>
      <c r="M27" s="58" t="s">
        <v>53</v>
      </c>
      <c r="N27" s="58" t="s">
        <v>53</v>
      </c>
      <c r="O27" s="75" t="s">
        <v>47</v>
      </c>
      <c r="P27" s="76" t="s">
        <v>47</v>
      </c>
      <c r="Q27" s="57" t="s">
        <v>45</v>
      </c>
      <c r="R27" s="57" t="s">
        <v>43</v>
      </c>
      <c r="S27" s="57" t="s">
        <v>43</v>
      </c>
      <c r="T27" s="58" t="s">
        <v>53</v>
      </c>
      <c r="U27" s="58" t="s">
        <v>53</v>
      </c>
      <c r="V27" s="70" t="s">
        <v>47</v>
      </c>
      <c r="W27" s="76" t="s">
        <v>47</v>
      </c>
      <c r="X27" s="57" t="s">
        <v>47</v>
      </c>
      <c r="Y27" s="57" t="s">
        <v>47</v>
      </c>
      <c r="Z27" s="57" t="s">
        <v>45</v>
      </c>
      <c r="AA27" s="58" t="s">
        <v>53</v>
      </c>
      <c r="AB27" s="58" t="s">
        <v>53</v>
      </c>
      <c r="AC27" s="75" t="s">
        <v>47</v>
      </c>
      <c r="AD27" s="76" t="s">
        <v>47</v>
      </c>
      <c r="AE27" s="57" t="s">
        <v>43</v>
      </c>
      <c r="AF27" s="70" t="s">
        <v>43</v>
      </c>
      <c r="AG27" s="25"/>
      <c r="AH27" s="47">
        <f t="shared" si="1"/>
        <v>6</v>
      </c>
      <c r="AI27" s="48">
        <f t="shared" si="2"/>
        <v>6</v>
      </c>
      <c r="AJ27" s="48">
        <f t="shared" si="3"/>
        <v>0</v>
      </c>
      <c r="AK27" s="49">
        <f t="shared" si="4"/>
        <v>2</v>
      </c>
      <c r="AL27" s="50">
        <f t="shared" si="5"/>
        <v>0</v>
      </c>
      <c r="AM27" s="51">
        <f t="shared" si="6"/>
        <v>12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121</v>
      </c>
      <c r="B28" s="47">
        <v>24.0</v>
      </c>
      <c r="C28" s="54" t="s">
        <v>122</v>
      </c>
      <c r="D28" s="55" t="s">
        <v>123</v>
      </c>
      <c r="E28" s="56" t="s">
        <v>49</v>
      </c>
      <c r="F28" s="68" t="s">
        <v>49</v>
      </c>
      <c r="G28" s="68" t="s">
        <v>49</v>
      </c>
      <c r="H28" s="75" t="s">
        <v>47</v>
      </c>
      <c r="I28" s="85" t="s">
        <v>46</v>
      </c>
      <c r="J28" s="58" t="s">
        <v>53</v>
      </c>
      <c r="K28" s="58" t="s">
        <v>53</v>
      </c>
      <c r="L28" s="68" t="s">
        <v>49</v>
      </c>
      <c r="M28" s="68" t="s">
        <v>47</v>
      </c>
      <c r="N28" s="65" t="s">
        <v>44</v>
      </c>
      <c r="O28" s="75" t="s">
        <v>44</v>
      </c>
      <c r="P28" s="76" t="s">
        <v>43</v>
      </c>
      <c r="Q28" s="58" t="s">
        <v>53</v>
      </c>
      <c r="R28" s="58" t="s">
        <v>53</v>
      </c>
      <c r="S28" s="57" t="s">
        <v>47</v>
      </c>
      <c r="T28" s="65" t="s">
        <v>47</v>
      </c>
      <c r="U28" s="65" t="s">
        <v>44</v>
      </c>
      <c r="V28" s="75" t="s">
        <v>44</v>
      </c>
      <c r="W28" s="76" t="s">
        <v>43</v>
      </c>
      <c r="X28" s="58" t="s">
        <v>53</v>
      </c>
      <c r="Y28" s="58" t="s">
        <v>53</v>
      </c>
      <c r="Z28" s="57" t="s">
        <v>47</v>
      </c>
      <c r="AA28" s="65" t="s">
        <v>47</v>
      </c>
      <c r="AB28" s="65" t="s">
        <v>47</v>
      </c>
      <c r="AC28" s="82" t="s">
        <v>47</v>
      </c>
      <c r="AD28" s="56" t="s">
        <v>49</v>
      </c>
      <c r="AE28" s="58" t="s">
        <v>53</v>
      </c>
      <c r="AF28" s="59" t="s">
        <v>53</v>
      </c>
      <c r="AG28" s="25"/>
      <c r="AH28" s="47">
        <f t="shared" si="1"/>
        <v>6</v>
      </c>
      <c r="AI28" s="48">
        <f t="shared" si="2"/>
        <v>2</v>
      </c>
      <c r="AJ28" s="48">
        <f t="shared" si="3"/>
        <v>4</v>
      </c>
      <c r="AK28" s="49">
        <f t="shared" si="4"/>
        <v>0</v>
      </c>
      <c r="AL28" s="50">
        <f t="shared" si="5"/>
        <v>1</v>
      </c>
      <c r="AM28" s="51">
        <f t="shared" si="6"/>
        <v>8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124</v>
      </c>
      <c r="B29" s="47">
        <v>25.0</v>
      </c>
      <c r="C29" s="54" t="s">
        <v>125</v>
      </c>
      <c r="D29" s="55" t="s">
        <v>126</v>
      </c>
      <c r="E29" s="56" t="s">
        <v>47</v>
      </c>
      <c r="F29" s="68" t="s">
        <v>47</v>
      </c>
      <c r="G29" s="68" t="s">
        <v>45</v>
      </c>
      <c r="H29" s="77" t="s">
        <v>44</v>
      </c>
      <c r="I29" s="56" t="s">
        <v>43</v>
      </c>
      <c r="J29" s="58" t="s">
        <v>53</v>
      </c>
      <c r="K29" s="58" t="s">
        <v>53</v>
      </c>
      <c r="L29" s="68" t="s">
        <v>47</v>
      </c>
      <c r="M29" s="68" t="s">
        <v>45</v>
      </c>
      <c r="N29" s="68" t="s">
        <v>45</v>
      </c>
      <c r="O29" s="77" t="s">
        <v>49</v>
      </c>
      <c r="P29" s="60" t="s">
        <v>43</v>
      </c>
      <c r="Q29" s="58" t="s">
        <v>53</v>
      </c>
      <c r="R29" s="58" t="s">
        <v>53</v>
      </c>
      <c r="S29" s="68" t="s">
        <v>47</v>
      </c>
      <c r="T29" s="68" t="s">
        <v>45</v>
      </c>
      <c r="U29" s="65" t="s">
        <v>45</v>
      </c>
      <c r="V29" s="75" t="s">
        <v>45</v>
      </c>
      <c r="W29" s="76" t="s">
        <v>43</v>
      </c>
      <c r="X29" s="58" t="s">
        <v>53</v>
      </c>
      <c r="Y29" s="58" t="s">
        <v>53</v>
      </c>
      <c r="Z29" s="68" t="s">
        <v>49</v>
      </c>
      <c r="AA29" s="68" t="s">
        <v>49</v>
      </c>
      <c r="AB29" s="68" t="s">
        <v>47</v>
      </c>
      <c r="AC29" s="77" t="s">
        <v>44</v>
      </c>
      <c r="AD29" s="56" t="s">
        <v>43</v>
      </c>
      <c r="AE29" s="58" t="s">
        <v>53</v>
      </c>
      <c r="AF29" s="59" t="s">
        <v>53</v>
      </c>
      <c r="AG29" s="25"/>
      <c r="AH29" s="47">
        <f t="shared" si="1"/>
        <v>6</v>
      </c>
      <c r="AI29" s="48">
        <f t="shared" si="2"/>
        <v>4</v>
      </c>
      <c r="AJ29" s="48">
        <f t="shared" si="3"/>
        <v>2</v>
      </c>
      <c r="AK29" s="49">
        <f t="shared" si="4"/>
        <v>6</v>
      </c>
      <c r="AL29" s="50">
        <f t="shared" si="5"/>
        <v>0</v>
      </c>
      <c r="AM29" s="51">
        <f t="shared" si="6"/>
        <v>5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127</v>
      </c>
      <c r="B30" s="47">
        <v>26.0</v>
      </c>
      <c r="C30" s="54" t="s">
        <v>128</v>
      </c>
      <c r="D30" s="73" t="s">
        <v>129</v>
      </c>
      <c r="E30" s="60" t="s">
        <v>44</v>
      </c>
      <c r="F30" s="58" t="s">
        <v>53</v>
      </c>
      <c r="G30" s="58" t="s">
        <v>53</v>
      </c>
      <c r="H30" s="70" t="s">
        <v>47</v>
      </c>
      <c r="I30" s="60" t="s">
        <v>47</v>
      </c>
      <c r="J30" s="57" t="s">
        <v>45</v>
      </c>
      <c r="K30" s="57" t="s">
        <v>45</v>
      </c>
      <c r="L30" s="57" t="s">
        <v>43</v>
      </c>
      <c r="M30" s="58" t="s">
        <v>53</v>
      </c>
      <c r="N30" s="58" t="s">
        <v>53</v>
      </c>
      <c r="O30" s="75" t="s">
        <v>46</v>
      </c>
      <c r="P30" s="76" t="s">
        <v>47</v>
      </c>
      <c r="Q30" s="57" t="s">
        <v>43</v>
      </c>
      <c r="R30" s="57" t="s">
        <v>44</v>
      </c>
      <c r="S30" s="57" t="s">
        <v>43</v>
      </c>
      <c r="T30" s="58" t="s">
        <v>53</v>
      </c>
      <c r="U30" s="58" t="s">
        <v>53</v>
      </c>
      <c r="V30" s="75" t="s">
        <v>47</v>
      </c>
      <c r="W30" s="76" t="s">
        <v>47</v>
      </c>
      <c r="X30" s="57" t="s">
        <v>46</v>
      </c>
      <c r="Y30" s="57" t="s">
        <v>45</v>
      </c>
      <c r="Z30" s="57" t="s">
        <v>43</v>
      </c>
      <c r="AA30" s="58" t="s">
        <v>53</v>
      </c>
      <c r="AB30" s="58" t="s">
        <v>53</v>
      </c>
      <c r="AC30" s="77" t="s">
        <v>47</v>
      </c>
      <c r="AD30" s="87" t="s">
        <v>47</v>
      </c>
      <c r="AE30" s="65" t="s">
        <v>49</v>
      </c>
      <c r="AF30" s="75" t="s">
        <v>49</v>
      </c>
      <c r="AG30" s="25"/>
      <c r="AH30" s="47">
        <f t="shared" si="1"/>
        <v>6</v>
      </c>
      <c r="AI30" s="48">
        <f t="shared" si="2"/>
        <v>4</v>
      </c>
      <c r="AJ30" s="48">
        <f t="shared" si="3"/>
        <v>2</v>
      </c>
      <c r="AK30" s="49">
        <f t="shared" si="4"/>
        <v>3</v>
      </c>
      <c r="AL30" s="50">
        <f t="shared" si="5"/>
        <v>2</v>
      </c>
      <c r="AM30" s="51">
        <f t="shared" si="6"/>
        <v>7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130</v>
      </c>
      <c r="B31" s="47">
        <v>27.0</v>
      </c>
      <c r="C31" s="54" t="s">
        <v>131</v>
      </c>
      <c r="D31" s="55" t="s">
        <v>132</v>
      </c>
      <c r="E31" s="60" t="s">
        <v>45</v>
      </c>
      <c r="F31" s="65" t="s">
        <v>45</v>
      </c>
      <c r="G31" s="65" t="s">
        <v>44</v>
      </c>
      <c r="H31" s="75" t="s">
        <v>43</v>
      </c>
      <c r="I31" s="62" t="s">
        <v>53</v>
      </c>
      <c r="J31" s="58" t="s">
        <v>53</v>
      </c>
      <c r="K31" s="57" t="s">
        <v>45</v>
      </c>
      <c r="L31" s="57" t="s">
        <v>45</v>
      </c>
      <c r="M31" s="57" t="s">
        <v>45</v>
      </c>
      <c r="N31" s="57" t="s">
        <v>45</v>
      </c>
      <c r="O31" s="70" t="s">
        <v>43</v>
      </c>
      <c r="P31" s="62" t="s">
        <v>53</v>
      </c>
      <c r="Q31" s="58" t="s">
        <v>53</v>
      </c>
      <c r="R31" s="65" t="s">
        <v>45</v>
      </c>
      <c r="S31" s="65" t="s">
        <v>45</v>
      </c>
      <c r="T31" s="65" t="s">
        <v>45</v>
      </c>
      <c r="U31" s="68" t="s">
        <v>44</v>
      </c>
      <c r="V31" s="75" t="s">
        <v>43</v>
      </c>
      <c r="W31" s="62" t="s">
        <v>53</v>
      </c>
      <c r="X31" s="58" t="s">
        <v>53</v>
      </c>
      <c r="Y31" s="65" t="s">
        <v>45</v>
      </c>
      <c r="Z31" s="65" t="s">
        <v>45</v>
      </c>
      <c r="AA31" s="65" t="s">
        <v>45</v>
      </c>
      <c r="AB31" s="68" t="s">
        <v>44</v>
      </c>
      <c r="AC31" s="75" t="s">
        <v>43</v>
      </c>
      <c r="AD31" s="62" t="s">
        <v>53</v>
      </c>
      <c r="AE31" s="58" t="s">
        <v>53</v>
      </c>
      <c r="AF31" s="75" t="s">
        <v>49</v>
      </c>
      <c r="AG31" s="25"/>
      <c r="AH31" s="47">
        <f t="shared" si="1"/>
        <v>7</v>
      </c>
      <c r="AI31" s="48">
        <f t="shared" si="2"/>
        <v>4</v>
      </c>
      <c r="AJ31" s="48">
        <f t="shared" si="3"/>
        <v>3</v>
      </c>
      <c r="AK31" s="49">
        <f t="shared" si="4"/>
        <v>12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133</v>
      </c>
      <c r="B32" s="47">
        <v>28.0</v>
      </c>
      <c r="C32" s="54" t="s">
        <v>134</v>
      </c>
      <c r="D32" s="73" t="s">
        <v>135</v>
      </c>
      <c r="E32" s="85" t="s">
        <v>46</v>
      </c>
      <c r="F32" s="68" t="s">
        <v>49</v>
      </c>
      <c r="G32" s="88" t="s">
        <v>53</v>
      </c>
      <c r="H32" s="59" t="s">
        <v>53</v>
      </c>
      <c r="I32" s="76" t="s">
        <v>47</v>
      </c>
      <c r="J32" s="65" t="s">
        <v>45</v>
      </c>
      <c r="K32" s="57" t="s">
        <v>44</v>
      </c>
      <c r="L32" s="57" t="s">
        <v>43</v>
      </c>
      <c r="M32" s="57" t="s">
        <v>49</v>
      </c>
      <c r="N32" s="58" t="s">
        <v>53</v>
      </c>
      <c r="O32" s="59" t="s">
        <v>53</v>
      </c>
      <c r="P32" s="76" t="s">
        <v>47</v>
      </c>
      <c r="Q32" s="57" t="s">
        <v>46</v>
      </c>
      <c r="R32" s="65" t="s">
        <v>47</v>
      </c>
      <c r="S32" s="57" t="s">
        <v>45</v>
      </c>
      <c r="T32" s="57" t="s">
        <v>44</v>
      </c>
      <c r="U32" s="58" t="s">
        <v>53</v>
      </c>
      <c r="V32" s="59" t="s">
        <v>53</v>
      </c>
      <c r="W32" s="76" t="s">
        <v>47</v>
      </c>
      <c r="X32" s="57" t="s">
        <v>47</v>
      </c>
      <c r="Y32" s="65" t="s">
        <v>46</v>
      </c>
      <c r="Z32" s="57" t="s">
        <v>43</v>
      </c>
      <c r="AA32" s="57" t="s">
        <v>43</v>
      </c>
      <c r="AB32" s="58" t="s">
        <v>53</v>
      </c>
      <c r="AC32" s="59" t="s">
        <v>53</v>
      </c>
      <c r="AD32" s="76" t="s">
        <v>47</v>
      </c>
      <c r="AE32" s="57" t="s">
        <v>43</v>
      </c>
      <c r="AF32" s="75" t="s">
        <v>44</v>
      </c>
      <c r="AG32" s="25"/>
      <c r="AH32" s="47">
        <f t="shared" si="1"/>
        <v>7</v>
      </c>
      <c r="AI32" s="48">
        <f t="shared" si="2"/>
        <v>4</v>
      </c>
      <c r="AJ32" s="48">
        <f t="shared" si="3"/>
        <v>3</v>
      </c>
      <c r="AK32" s="49">
        <f t="shared" si="4"/>
        <v>2</v>
      </c>
      <c r="AL32" s="50">
        <f t="shared" si="5"/>
        <v>3</v>
      </c>
      <c r="AM32" s="51">
        <f t="shared" si="6"/>
        <v>6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136</v>
      </c>
      <c r="B33" s="47">
        <v>29.0</v>
      </c>
      <c r="C33" s="54" t="s">
        <v>137</v>
      </c>
      <c r="D33" s="55" t="s">
        <v>138</v>
      </c>
      <c r="E33" s="60" t="s">
        <v>45</v>
      </c>
      <c r="F33" s="65" t="s">
        <v>45</v>
      </c>
      <c r="G33" s="65" t="s">
        <v>44</v>
      </c>
      <c r="H33" s="75" t="s">
        <v>43</v>
      </c>
      <c r="I33" s="62" t="s">
        <v>53</v>
      </c>
      <c r="J33" s="58" t="s">
        <v>53</v>
      </c>
      <c r="K33" s="57" t="s">
        <v>45</v>
      </c>
      <c r="L33" s="57" t="s">
        <v>45</v>
      </c>
      <c r="M33" s="57" t="s">
        <v>44</v>
      </c>
      <c r="N33" s="57" t="s">
        <v>43</v>
      </c>
      <c r="O33" s="70" t="s">
        <v>43</v>
      </c>
      <c r="P33" s="62" t="s">
        <v>53</v>
      </c>
      <c r="Q33" s="58" t="s">
        <v>53</v>
      </c>
      <c r="R33" s="65" t="s">
        <v>45</v>
      </c>
      <c r="S33" s="65" t="s">
        <v>45</v>
      </c>
      <c r="T33" s="65" t="s">
        <v>45</v>
      </c>
      <c r="U33" s="68" t="s">
        <v>45</v>
      </c>
      <c r="V33" s="75" t="s">
        <v>43</v>
      </c>
      <c r="W33" s="62" t="s">
        <v>53</v>
      </c>
      <c r="X33" s="58" t="s">
        <v>53</v>
      </c>
      <c r="Y33" s="65" t="s">
        <v>45</v>
      </c>
      <c r="Z33" s="65" t="s">
        <v>45</v>
      </c>
      <c r="AA33" s="65" t="s">
        <v>45</v>
      </c>
      <c r="AB33" s="68" t="s">
        <v>45</v>
      </c>
      <c r="AC33" s="75" t="s">
        <v>43</v>
      </c>
      <c r="AD33" s="62" t="s">
        <v>53</v>
      </c>
      <c r="AE33" s="58" t="s">
        <v>53</v>
      </c>
      <c r="AF33" s="75" t="s">
        <v>46</v>
      </c>
      <c r="AG33" s="25"/>
      <c r="AH33" s="47">
        <f t="shared" si="1"/>
        <v>7</v>
      </c>
      <c r="AI33" s="48">
        <f t="shared" si="2"/>
        <v>5</v>
      </c>
      <c r="AJ33" s="48">
        <f t="shared" si="3"/>
        <v>2</v>
      </c>
      <c r="AK33" s="49">
        <f t="shared" si="4"/>
        <v>12</v>
      </c>
      <c r="AL33" s="50">
        <f t="shared" si="5"/>
        <v>1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139</v>
      </c>
      <c r="B34" s="47">
        <v>30.0</v>
      </c>
      <c r="C34" s="54" t="s">
        <v>140</v>
      </c>
      <c r="D34" s="55" t="s">
        <v>141</v>
      </c>
      <c r="E34" s="60" t="s">
        <v>46</v>
      </c>
      <c r="F34" s="65" t="s">
        <v>46</v>
      </c>
      <c r="G34" s="57" t="s">
        <v>46</v>
      </c>
      <c r="H34" s="75" t="s">
        <v>45</v>
      </c>
      <c r="I34" s="62" t="s">
        <v>53</v>
      </c>
      <c r="J34" s="58" t="s">
        <v>53</v>
      </c>
      <c r="K34" s="57" t="s">
        <v>46</v>
      </c>
      <c r="L34" s="57" t="s">
        <v>46</v>
      </c>
      <c r="M34" s="57" t="s">
        <v>46</v>
      </c>
      <c r="N34" s="57" t="s">
        <v>46</v>
      </c>
      <c r="O34" s="70" t="s">
        <v>45</v>
      </c>
      <c r="P34" s="62" t="s">
        <v>53</v>
      </c>
      <c r="Q34" s="58" t="s">
        <v>53</v>
      </c>
      <c r="R34" s="57" t="s">
        <v>47</v>
      </c>
      <c r="S34" s="57" t="s">
        <v>47</v>
      </c>
      <c r="T34" s="57" t="s">
        <v>46</v>
      </c>
      <c r="U34" s="57" t="s">
        <v>46</v>
      </c>
      <c r="V34" s="70" t="s">
        <v>47</v>
      </c>
      <c r="W34" s="62" t="s">
        <v>53</v>
      </c>
      <c r="X34" s="58" t="s">
        <v>53</v>
      </c>
      <c r="Y34" s="57" t="s">
        <v>47</v>
      </c>
      <c r="Z34" s="57" t="s">
        <v>47</v>
      </c>
      <c r="AA34" s="57" t="s">
        <v>45</v>
      </c>
      <c r="AB34" s="57" t="s">
        <v>45</v>
      </c>
      <c r="AC34" s="70" t="s">
        <v>45</v>
      </c>
      <c r="AD34" s="62" t="s">
        <v>53</v>
      </c>
      <c r="AE34" s="58" t="s">
        <v>53</v>
      </c>
      <c r="AF34" s="89" t="s">
        <v>57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5</v>
      </c>
      <c r="AL34" s="50">
        <f t="shared" si="5"/>
        <v>9</v>
      </c>
      <c r="AM34" s="51">
        <f t="shared" si="6"/>
        <v>5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142</v>
      </c>
      <c r="B35" s="47">
        <v>31.0</v>
      </c>
      <c r="C35" s="54" t="s">
        <v>143</v>
      </c>
      <c r="D35" s="55" t="s">
        <v>144</v>
      </c>
      <c r="E35" s="56" t="s">
        <v>49</v>
      </c>
      <c r="F35" s="68" t="s">
        <v>49</v>
      </c>
      <c r="G35" s="68" t="s">
        <v>49</v>
      </c>
      <c r="H35" s="77" t="s">
        <v>49</v>
      </c>
      <c r="I35" s="62" t="s">
        <v>53</v>
      </c>
      <c r="J35" s="58" t="s">
        <v>53</v>
      </c>
      <c r="K35" s="57" t="s">
        <v>45</v>
      </c>
      <c r="L35" s="57" t="s">
        <v>45</v>
      </c>
      <c r="M35" s="57" t="s">
        <v>45</v>
      </c>
      <c r="N35" s="65" t="s">
        <v>44</v>
      </c>
      <c r="O35" s="75" t="s">
        <v>43</v>
      </c>
      <c r="P35" s="76" t="s">
        <v>43</v>
      </c>
      <c r="Q35" s="58" t="s">
        <v>53</v>
      </c>
      <c r="R35" s="58" t="s">
        <v>53</v>
      </c>
      <c r="S35" s="57" t="s">
        <v>47</v>
      </c>
      <c r="T35" s="57" t="s">
        <v>43</v>
      </c>
      <c r="U35" s="65" t="s">
        <v>44</v>
      </c>
      <c r="V35" s="75" t="s">
        <v>44</v>
      </c>
      <c r="W35" s="62" t="s">
        <v>53</v>
      </c>
      <c r="X35" s="58" t="s">
        <v>53</v>
      </c>
      <c r="Y35" s="57" t="s">
        <v>47</v>
      </c>
      <c r="Z35" s="57" t="s">
        <v>47</v>
      </c>
      <c r="AA35" s="57" t="s">
        <v>46</v>
      </c>
      <c r="AB35" s="65" t="s">
        <v>45</v>
      </c>
      <c r="AC35" s="75" t="s">
        <v>45</v>
      </c>
      <c r="AD35" s="76" t="s">
        <v>45</v>
      </c>
      <c r="AE35" s="58" t="s">
        <v>53</v>
      </c>
      <c r="AF35" s="59" t="s">
        <v>53</v>
      </c>
      <c r="AG35" s="25"/>
      <c r="AH35" s="47">
        <f t="shared" si="1"/>
        <v>6</v>
      </c>
      <c r="AI35" s="48">
        <f t="shared" si="2"/>
        <v>3</v>
      </c>
      <c r="AJ35" s="48">
        <f t="shared" si="3"/>
        <v>3</v>
      </c>
      <c r="AK35" s="49">
        <f t="shared" si="4"/>
        <v>6</v>
      </c>
      <c r="AL35" s="50">
        <f t="shared" si="5"/>
        <v>1</v>
      </c>
      <c r="AM35" s="51">
        <f t="shared" si="6"/>
        <v>3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145</v>
      </c>
      <c r="B36" s="47">
        <v>32.0</v>
      </c>
      <c r="C36" s="54" t="s">
        <v>146</v>
      </c>
      <c r="D36" s="55" t="s">
        <v>147</v>
      </c>
      <c r="E36" s="62" t="s">
        <v>53</v>
      </c>
      <c r="F36" s="58" t="s">
        <v>53</v>
      </c>
      <c r="G36" s="65" t="s">
        <v>47</v>
      </c>
      <c r="H36" s="75" t="s">
        <v>46</v>
      </c>
      <c r="I36" s="76" t="s">
        <v>45</v>
      </c>
      <c r="J36" s="65" t="s">
        <v>44</v>
      </c>
      <c r="K36" s="65" t="s">
        <v>43</v>
      </c>
      <c r="L36" s="58" t="s">
        <v>53</v>
      </c>
      <c r="M36" s="58" t="s">
        <v>53</v>
      </c>
      <c r="N36" s="65" t="s">
        <v>47</v>
      </c>
      <c r="O36" s="82" t="s">
        <v>47</v>
      </c>
      <c r="P36" s="76" t="s">
        <v>46</v>
      </c>
      <c r="Q36" s="57" t="s">
        <v>44</v>
      </c>
      <c r="R36" s="68" t="s">
        <v>43</v>
      </c>
      <c r="S36" s="58" t="s">
        <v>53</v>
      </c>
      <c r="T36" s="58" t="s">
        <v>53</v>
      </c>
      <c r="U36" s="65" t="s">
        <v>47</v>
      </c>
      <c r="V36" s="70" t="s">
        <v>45</v>
      </c>
      <c r="W36" s="76" t="s">
        <v>45</v>
      </c>
      <c r="X36" s="57" t="s">
        <v>44</v>
      </c>
      <c r="Y36" s="68" t="s">
        <v>43</v>
      </c>
      <c r="Z36" s="58" t="s">
        <v>53</v>
      </c>
      <c r="AA36" s="58" t="s">
        <v>53</v>
      </c>
      <c r="AB36" s="65" t="s">
        <v>47</v>
      </c>
      <c r="AC36" s="70" t="s">
        <v>45</v>
      </c>
      <c r="AD36" s="76" t="s">
        <v>45</v>
      </c>
      <c r="AE36" s="57" t="s">
        <v>45</v>
      </c>
      <c r="AF36" s="77" t="s">
        <v>45</v>
      </c>
      <c r="AG36" s="25" t="s">
        <v>148</v>
      </c>
      <c r="AH36" s="47">
        <f t="shared" si="1"/>
        <v>6</v>
      </c>
      <c r="AI36" s="48">
        <f t="shared" si="2"/>
        <v>3</v>
      </c>
      <c r="AJ36" s="48">
        <f t="shared" si="3"/>
        <v>3</v>
      </c>
      <c r="AK36" s="49">
        <f t="shared" si="4"/>
        <v>7</v>
      </c>
      <c r="AL36" s="50">
        <f t="shared" si="5"/>
        <v>2</v>
      </c>
      <c r="AM36" s="51">
        <f t="shared" si="6"/>
        <v>5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149</v>
      </c>
      <c r="B37" s="47">
        <v>33.0</v>
      </c>
      <c r="C37" s="54" t="s">
        <v>150</v>
      </c>
      <c r="D37" s="55" t="s">
        <v>151</v>
      </c>
      <c r="E37" s="60" t="s">
        <v>47</v>
      </c>
      <c r="F37" s="65" t="s">
        <v>45</v>
      </c>
      <c r="G37" s="68" t="s">
        <v>45</v>
      </c>
      <c r="H37" s="77" t="s">
        <v>43</v>
      </c>
      <c r="I37" s="76" t="s">
        <v>43</v>
      </c>
      <c r="J37" s="58" t="s">
        <v>53</v>
      </c>
      <c r="K37" s="58" t="s">
        <v>53</v>
      </c>
      <c r="L37" s="57" t="s">
        <v>47</v>
      </c>
      <c r="M37" s="57" t="s">
        <v>45</v>
      </c>
      <c r="N37" s="65" t="s">
        <v>45</v>
      </c>
      <c r="O37" s="75" t="s">
        <v>45</v>
      </c>
      <c r="P37" s="76" t="s">
        <v>43</v>
      </c>
      <c r="Q37" s="58" t="s">
        <v>53</v>
      </c>
      <c r="R37" s="58" t="s">
        <v>53</v>
      </c>
      <c r="S37" s="65" t="s">
        <v>49</v>
      </c>
      <c r="T37" s="57" t="s">
        <v>47</v>
      </c>
      <c r="U37" s="65" t="s">
        <v>45</v>
      </c>
      <c r="V37" s="70" t="s">
        <v>45</v>
      </c>
      <c r="W37" s="56" t="s">
        <v>43</v>
      </c>
      <c r="X37" s="58" t="s">
        <v>53</v>
      </c>
      <c r="Y37" s="58" t="s">
        <v>53</v>
      </c>
      <c r="Z37" s="57" t="s">
        <v>47</v>
      </c>
      <c r="AA37" s="57" t="s">
        <v>45</v>
      </c>
      <c r="AB37" s="65" t="s">
        <v>43</v>
      </c>
      <c r="AC37" s="75" t="s">
        <v>43</v>
      </c>
      <c r="AD37" s="62" t="s">
        <v>53</v>
      </c>
      <c r="AE37" s="58" t="s">
        <v>53</v>
      </c>
      <c r="AF37" s="89" t="s">
        <v>57</v>
      </c>
      <c r="AG37" s="25"/>
      <c r="AH37" s="47">
        <f t="shared" si="1"/>
        <v>6</v>
      </c>
      <c r="AI37" s="48">
        <f t="shared" si="2"/>
        <v>6</v>
      </c>
      <c r="AJ37" s="48">
        <f t="shared" si="3"/>
        <v>0</v>
      </c>
      <c r="AK37" s="49">
        <f t="shared" si="4"/>
        <v>8</v>
      </c>
      <c r="AL37" s="50">
        <f t="shared" si="5"/>
        <v>0</v>
      </c>
      <c r="AM37" s="51">
        <f t="shared" si="6"/>
        <v>4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152</v>
      </c>
      <c r="B38" s="47">
        <v>34.0</v>
      </c>
      <c r="C38" s="54" t="s">
        <v>153</v>
      </c>
      <c r="D38" s="55" t="s">
        <v>154</v>
      </c>
      <c r="E38" s="62" t="s">
        <v>53</v>
      </c>
      <c r="F38" s="57" t="s">
        <v>47</v>
      </c>
      <c r="G38" s="57" t="s">
        <v>45</v>
      </c>
      <c r="H38" s="70" t="s">
        <v>44</v>
      </c>
      <c r="I38" s="60" t="s">
        <v>43</v>
      </c>
      <c r="J38" s="58" t="s">
        <v>53</v>
      </c>
      <c r="K38" s="58" t="s">
        <v>53</v>
      </c>
      <c r="L38" s="57" t="s">
        <v>47</v>
      </c>
      <c r="M38" s="57" t="s">
        <v>45</v>
      </c>
      <c r="N38" s="57" t="s">
        <v>43</v>
      </c>
      <c r="O38" s="70" t="s">
        <v>44</v>
      </c>
      <c r="P38" s="60" t="s">
        <v>49</v>
      </c>
      <c r="Q38" s="58" t="s">
        <v>53</v>
      </c>
      <c r="R38" s="58" t="s">
        <v>53</v>
      </c>
      <c r="S38" s="65" t="s">
        <v>47</v>
      </c>
      <c r="T38" s="57" t="s">
        <v>45</v>
      </c>
      <c r="U38" s="57" t="s">
        <v>45</v>
      </c>
      <c r="V38" s="70" t="s">
        <v>45</v>
      </c>
      <c r="W38" s="60" t="s">
        <v>43</v>
      </c>
      <c r="X38" s="58" t="s">
        <v>53</v>
      </c>
      <c r="Y38" s="58" t="s">
        <v>53</v>
      </c>
      <c r="Z38" s="57" t="s">
        <v>47</v>
      </c>
      <c r="AA38" s="57" t="s">
        <v>47</v>
      </c>
      <c r="AB38" s="57" t="s">
        <v>45</v>
      </c>
      <c r="AC38" s="70" t="s">
        <v>44</v>
      </c>
      <c r="AD38" s="60" t="s">
        <v>43</v>
      </c>
      <c r="AE38" s="58" t="s">
        <v>53</v>
      </c>
      <c r="AF38" s="59" t="s">
        <v>53</v>
      </c>
      <c r="AG38" s="25"/>
      <c r="AH38" s="47">
        <f t="shared" si="1"/>
        <v>7</v>
      </c>
      <c r="AI38" s="48">
        <f t="shared" si="2"/>
        <v>4</v>
      </c>
      <c r="AJ38" s="48">
        <f t="shared" si="3"/>
        <v>3</v>
      </c>
      <c r="AK38" s="49">
        <f t="shared" si="4"/>
        <v>6</v>
      </c>
      <c r="AL38" s="50">
        <f t="shared" si="5"/>
        <v>0</v>
      </c>
      <c r="AM38" s="51">
        <f t="shared" si="6"/>
        <v>5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155</v>
      </c>
      <c r="B39" s="47">
        <v>35.0</v>
      </c>
      <c r="C39" s="54" t="s">
        <v>156</v>
      </c>
      <c r="D39" s="55" t="s">
        <v>157</v>
      </c>
      <c r="E39" s="60" t="s">
        <v>47</v>
      </c>
      <c r="F39" s="57" t="s">
        <v>46</v>
      </c>
      <c r="G39" s="65" t="s">
        <v>46</v>
      </c>
      <c r="H39" s="75" t="s">
        <v>43</v>
      </c>
      <c r="I39" s="62" t="s">
        <v>53</v>
      </c>
      <c r="J39" s="58" t="s">
        <v>53</v>
      </c>
      <c r="K39" s="68" t="s">
        <v>47</v>
      </c>
      <c r="L39" s="68" t="s">
        <v>47</v>
      </c>
      <c r="M39" s="68" t="s">
        <v>46</v>
      </c>
      <c r="N39" s="68" t="s">
        <v>43</v>
      </c>
      <c r="O39" s="75" t="s">
        <v>43</v>
      </c>
      <c r="P39" s="62" t="s">
        <v>53</v>
      </c>
      <c r="Q39" s="58" t="s">
        <v>53</v>
      </c>
      <c r="R39" s="65" t="s">
        <v>47</v>
      </c>
      <c r="S39" s="65" t="s">
        <v>46</v>
      </c>
      <c r="T39" s="65" t="s">
        <v>46</v>
      </c>
      <c r="U39" s="68" t="s">
        <v>43</v>
      </c>
      <c r="V39" s="75" t="s">
        <v>43</v>
      </c>
      <c r="W39" s="62" t="s">
        <v>53</v>
      </c>
      <c r="X39" s="58" t="s">
        <v>53</v>
      </c>
      <c r="Y39" s="65" t="s">
        <v>47</v>
      </c>
      <c r="Z39" s="65" t="s">
        <v>47</v>
      </c>
      <c r="AA39" s="65" t="s">
        <v>46</v>
      </c>
      <c r="AB39" s="65" t="s">
        <v>43</v>
      </c>
      <c r="AC39" s="75" t="s">
        <v>43</v>
      </c>
      <c r="AD39" s="62" t="s">
        <v>53</v>
      </c>
      <c r="AE39" s="58" t="s">
        <v>53</v>
      </c>
      <c r="AF39" s="75" t="s">
        <v>46</v>
      </c>
      <c r="AG39" s="25"/>
      <c r="AH39" s="47">
        <f t="shared" si="1"/>
        <v>7</v>
      </c>
      <c r="AI39" s="48">
        <f t="shared" si="2"/>
        <v>7</v>
      </c>
      <c r="AJ39" s="48">
        <f t="shared" si="3"/>
        <v>0</v>
      </c>
      <c r="AK39" s="49">
        <f t="shared" si="4"/>
        <v>0</v>
      </c>
      <c r="AL39" s="50">
        <f t="shared" si="5"/>
        <v>7</v>
      </c>
      <c r="AM39" s="51">
        <f t="shared" si="6"/>
        <v>6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158</v>
      </c>
      <c r="B40" s="47">
        <v>36.0</v>
      </c>
      <c r="C40" s="54" t="s">
        <v>159</v>
      </c>
      <c r="D40" s="55" t="s">
        <v>160</v>
      </c>
      <c r="E40" s="62" t="s">
        <v>53</v>
      </c>
      <c r="F40" s="57" t="s">
        <v>45</v>
      </c>
      <c r="G40" s="57" t="s">
        <v>45</v>
      </c>
      <c r="H40" s="70" t="s">
        <v>45</v>
      </c>
      <c r="I40" s="76" t="s">
        <v>44</v>
      </c>
      <c r="J40" s="65" t="s">
        <v>43</v>
      </c>
      <c r="K40" s="58" t="s">
        <v>53</v>
      </c>
      <c r="L40" s="58" t="s">
        <v>53</v>
      </c>
      <c r="M40" s="57" t="s">
        <v>47</v>
      </c>
      <c r="N40" s="57" t="s">
        <v>45</v>
      </c>
      <c r="O40" s="70" t="s">
        <v>45</v>
      </c>
      <c r="P40" s="60" t="s">
        <v>45</v>
      </c>
      <c r="Q40" s="57" t="s">
        <v>45</v>
      </c>
      <c r="R40" s="58" t="s">
        <v>53</v>
      </c>
      <c r="S40" s="58" t="s">
        <v>53</v>
      </c>
      <c r="T40" s="57" t="s">
        <v>49</v>
      </c>
      <c r="U40" s="57" t="s">
        <v>46</v>
      </c>
      <c r="V40" s="70" t="s">
        <v>45</v>
      </c>
      <c r="W40" s="60" t="s">
        <v>44</v>
      </c>
      <c r="X40" s="57" t="s">
        <v>43</v>
      </c>
      <c r="Y40" s="58" t="s">
        <v>53</v>
      </c>
      <c r="Z40" s="58" t="s">
        <v>53</v>
      </c>
      <c r="AA40" s="57" t="s">
        <v>47</v>
      </c>
      <c r="AB40" s="57" t="s">
        <v>47</v>
      </c>
      <c r="AC40" s="70" t="s">
        <v>44</v>
      </c>
      <c r="AD40" s="60" t="s">
        <v>43</v>
      </c>
      <c r="AE40" s="57" t="s">
        <v>43</v>
      </c>
      <c r="AF40" s="59" t="s">
        <v>53</v>
      </c>
      <c r="AG40" s="25"/>
      <c r="AH40" s="47">
        <f t="shared" si="1"/>
        <v>7</v>
      </c>
      <c r="AI40" s="48">
        <f t="shared" si="2"/>
        <v>4</v>
      </c>
      <c r="AJ40" s="48">
        <f t="shared" si="3"/>
        <v>3</v>
      </c>
      <c r="AK40" s="49">
        <f t="shared" si="4"/>
        <v>8</v>
      </c>
      <c r="AL40" s="50">
        <f t="shared" si="5"/>
        <v>1</v>
      </c>
      <c r="AM40" s="51">
        <f t="shared" si="6"/>
        <v>3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161</v>
      </c>
      <c r="B41" s="47">
        <v>37.0</v>
      </c>
      <c r="C41" s="54" t="s">
        <v>162</v>
      </c>
      <c r="D41" s="55" t="s">
        <v>163</v>
      </c>
      <c r="E41" s="60" t="s">
        <v>45</v>
      </c>
      <c r="F41" s="65" t="s">
        <v>45</v>
      </c>
      <c r="G41" s="65" t="s">
        <v>44</v>
      </c>
      <c r="H41" s="77" t="s">
        <v>43</v>
      </c>
      <c r="I41" s="62" t="s">
        <v>53</v>
      </c>
      <c r="J41" s="58" t="s">
        <v>53</v>
      </c>
      <c r="K41" s="57" t="s">
        <v>45</v>
      </c>
      <c r="L41" s="57" t="s">
        <v>45</v>
      </c>
      <c r="M41" s="57" t="s">
        <v>45</v>
      </c>
      <c r="N41" s="61" t="s">
        <v>43</v>
      </c>
      <c r="O41" s="70" t="s">
        <v>43</v>
      </c>
      <c r="P41" s="62" t="s">
        <v>53</v>
      </c>
      <c r="Q41" s="58" t="s">
        <v>53</v>
      </c>
      <c r="R41" s="65" t="s">
        <v>44</v>
      </c>
      <c r="S41" s="57" t="s">
        <v>44</v>
      </c>
      <c r="T41" s="57" t="s">
        <v>49</v>
      </c>
      <c r="U41" s="61" t="s">
        <v>45</v>
      </c>
      <c r="V41" s="66" t="s">
        <v>44</v>
      </c>
      <c r="W41" s="62" t="s">
        <v>53</v>
      </c>
      <c r="X41" s="58" t="s">
        <v>53</v>
      </c>
      <c r="Y41" s="65" t="s">
        <v>49</v>
      </c>
      <c r="Z41" s="65" t="s">
        <v>49</v>
      </c>
      <c r="AA41" s="65" t="s">
        <v>49</v>
      </c>
      <c r="AB41" s="61" t="s">
        <v>45</v>
      </c>
      <c r="AC41" s="75" t="s">
        <v>45</v>
      </c>
      <c r="AD41" s="62" t="s">
        <v>53</v>
      </c>
      <c r="AE41" s="58" t="s">
        <v>53</v>
      </c>
      <c r="AF41" s="70" t="s">
        <v>45</v>
      </c>
      <c r="AG41" s="25"/>
      <c r="AH41" s="47">
        <f t="shared" si="1"/>
        <v>7</v>
      </c>
      <c r="AI41" s="48">
        <f t="shared" si="2"/>
        <v>3</v>
      </c>
      <c r="AJ41" s="48">
        <f t="shared" si="3"/>
        <v>4</v>
      </c>
      <c r="AK41" s="49">
        <f t="shared" si="4"/>
        <v>9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164</v>
      </c>
      <c r="B42" s="47">
        <v>38.0</v>
      </c>
      <c r="C42" s="54" t="s">
        <v>165</v>
      </c>
      <c r="D42" s="55" t="s">
        <v>166</v>
      </c>
      <c r="E42" s="62" t="s">
        <v>53</v>
      </c>
      <c r="F42" s="90" t="s">
        <v>44</v>
      </c>
      <c r="G42" s="57" t="s">
        <v>44</v>
      </c>
      <c r="H42" s="75" t="s">
        <v>45</v>
      </c>
      <c r="I42" s="60" t="s">
        <v>45</v>
      </c>
      <c r="J42" s="65" t="s">
        <v>45</v>
      </c>
      <c r="K42" s="58" t="s">
        <v>53</v>
      </c>
      <c r="L42" s="58" t="s">
        <v>53</v>
      </c>
      <c r="M42" s="57" t="s">
        <v>47</v>
      </c>
      <c r="N42" s="57" t="s">
        <v>46</v>
      </c>
      <c r="O42" s="91" t="s">
        <v>47</v>
      </c>
      <c r="P42" s="60" t="s">
        <v>43</v>
      </c>
      <c r="Q42" s="57" t="s">
        <v>44</v>
      </c>
      <c r="R42" s="58" t="s">
        <v>53</v>
      </c>
      <c r="S42" s="58" t="s">
        <v>53</v>
      </c>
      <c r="T42" s="57" t="s">
        <v>47</v>
      </c>
      <c r="U42" s="57" t="s">
        <v>45</v>
      </c>
      <c r="V42" s="70" t="s">
        <v>45</v>
      </c>
      <c r="W42" s="60" t="s">
        <v>45</v>
      </c>
      <c r="X42" s="68" t="s">
        <v>43</v>
      </c>
      <c r="Y42" s="58" t="s">
        <v>53</v>
      </c>
      <c r="Z42" s="58" t="s">
        <v>53</v>
      </c>
      <c r="AA42" s="57" t="s">
        <v>47</v>
      </c>
      <c r="AB42" s="57" t="s">
        <v>45</v>
      </c>
      <c r="AC42" s="70" t="s">
        <v>45</v>
      </c>
      <c r="AD42" s="60" t="s">
        <v>44</v>
      </c>
      <c r="AE42" s="57" t="s">
        <v>43</v>
      </c>
      <c r="AF42" s="59" t="s">
        <v>53</v>
      </c>
      <c r="AG42" s="25"/>
      <c r="AH42" s="47">
        <f t="shared" si="1"/>
        <v>7</v>
      </c>
      <c r="AI42" s="48">
        <f t="shared" si="2"/>
        <v>3</v>
      </c>
      <c r="AJ42" s="48">
        <f t="shared" si="3"/>
        <v>4</v>
      </c>
      <c r="AK42" s="49">
        <f t="shared" si="4"/>
        <v>8</v>
      </c>
      <c r="AL42" s="50">
        <f t="shared" si="5"/>
        <v>1</v>
      </c>
      <c r="AM42" s="51">
        <f t="shared" si="6"/>
        <v>4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167</v>
      </c>
      <c r="B43" s="47">
        <v>39.0</v>
      </c>
      <c r="C43" s="54" t="s">
        <v>168</v>
      </c>
      <c r="D43" s="92" t="s">
        <v>169</v>
      </c>
      <c r="E43" s="60" t="s">
        <v>43</v>
      </c>
      <c r="F43" s="58" t="s">
        <v>53</v>
      </c>
      <c r="G43" s="58" t="s">
        <v>53</v>
      </c>
      <c r="H43" s="70" t="s">
        <v>46</v>
      </c>
      <c r="I43" s="60" t="s">
        <v>47</v>
      </c>
      <c r="J43" s="57" t="s">
        <v>45</v>
      </c>
      <c r="K43" s="57" t="s">
        <v>45</v>
      </c>
      <c r="L43" s="57" t="s">
        <v>43</v>
      </c>
      <c r="M43" s="58" t="s">
        <v>53</v>
      </c>
      <c r="N43" s="58" t="s">
        <v>53</v>
      </c>
      <c r="O43" s="70" t="s">
        <v>49</v>
      </c>
      <c r="P43" s="60" t="s">
        <v>47</v>
      </c>
      <c r="Q43" s="57" t="s">
        <v>47</v>
      </c>
      <c r="R43" s="57" t="s">
        <v>45</v>
      </c>
      <c r="S43" s="57" t="s">
        <v>44</v>
      </c>
      <c r="T43" s="58" t="s">
        <v>53</v>
      </c>
      <c r="U43" s="58" t="s">
        <v>53</v>
      </c>
      <c r="V43" s="70" t="s">
        <v>46</v>
      </c>
      <c r="W43" s="60" t="s">
        <v>44</v>
      </c>
      <c r="X43" s="57" t="s">
        <v>44</v>
      </c>
      <c r="Y43" s="57" t="s">
        <v>44</v>
      </c>
      <c r="Z43" s="57" t="s">
        <v>43</v>
      </c>
      <c r="AA43" s="58" t="s">
        <v>53</v>
      </c>
      <c r="AB43" s="58" t="s">
        <v>53</v>
      </c>
      <c r="AC43" s="70" t="s">
        <v>46</v>
      </c>
      <c r="AD43" s="76" t="s">
        <v>45</v>
      </c>
      <c r="AE43" s="57" t="s">
        <v>45</v>
      </c>
      <c r="AF43" s="70" t="s">
        <v>45</v>
      </c>
      <c r="AG43" s="25"/>
      <c r="AH43" s="47">
        <f t="shared" si="1"/>
        <v>7</v>
      </c>
      <c r="AI43" s="48">
        <f t="shared" si="2"/>
        <v>3</v>
      </c>
      <c r="AJ43" s="48">
        <f t="shared" si="3"/>
        <v>4</v>
      </c>
      <c r="AK43" s="49">
        <f t="shared" si="4"/>
        <v>6</v>
      </c>
      <c r="AL43" s="50">
        <f t="shared" si="5"/>
        <v>3</v>
      </c>
      <c r="AM43" s="51">
        <f t="shared" si="6"/>
        <v>3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170</v>
      </c>
      <c r="B44" s="47">
        <v>40.0</v>
      </c>
      <c r="C44" s="54" t="s">
        <v>171</v>
      </c>
      <c r="D44" s="55" t="s">
        <v>172</v>
      </c>
      <c r="E44" s="62" t="s">
        <v>53</v>
      </c>
      <c r="F44" s="58" t="s">
        <v>53</v>
      </c>
      <c r="G44" s="93" t="s">
        <v>47</v>
      </c>
      <c r="H44" s="94" t="s">
        <v>45</v>
      </c>
      <c r="I44" s="95" t="s">
        <v>44</v>
      </c>
      <c r="J44" s="93" t="s">
        <v>43</v>
      </c>
      <c r="K44" s="93" t="s">
        <v>43</v>
      </c>
      <c r="L44" s="58" t="s">
        <v>53</v>
      </c>
      <c r="M44" s="58" t="s">
        <v>53</v>
      </c>
      <c r="N44" s="93" t="s">
        <v>47</v>
      </c>
      <c r="O44" s="94" t="s">
        <v>47</v>
      </c>
      <c r="P44" s="95" t="s">
        <v>45</v>
      </c>
      <c r="Q44" s="93" t="s">
        <v>44</v>
      </c>
      <c r="R44" s="65" t="s">
        <v>43</v>
      </c>
      <c r="S44" s="58" t="s">
        <v>53</v>
      </c>
      <c r="T44" s="58" t="s">
        <v>53</v>
      </c>
      <c r="U44" s="61" t="s">
        <v>47</v>
      </c>
      <c r="V44" s="94" t="s">
        <v>47</v>
      </c>
      <c r="W44" s="95" t="s">
        <v>45</v>
      </c>
      <c r="X44" s="96" t="s">
        <v>44</v>
      </c>
      <c r="Y44" s="65" t="s">
        <v>43</v>
      </c>
      <c r="Z44" s="58" t="s">
        <v>53</v>
      </c>
      <c r="AA44" s="58" t="s">
        <v>53</v>
      </c>
      <c r="AB44" s="93" t="s">
        <v>45</v>
      </c>
      <c r="AC44" s="94" t="s">
        <v>45</v>
      </c>
      <c r="AD44" s="60" t="s">
        <v>45</v>
      </c>
      <c r="AE44" s="57" t="s">
        <v>45</v>
      </c>
      <c r="AF44" s="70" t="s">
        <v>45</v>
      </c>
      <c r="AG44" s="25"/>
      <c r="AH44" s="47">
        <f t="shared" si="1"/>
        <v>7</v>
      </c>
      <c r="AI44" s="48">
        <f t="shared" si="2"/>
        <v>4</v>
      </c>
      <c r="AJ44" s="48">
        <f t="shared" si="3"/>
        <v>3</v>
      </c>
      <c r="AK44" s="49">
        <f t="shared" si="4"/>
        <v>8</v>
      </c>
      <c r="AL44" s="50">
        <f t="shared" si="5"/>
        <v>0</v>
      </c>
      <c r="AM44" s="51">
        <f t="shared" si="6"/>
        <v>5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173</v>
      </c>
      <c r="B45" s="47">
        <v>41.0</v>
      </c>
      <c r="C45" s="54" t="s">
        <v>174</v>
      </c>
      <c r="D45" s="55" t="s">
        <v>175</v>
      </c>
      <c r="E45" s="62" t="s">
        <v>53</v>
      </c>
      <c r="F45" s="57" t="s">
        <v>45</v>
      </c>
      <c r="G45" s="57" t="s">
        <v>45</v>
      </c>
      <c r="H45" s="70" t="s">
        <v>45</v>
      </c>
      <c r="I45" s="60" t="s">
        <v>44</v>
      </c>
      <c r="J45" s="57" t="s">
        <v>43</v>
      </c>
      <c r="K45" s="58" t="s">
        <v>53</v>
      </c>
      <c r="L45" s="58" t="s">
        <v>53</v>
      </c>
      <c r="M45" s="57" t="s">
        <v>47</v>
      </c>
      <c r="N45" s="57" t="s">
        <v>47</v>
      </c>
      <c r="O45" s="70" t="s">
        <v>45</v>
      </c>
      <c r="P45" s="60" t="s">
        <v>44</v>
      </c>
      <c r="Q45" s="57" t="s">
        <v>43</v>
      </c>
      <c r="R45" s="58" t="s">
        <v>53</v>
      </c>
      <c r="S45" s="58" t="s">
        <v>53</v>
      </c>
      <c r="T45" s="57" t="s">
        <v>47</v>
      </c>
      <c r="U45" s="57" t="s">
        <v>43</v>
      </c>
      <c r="V45" s="70" t="s">
        <v>43</v>
      </c>
      <c r="W45" s="62" t="s">
        <v>53</v>
      </c>
      <c r="X45" s="58" t="s">
        <v>53</v>
      </c>
      <c r="Y45" s="63" t="s">
        <v>57</v>
      </c>
      <c r="Z45" s="64" t="s">
        <v>57</v>
      </c>
      <c r="AA45" s="64" t="s">
        <v>57</v>
      </c>
      <c r="AB45" s="63" t="s">
        <v>57</v>
      </c>
      <c r="AC45" s="89" t="s">
        <v>57</v>
      </c>
      <c r="AD45" s="76" t="s">
        <v>43</v>
      </c>
      <c r="AE45" s="58" t="s">
        <v>53</v>
      </c>
      <c r="AF45" s="59" t="s">
        <v>53</v>
      </c>
      <c r="AG45" s="25"/>
      <c r="AH45" s="47">
        <f t="shared" si="1"/>
        <v>7</v>
      </c>
      <c r="AI45" s="48">
        <f t="shared" si="2"/>
        <v>5</v>
      </c>
      <c r="AJ45" s="48">
        <f t="shared" si="3"/>
        <v>2</v>
      </c>
      <c r="AK45" s="49">
        <f t="shared" si="4"/>
        <v>4</v>
      </c>
      <c r="AL45" s="50">
        <f t="shared" si="5"/>
        <v>0</v>
      </c>
      <c r="AM45" s="51">
        <f t="shared" si="6"/>
        <v>3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176</v>
      </c>
      <c r="B46" s="47">
        <v>42.0</v>
      </c>
      <c r="C46" s="54" t="s">
        <v>177</v>
      </c>
      <c r="D46" s="55" t="s">
        <v>178</v>
      </c>
      <c r="E46" s="62" t="s">
        <v>53</v>
      </c>
      <c r="F46" s="57" t="s">
        <v>47</v>
      </c>
      <c r="G46" s="57" t="s">
        <v>45</v>
      </c>
      <c r="H46" s="70" t="s">
        <v>45</v>
      </c>
      <c r="I46" s="60" t="s">
        <v>43</v>
      </c>
      <c r="J46" s="57" t="s">
        <v>43</v>
      </c>
      <c r="K46" s="58" t="s">
        <v>53</v>
      </c>
      <c r="L46" s="58" t="s">
        <v>53</v>
      </c>
      <c r="M46" s="57" t="s">
        <v>47</v>
      </c>
      <c r="N46" s="57" t="s">
        <v>45</v>
      </c>
      <c r="O46" s="70" t="s">
        <v>45</v>
      </c>
      <c r="P46" s="60" t="s">
        <v>44</v>
      </c>
      <c r="Q46" s="57" t="s">
        <v>43</v>
      </c>
      <c r="R46" s="58" t="s">
        <v>53</v>
      </c>
      <c r="S46" s="58" t="s">
        <v>53</v>
      </c>
      <c r="T46" s="57" t="s">
        <v>45</v>
      </c>
      <c r="U46" s="57" t="s">
        <v>44</v>
      </c>
      <c r="V46" s="70" t="s">
        <v>43</v>
      </c>
      <c r="W46" s="62" t="s">
        <v>53</v>
      </c>
      <c r="X46" s="58" t="s">
        <v>53</v>
      </c>
      <c r="Y46" s="63" t="s">
        <v>57</v>
      </c>
      <c r="Z46" s="64" t="s">
        <v>57</v>
      </c>
      <c r="AA46" s="64" t="s">
        <v>57</v>
      </c>
      <c r="AB46" s="63" t="s">
        <v>57</v>
      </c>
      <c r="AC46" s="89" t="s">
        <v>57</v>
      </c>
      <c r="AD46" s="60" t="s">
        <v>43</v>
      </c>
      <c r="AE46" s="58" t="s">
        <v>53</v>
      </c>
      <c r="AF46" s="59" t="s">
        <v>53</v>
      </c>
      <c r="AG46" s="25"/>
      <c r="AH46" s="47">
        <f t="shared" si="1"/>
        <v>7</v>
      </c>
      <c r="AI46" s="48">
        <f t="shared" si="2"/>
        <v>5</v>
      </c>
      <c r="AJ46" s="48">
        <f t="shared" si="3"/>
        <v>2</v>
      </c>
      <c r="AK46" s="49">
        <f t="shared" si="4"/>
        <v>5</v>
      </c>
      <c r="AL46" s="50">
        <f t="shared" si="5"/>
        <v>0</v>
      </c>
      <c r="AM46" s="51">
        <f t="shared" si="6"/>
        <v>2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179</v>
      </c>
      <c r="B47" s="98">
        <v>43.0</v>
      </c>
      <c r="C47" s="99" t="s">
        <v>180</v>
      </c>
      <c r="D47" s="100" t="s">
        <v>181</v>
      </c>
      <c r="E47" s="101" t="s">
        <v>53</v>
      </c>
      <c r="F47" s="102" t="s">
        <v>53</v>
      </c>
      <c r="G47" s="103" t="s">
        <v>47</v>
      </c>
      <c r="H47" s="104" t="s">
        <v>45</v>
      </c>
      <c r="I47" s="105" t="s">
        <v>45</v>
      </c>
      <c r="J47" s="103" t="s">
        <v>44</v>
      </c>
      <c r="K47" s="106" t="s">
        <v>43</v>
      </c>
      <c r="L47" s="102" t="s">
        <v>53</v>
      </c>
      <c r="M47" s="102" t="s">
        <v>53</v>
      </c>
      <c r="N47" s="103" t="s">
        <v>45</v>
      </c>
      <c r="O47" s="104" t="s">
        <v>45</v>
      </c>
      <c r="P47" s="105" t="s">
        <v>44</v>
      </c>
      <c r="Q47" s="103" t="s">
        <v>44</v>
      </c>
      <c r="R47" s="106" t="s">
        <v>43</v>
      </c>
      <c r="S47" s="102" t="s">
        <v>53</v>
      </c>
      <c r="T47" s="102" t="s">
        <v>53</v>
      </c>
      <c r="U47" s="103" t="s">
        <v>47</v>
      </c>
      <c r="V47" s="104" t="s">
        <v>44</v>
      </c>
      <c r="W47" s="101" t="s">
        <v>53</v>
      </c>
      <c r="X47" s="102" t="s">
        <v>53</v>
      </c>
      <c r="Y47" s="107" t="s">
        <v>57</v>
      </c>
      <c r="Z47" s="108" t="s">
        <v>57</v>
      </c>
      <c r="AA47" s="108" t="s">
        <v>57</v>
      </c>
      <c r="AB47" s="107" t="s">
        <v>57</v>
      </c>
      <c r="AC47" s="109" t="s">
        <v>57</v>
      </c>
      <c r="AD47" s="105" t="s">
        <v>49</v>
      </c>
      <c r="AE47" s="110" t="s">
        <v>46</v>
      </c>
      <c r="AF47" s="111" t="s">
        <v>47</v>
      </c>
      <c r="AG47" s="112"/>
      <c r="AH47" s="113">
        <f t="shared" si="1"/>
        <v>6</v>
      </c>
      <c r="AI47" s="48">
        <f t="shared" si="2"/>
        <v>2</v>
      </c>
      <c r="AJ47" s="48">
        <f t="shared" si="3"/>
        <v>4</v>
      </c>
      <c r="AK47" s="49">
        <f t="shared" si="4"/>
        <v>4</v>
      </c>
      <c r="AL47" s="50">
        <f t="shared" si="5"/>
        <v>1</v>
      </c>
      <c r="AM47" s="51">
        <f t="shared" si="6"/>
        <v>3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182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 t="s">
        <v>47</v>
      </c>
      <c r="E51" s="135">
        <f t="shared" ref="E51:AF51" si="10">COUNTIF(E5:E47,"A2")</f>
        <v>7</v>
      </c>
      <c r="F51" s="136">
        <f t="shared" si="10"/>
        <v>7</v>
      </c>
      <c r="G51" s="136">
        <f t="shared" si="10"/>
        <v>7</v>
      </c>
      <c r="H51" s="137">
        <f t="shared" si="10"/>
        <v>7</v>
      </c>
      <c r="I51" s="135">
        <f t="shared" si="10"/>
        <v>7</v>
      </c>
      <c r="J51" s="136">
        <f t="shared" si="10"/>
        <v>8</v>
      </c>
      <c r="K51" s="136">
        <f t="shared" si="10"/>
        <v>7</v>
      </c>
      <c r="L51" s="136">
        <f t="shared" si="10"/>
        <v>7</v>
      </c>
      <c r="M51" s="136">
        <f t="shared" si="10"/>
        <v>7</v>
      </c>
      <c r="N51" s="136">
        <f t="shared" si="10"/>
        <v>7</v>
      </c>
      <c r="O51" s="137">
        <f t="shared" si="10"/>
        <v>7</v>
      </c>
      <c r="P51" s="135">
        <f t="shared" si="10"/>
        <v>7</v>
      </c>
      <c r="Q51" s="136">
        <f t="shared" si="10"/>
        <v>7</v>
      </c>
      <c r="R51" s="136">
        <f t="shared" si="10"/>
        <v>7</v>
      </c>
      <c r="S51" s="136">
        <f t="shared" si="10"/>
        <v>7</v>
      </c>
      <c r="T51" s="136">
        <f t="shared" si="10"/>
        <v>7</v>
      </c>
      <c r="U51" s="136">
        <f t="shared" si="10"/>
        <v>7</v>
      </c>
      <c r="V51" s="137">
        <f t="shared" si="10"/>
        <v>7</v>
      </c>
      <c r="W51" s="135">
        <f t="shared" si="10"/>
        <v>7</v>
      </c>
      <c r="X51" s="136">
        <f t="shared" si="10"/>
        <v>7</v>
      </c>
      <c r="Y51" s="136">
        <f t="shared" si="10"/>
        <v>7</v>
      </c>
      <c r="Z51" s="136">
        <f t="shared" si="10"/>
        <v>7</v>
      </c>
      <c r="AA51" s="136">
        <f t="shared" si="10"/>
        <v>7</v>
      </c>
      <c r="AB51" s="136">
        <f t="shared" si="10"/>
        <v>7</v>
      </c>
      <c r="AC51" s="137">
        <f t="shared" si="10"/>
        <v>7</v>
      </c>
      <c r="AD51" s="135">
        <f t="shared" si="10"/>
        <v>7</v>
      </c>
      <c r="AE51" s="136">
        <f t="shared" si="10"/>
        <v>7</v>
      </c>
      <c r="AF51" s="137">
        <f t="shared" si="10"/>
        <v>7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 t="s">
        <v>46</v>
      </c>
      <c r="E52" s="139">
        <f t="shared" ref="E52:AF52" si="11">COUNTIF(E5:E47,"A8")</f>
        <v>2</v>
      </c>
      <c r="F52" s="140">
        <f t="shared" si="11"/>
        <v>2</v>
      </c>
      <c r="G52" s="140">
        <f t="shared" si="11"/>
        <v>2</v>
      </c>
      <c r="H52" s="141">
        <f t="shared" si="11"/>
        <v>2</v>
      </c>
      <c r="I52" s="139">
        <f t="shared" si="11"/>
        <v>2</v>
      </c>
      <c r="J52" s="140">
        <f t="shared" si="11"/>
        <v>1</v>
      </c>
      <c r="K52" s="140">
        <f t="shared" si="11"/>
        <v>2</v>
      </c>
      <c r="L52" s="140">
        <f t="shared" si="11"/>
        <v>2</v>
      </c>
      <c r="M52" s="140">
        <f t="shared" si="11"/>
        <v>2</v>
      </c>
      <c r="N52" s="140">
        <f t="shared" si="11"/>
        <v>2</v>
      </c>
      <c r="O52" s="141">
        <f t="shared" si="11"/>
        <v>2</v>
      </c>
      <c r="P52" s="139">
        <f t="shared" si="11"/>
        <v>2</v>
      </c>
      <c r="Q52" s="140">
        <f t="shared" si="11"/>
        <v>2</v>
      </c>
      <c r="R52" s="140">
        <f t="shared" si="11"/>
        <v>2</v>
      </c>
      <c r="S52" s="140">
        <f t="shared" si="11"/>
        <v>2</v>
      </c>
      <c r="T52" s="140">
        <f t="shared" si="11"/>
        <v>2</v>
      </c>
      <c r="U52" s="140">
        <f t="shared" si="11"/>
        <v>2</v>
      </c>
      <c r="V52" s="141">
        <f t="shared" si="11"/>
        <v>2</v>
      </c>
      <c r="W52" s="139">
        <f t="shared" si="11"/>
        <v>2</v>
      </c>
      <c r="X52" s="140">
        <f t="shared" si="11"/>
        <v>2</v>
      </c>
      <c r="Y52" s="140">
        <f t="shared" si="11"/>
        <v>2</v>
      </c>
      <c r="Z52" s="140">
        <f t="shared" si="11"/>
        <v>2</v>
      </c>
      <c r="AA52" s="140">
        <f t="shared" si="11"/>
        <v>2</v>
      </c>
      <c r="AB52" s="140">
        <f t="shared" si="11"/>
        <v>2</v>
      </c>
      <c r="AC52" s="141">
        <f t="shared" si="11"/>
        <v>2</v>
      </c>
      <c r="AD52" s="139">
        <f t="shared" si="11"/>
        <v>2</v>
      </c>
      <c r="AE52" s="140">
        <f t="shared" si="11"/>
        <v>2</v>
      </c>
      <c r="AF52" s="141">
        <f t="shared" si="11"/>
        <v>2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 t="s">
        <v>45</v>
      </c>
      <c r="E53" s="142">
        <f t="shared" ref="E53:AF53" si="12">COUNTIF(E5:E47,"B5")</f>
        <v>8</v>
      </c>
      <c r="F53" s="143">
        <f t="shared" si="12"/>
        <v>8</v>
      </c>
      <c r="G53" s="143">
        <f t="shared" si="12"/>
        <v>8</v>
      </c>
      <c r="H53" s="144">
        <f t="shared" si="12"/>
        <v>8</v>
      </c>
      <c r="I53" s="142">
        <f t="shared" si="12"/>
        <v>8</v>
      </c>
      <c r="J53" s="143">
        <f t="shared" si="12"/>
        <v>8</v>
      </c>
      <c r="K53" s="143">
        <f t="shared" si="12"/>
        <v>8</v>
      </c>
      <c r="L53" s="143">
        <f t="shared" si="12"/>
        <v>8</v>
      </c>
      <c r="M53" s="143">
        <f t="shared" si="12"/>
        <v>8</v>
      </c>
      <c r="N53" s="143">
        <f t="shared" si="12"/>
        <v>8</v>
      </c>
      <c r="O53" s="144">
        <f t="shared" si="12"/>
        <v>8</v>
      </c>
      <c r="P53" s="142">
        <f t="shared" si="12"/>
        <v>8</v>
      </c>
      <c r="Q53" s="143">
        <f t="shared" si="12"/>
        <v>8</v>
      </c>
      <c r="R53" s="143">
        <f t="shared" si="12"/>
        <v>8</v>
      </c>
      <c r="S53" s="143">
        <f t="shared" si="12"/>
        <v>8</v>
      </c>
      <c r="T53" s="143">
        <f t="shared" si="12"/>
        <v>8</v>
      </c>
      <c r="U53" s="143">
        <f t="shared" si="12"/>
        <v>8</v>
      </c>
      <c r="V53" s="144">
        <f t="shared" si="12"/>
        <v>8</v>
      </c>
      <c r="W53" s="142">
        <f t="shared" si="12"/>
        <v>8</v>
      </c>
      <c r="X53" s="143">
        <f t="shared" si="12"/>
        <v>8</v>
      </c>
      <c r="Y53" s="143">
        <f t="shared" si="12"/>
        <v>8</v>
      </c>
      <c r="Z53" s="143">
        <f t="shared" si="12"/>
        <v>8</v>
      </c>
      <c r="AA53" s="143">
        <f t="shared" si="12"/>
        <v>8</v>
      </c>
      <c r="AB53" s="143">
        <f t="shared" si="12"/>
        <v>8</v>
      </c>
      <c r="AC53" s="144">
        <f t="shared" si="12"/>
        <v>8</v>
      </c>
      <c r="AD53" s="142">
        <f t="shared" si="12"/>
        <v>8</v>
      </c>
      <c r="AE53" s="143">
        <f t="shared" si="12"/>
        <v>8</v>
      </c>
      <c r="AF53" s="144">
        <f t="shared" si="12"/>
        <v>8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 t="s">
        <v>44</v>
      </c>
      <c r="E54" s="139">
        <f t="shared" ref="E54:AF54" si="13">COUNTIF(E5:E47,"C6")</f>
        <v>4</v>
      </c>
      <c r="F54" s="140">
        <f t="shared" si="13"/>
        <v>4</v>
      </c>
      <c r="G54" s="140">
        <f t="shared" si="13"/>
        <v>4</v>
      </c>
      <c r="H54" s="141">
        <f t="shared" si="13"/>
        <v>4</v>
      </c>
      <c r="I54" s="139">
        <f t="shared" si="13"/>
        <v>4</v>
      </c>
      <c r="J54" s="140">
        <f t="shared" si="13"/>
        <v>4</v>
      </c>
      <c r="K54" s="140">
        <f t="shared" si="13"/>
        <v>4</v>
      </c>
      <c r="L54" s="140">
        <f t="shared" si="13"/>
        <v>4</v>
      </c>
      <c r="M54" s="140">
        <f t="shared" si="13"/>
        <v>4</v>
      </c>
      <c r="N54" s="140">
        <f t="shared" si="13"/>
        <v>4</v>
      </c>
      <c r="O54" s="141">
        <f t="shared" si="13"/>
        <v>4</v>
      </c>
      <c r="P54" s="139">
        <f t="shared" si="13"/>
        <v>4</v>
      </c>
      <c r="Q54" s="140">
        <f t="shared" si="13"/>
        <v>4</v>
      </c>
      <c r="R54" s="140">
        <f t="shared" si="13"/>
        <v>4</v>
      </c>
      <c r="S54" s="140">
        <f t="shared" si="13"/>
        <v>4</v>
      </c>
      <c r="T54" s="140">
        <f t="shared" si="13"/>
        <v>4</v>
      </c>
      <c r="U54" s="140">
        <f t="shared" si="13"/>
        <v>4</v>
      </c>
      <c r="V54" s="141">
        <f t="shared" si="13"/>
        <v>4</v>
      </c>
      <c r="W54" s="139">
        <f t="shared" si="13"/>
        <v>4</v>
      </c>
      <c r="X54" s="140">
        <f t="shared" si="13"/>
        <v>4</v>
      </c>
      <c r="Y54" s="140">
        <f t="shared" si="13"/>
        <v>4</v>
      </c>
      <c r="Z54" s="140">
        <f t="shared" si="13"/>
        <v>4</v>
      </c>
      <c r="AA54" s="140">
        <f t="shared" si="13"/>
        <v>4</v>
      </c>
      <c r="AB54" s="140">
        <f t="shared" si="13"/>
        <v>4</v>
      </c>
      <c r="AC54" s="141">
        <f t="shared" si="13"/>
        <v>4</v>
      </c>
      <c r="AD54" s="139">
        <f t="shared" si="13"/>
        <v>4</v>
      </c>
      <c r="AE54" s="140">
        <f t="shared" si="13"/>
        <v>4</v>
      </c>
      <c r="AF54" s="141">
        <f t="shared" si="13"/>
        <v>4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 t="s">
        <v>43</v>
      </c>
      <c r="E55" s="146">
        <f t="shared" ref="E55:AF55" si="14">COUNTIF(E5:E47,"D5")</f>
        <v>6</v>
      </c>
      <c r="F55" s="147">
        <f t="shared" si="14"/>
        <v>6</v>
      </c>
      <c r="G55" s="147">
        <f t="shared" si="14"/>
        <v>6</v>
      </c>
      <c r="H55" s="148">
        <f t="shared" si="14"/>
        <v>6</v>
      </c>
      <c r="I55" s="146">
        <f t="shared" si="14"/>
        <v>6</v>
      </c>
      <c r="J55" s="147">
        <f t="shared" si="14"/>
        <v>6</v>
      </c>
      <c r="K55" s="147">
        <f t="shared" si="14"/>
        <v>6</v>
      </c>
      <c r="L55" s="147">
        <f t="shared" si="14"/>
        <v>6</v>
      </c>
      <c r="M55" s="147">
        <f t="shared" si="14"/>
        <v>6</v>
      </c>
      <c r="N55" s="147">
        <f t="shared" si="14"/>
        <v>6</v>
      </c>
      <c r="O55" s="148">
        <f t="shared" si="14"/>
        <v>6</v>
      </c>
      <c r="P55" s="146">
        <f t="shared" si="14"/>
        <v>6</v>
      </c>
      <c r="Q55" s="147">
        <f t="shared" si="14"/>
        <v>6</v>
      </c>
      <c r="R55" s="147">
        <f t="shared" si="14"/>
        <v>6</v>
      </c>
      <c r="S55" s="147">
        <f t="shared" si="14"/>
        <v>6</v>
      </c>
      <c r="T55" s="147">
        <f t="shared" si="14"/>
        <v>6</v>
      </c>
      <c r="U55" s="147">
        <f t="shared" si="14"/>
        <v>6</v>
      </c>
      <c r="V55" s="148">
        <f t="shared" si="14"/>
        <v>6</v>
      </c>
      <c r="W55" s="146">
        <f t="shared" si="14"/>
        <v>6</v>
      </c>
      <c r="X55" s="147">
        <f t="shared" si="14"/>
        <v>6</v>
      </c>
      <c r="Y55" s="147">
        <f t="shared" si="14"/>
        <v>6</v>
      </c>
      <c r="Z55" s="147">
        <f t="shared" si="14"/>
        <v>6</v>
      </c>
      <c r="AA55" s="147">
        <f t="shared" si="14"/>
        <v>6</v>
      </c>
      <c r="AB55" s="147">
        <f t="shared" si="14"/>
        <v>6</v>
      </c>
      <c r="AC55" s="148">
        <f t="shared" si="14"/>
        <v>6</v>
      </c>
      <c r="AD55" s="146">
        <f t="shared" si="14"/>
        <v>6</v>
      </c>
      <c r="AE55" s="147">
        <f t="shared" si="14"/>
        <v>6</v>
      </c>
      <c r="AF55" s="148">
        <f t="shared" si="14"/>
        <v>6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53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 t="s">
        <v>48</v>
      </c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49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183</v>
      </c>
      <c r="E59" s="153">
        <f t="shared" ref="E59:AF59" si="18">SUM(E51:E55)</f>
        <v>27</v>
      </c>
      <c r="F59" s="154">
        <f t="shared" si="18"/>
        <v>27</v>
      </c>
      <c r="G59" s="154">
        <f t="shared" si="18"/>
        <v>27</v>
      </c>
      <c r="H59" s="155">
        <f t="shared" si="18"/>
        <v>27</v>
      </c>
      <c r="I59" s="153">
        <f t="shared" si="18"/>
        <v>27</v>
      </c>
      <c r="J59" s="154">
        <f t="shared" si="18"/>
        <v>27</v>
      </c>
      <c r="K59" s="154">
        <f t="shared" si="18"/>
        <v>27</v>
      </c>
      <c r="L59" s="154">
        <f t="shared" si="18"/>
        <v>27</v>
      </c>
      <c r="M59" s="154">
        <f t="shared" si="18"/>
        <v>27</v>
      </c>
      <c r="N59" s="154">
        <f t="shared" si="18"/>
        <v>27</v>
      </c>
      <c r="O59" s="155">
        <f t="shared" si="18"/>
        <v>27</v>
      </c>
      <c r="P59" s="153">
        <f t="shared" si="18"/>
        <v>27</v>
      </c>
      <c r="Q59" s="154">
        <f t="shared" si="18"/>
        <v>27</v>
      </c>
      <c r="R59" s="154">
        <f t="shared" si="18"/>
        <v>27</v>
      </c>
      <c r="S59" s="154">
        <f t="shared" si="18"/>
        <v>27</v>
      </c>
      <c r="T59" s="154">
        <f t="shared" si="18"/>
        <v>27</v>
      </c>
      <c r="U59" s="154">
        <f t="shared" si="18"/>
        <v>27</v>
      </c>
      <c r="V59" s="155">
        <f t="shared" si="18"/>
        <v>27</v>
      </c>
      <c r="W59" s="153">
        <f t="shared" si="18"/>
        <v>27</v>
      </c>
      <c r="X59" s="154">
        <f t="shared" si="18"/>
        <v>27</v>
      </c>
      <c r="Y59" s="154">
        <f t="shared" si="18"/>
        <v>27</v>
      </c>
      <c r="Z59" s="154">
        <f t="shared" si="18"/>
        <v>27</v>
      </c>
      <c r="AA59" s="154">
        <f t="shared" si="18"/>
        <v>27</v>
      </c>
      <c r="AB59" s="154">
        <f t="shared" si="18"/>
        <v>27</v>
      </c>
      <c r="AC59" s="155">
        <f t="shared" si="18"/>
        <v>27</v>
      </c>
      <c r="AD59" s="153">
        <f t="shared" si="18"/>
        <v>27</v>
      </c>
      <c r="AE59" s="154">
        <f t="shared" si="18"/>
        <v>27</v>
      </c>
      <c r="AF59" s="155">
        <f t="shared" si="18"/>
        <v>27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184</v>
      </c>
      <c r="G63" s="158"/>
      <c r="H63" s="159"/>
      <c r="I63" s="160" t="s">
        <v>185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186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187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188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1" t="s">
        <v>189</v>
      </c>
      <c r="B1" s="162">
        <v>46210.0</v>
      </c>
    </row>
    <row r="2">
      <c r="A2" s="161" t="s">
        <v>190</v>
      </c>
      <c r="B2" s="163" t="s">
        <v>191</v>
      </c>
    </row>
    <row r="3">
      <c r="A3" s="161" t="s">
        <v>192</v>
      </c>
      <c r="B3" s="163" t="s">
        <v>193</v>
      </c>
    </row>
    <row r="4">
      <c r="A4" s="161" t="s">
        <v>194</v>
      </c>
      <c r="B4" s="164">
        <v>46363.0</v>
      </c>
    </row>
    <row r="5">
      <c r="A5" s="161" t="s">
        <v>195</v>
      </c>
      <c r="B5" s="161" t="s">
        <v>196</v>
      </c>
    </row>
    <row r="6">
      <c r="A6" s="161" t="s">
        <v>197</v>
      </c>
      <c r="B6" s="161" t="s">
        <v>198</v>
      </c>
    </row>
    <row r="7">
      <c r="A7" s="161" t="s">
        <v>147</v>
      </c>
      <c r="B7" s="161" t="s">
        <v>199</v>
      </c>
    </row>
    <row r="8">
      <c r="A8" s="161" t="s">
        <v>200</v>
      </c>
      <c r="B8" s="161" t="s">
        <v>201</v>
      </c>
    </row>
    <row r="9">
      <c r="A9" s="161" t="s">
        <v>202</v>
      </c>
      <c r="B9" s="161" t="s">
        <v>203</v>
      </c>
    </row>
    <row r="10">
      <c r="A10" s="161" t="s">
        <v>204</v>
      </c>
      <c r="B10" s="161" t="s">
        <v>205</v>
      </c>
    </row>
    <row r="11">
      <c r="A11" s="161" t="s">
        <v>206</v>
      </c>
      <c r="B11" s="161" t="s">
        <v>207</v>
      </c>
    </row>
    <row r="12">
      <c r="A12" s="161" t="s">
        <v>208</v>
      </c>
      <c r="B12" s="161" t="s">
        <v>209</v>
      </c>
    </row>
    <row r="13">
      <c r="A13" s="161" t="s">
        <v>210</v>
      </c>
      <c r="B13" s="161" t="s">
        <v>211</v>
      </c>
      <c r="C13" s="161" t="s">
        <v>212</v>
      </c>
    </row>
    <row r="14">
      <c r="B14" s="161" t="s">
        <v>213</v>
      </c>
      <c r="C14" s="161" t="s">
        <v>214</v>
      </c>
    </row>
    <row r="15">
      <c r="A15" s="161" t="s">
        <v>215</v>
      </c>
      <c r="B15" s="164">
        <v>46060.0</v>
      </c>
      <c r="C15" s="161" t="s">
        <v>212</v>
      </c>
    </row>
    <row r="16">
      <c r="B16" s="164">
        <v>46088.0</v>
      </c>
      <c r="C16" s="161" t="s">
        <v>214</v>
      </c>
    </row>
    <row r="17">
      <c r="A17" s="161" t="s">
        <v>216</v>
      </c>
      <c r="B17" s="161" t="s">
        <v>217</v>
      </c>
      <c r="C17" s="161" t="s">
        <v>214</v>
      </c>
    </row>
    <row r="18">
      <c r="B18" s="164">
        <v>46241.0</v>
      </c>
      <c r="C18" s="161" t="s">
        <v>212</v>
      </c>
    </row>
    <row r="19">
      <c r="A19" s="161" t="s">
        <v>218</v>
      </c>
      <c r="B19" s="161" t="s">
        <v>219</v>
      </c>
      <c r="C19" s="161" t="s">
        <v>214</v>
      </c>
    </row>
    <row r="20">
      <c r="B20" s="161" t="s">
        <v>220</v>
      </c>
      <c r="C20" s="161" t="s">
        <v>212</v>
      </c>
    </row>
    <row r="21" ht="15.75" customHeight="1">
      <c r="A21" s="161" t="s">
        <v>221</v>
      </c>
      <c r="B21" s="161" t="s">
        <v>222</v>
      </c>
      <c r="C21" s="161" t="s">
        <v>212</v>
      </c>
    </row>
    <row r="22" ht="15.75" customHeight="1">
      <c r="B22" s="161" t="s">
        <v>213</v>
      </c>
      <c r="C22" s="161" t="s">
        <v>214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165"/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 t="s">
        <v>223</v>
      </c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7"/>
      <c r="AG1" s="168"/>
      <c r="AH1" s="168"/>
      <c r="AI1" s="168"/>
      <c r="AJ1" s="169"/>
      <c r="AK1" s="169"/>
      <c r="AL1" s="169"/>
      <c r="AM1" s="170"/>
      <c r="AN1" s="170"/>
      <c r="AO1" s="170"/>
      <c r="AP1" s="170"/>
      <c r="AQ1" s="170"/>
      <c r="AR1" s="170"/>
      <c r="AS1" s="170"/>
      <c r="AT1" s="170"/>
    </row>
    <row r="2" ht="15.0" customHeight="1">
      <c r="A2" s="171"/>
      <c r="B2" s="172"/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4" t="s">
        <v>224</v>
      </c>
      <c r="T2" s="175"/>
      <c r="U2" s="175"/>
      <c r="V2" s="175"/>
      <c r="W2" s="175"/>
      <c r="X2" s="175"/>
      <c r="Y2" s="175"/>
      <c r="Z2" s="175"/>
      <c r="AA2" s="176"/>
      <c r="AB2" s="176"/>
      <c r="AC2" s="176"/>
      <c r="AD2" s="176"/>
      <c r="AE2" s="176"/>
      <c r="AF2" s="176"/>
      <c r="AG2" s="177"/>
      <c r="AH2" s="177"/>
      <c r="AI2" s="177"/>
      <c r="AJ2" s="178"/>
      <c r="AK2" s="178"/>
      <c r="AL2" s="178"/>
      <c r="AM2" s="179"/>
      <c r="AN2" s="179"/>
      <c r="AO2" s="179"/>
      <c r="AP2" s="179"/>
      <c r="AQ2" s="179"/>
      <c r="AR2" s="179"/>
      <c r="AS2" s="179"/>
      <c r="AT2" s="179"/>
    </row>
    <row r="3" ht="12.0" customHeight="1">
      <c r="A3" s="180" t="s">
        <v>225</v>
      </c>
      <c r="B3" s="181" t="s">
        <v>5</v>
      </c>
      <c r="C3" s="121" t="s">
        <v>8</v>
      </c>
      <c r="D3" s="123" t="s">
        <v>9</v>
      </c>
      <c r="E3" s="124" t="s">
        <v>10</v>
      </c>
      <c r="F3" s="121" t="s">
        <v>11</v>
      </c>
      <c r="G3" s="123" t="s">
        <v>12</v>
      </c>
      <c r="H3" s="123" t="s">
        <v>13</v>
      </c>
      <c r="I3" s="123" t="s">
        <v>7</v>
      </c>
      <c r="J3" s="123" t="s">
        <v>8</v>
      </c>
      <c r="K3" s="123" t="s">
        <v>9</v>
      </c>
      <c r="L3" s="124" t="s">
        <v>10</v>
      </c>
      <c r="M3" s="121" t="s">
        <v>11</v>
      </c>
      <c r="N3" s="123" t="s">
        <v>12</v>
      </c>
      <c r="O3" s="123" t="s">
        <v>13</v>
      </c>
      <c r="P3" s="123" t="s">
        <v>7</v>
      </c>
      <c r="Q3" s="123" t="s">
        <v>8</v>
      </c>
      <c r="R3" s="123" t="s">
        <v>9</v>
      </c>
      <c r="S3" s="124" t="s">
        <v>10</v>
      </c>
      <c r="T3" s="121" t="s">
        <v>11</v>
      </c>
      <c r="U3" s="123" t="s">
        <v>12</v>
      </c>
      <c r="V3" s="123" t="s">
        <v>13</v>
      </c>
      <c r="W3" s="123" t="s">
        <v>7</v>
      </c>
      <c r="X3" s="123" t="s">
        <v>8</v>
      </c>
      <c r="Y3" s="123" t="s">
        <v>9</v>
      </c>
      <c r="Z3" s="124" t="s">
        <v>10</v>
      </c>
      <c r="AA3" s="121" t="s">
        <v>11</v>
      </c>
      <c r="AB3" s="123" t="s">
        <v>12</v>
      </c>
      <c r="AC3" s="123" t="s">
        <v>13</v>
      </c>
      <c r="AD3" s="123" t="s">
        <v>7</v>
      </c>
      <c r="AE3" s="123" t="s">
        <v>8</v>
      </c>
      <c r="AF3" s="124" t="s">
        <v>9</v>
      </c>
      <c r="AG3" s="182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80"/>
      <c r="B4" s="181"/>
      <c r="C4" s="183" t="s">
        <v>14</v>
      </c>
      <c r="D4" s="184" t="s">
        <v>15</v>
      </c>
      <c r="E4" s="185" t="s">
        <v>16</v>
      </c>
      <c r="F4" s="183" t="s">
        <v>226</v>
      </c>
      <c r="G4" s="184" t="s">
        <v>227</v>
      </c>
      <c r="H4" s="184" t="s">
        <v>17</v>
      </c>
      <c r="I4" s="184" t="s">
        <v>18</v>
      </c>
      <c r="J4" s="184" t="s">
        <v>19</v>
      </c>
      <c r="K4" s="184" t="s">
        <v>20</v>
      </c>
      <c r="L4" s="185" t="s">
        <v>21</v>
      </c>
      <c r="M4" s="183" t="s">
        <v>22</v>
      </c>
      <c r="N4" s="184" t="s">
        <v>23</v>
      </c>
      <c r="O4" s="184" t="s">
        <v>24</v>
      </c>
      <c r="P4" s="184" t="s">
        <v>25</v>
      </c>
      <c r="Q4" s="184" t="s">
        <v>26</v>
      </c>
      <c r="R4" s="184" t="s">
        <v>27</v>
      </c>
      <c r="S4" s="185" t="s">
        <v>28</v>
      </c>
      <c r="T4" s="183" t="s">
        <v>29</v>
      </c>
      <c r="U4" s="184" t="s">
        <v>30</v>
      </c>
      <c r="V4" s="184" t="s">
        <v>31</v>
      </c>
      <c r="W4" s="184" t="s">
        <v>32</v>
      </c>
      <c r="X4" s="184" t="s">
        <v>33</v>
      </c>
      <c r="Y4" s="184" t="s">
        <v>34</v>
      </c>
      <c r="Z4" s="185" t="s">
        <v>35</v>
      </c>
      <c r="AA4" s="183" t="s">
        <v>36</v>
      </c>
      <c r="AB4" s="184" t="s">
        <v>37</v>
      </c>
      <c r="AC4" s="184" t="s">
        <v>38</v>
      </c>
      <c r="AD4" s="184" t="s">
        <v>39</v>
      </c>
      <c r="AE4" s="184" t="s">
        <v>40</v>
      </c>
      <c r="AF4" s="185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186" t="s">
        <v>228</v>
      </c>
      <c r="B5" s="187" t="s">
        <v>59</v>
      </c>
      <c r="C5" s="188" t="s">
        <v>47</v>
      </c>
      <c r="D5" s="58" t="s">
        <v>53</v>
      </c>
      <c r="E5" s="59" t="s">
        <v>53</v>
      </c>
      <c r="F5" s="81" t="s">
        <v>47</v>
      </c>
      <c r="G5" s="81" t="s">
        <v>47</v>
      </c>
      <c r="H5" s="81" t="s">
        <v>47</v>
      </c>
      <c r="I5" s="81" t="s">
        <v>47</v>
      </c>
      <c r="J5" s="81" t="s">
        <v>47</v>
      </c>
      <c r="K5" s="58" t="s">
        <v>53</v>
      </c>
      <c r="L5" s="59" t="s">
        <v>53</v>
      </c>
      <c r="M5" s="81" t="s">
        <v>47</v>
      </c>
      <c r="N5" s="81" t="s">
        <v>47</v>
      </c>
      <c r="O5" s="81" t="s">
        <v>47</v>
      </c>
      <c r="P5" s="81" t="s">
        <v>47</v>
      </c>
      <c r="Q5" s="57" t="s">
        <v>48</v>
      </c>
      <c r="R5" s="58" t="s">
        <v>53</v>
      </c>
      <c r="S5" s="59" t="s">
        <v>53</v>
      </c>
      <c r="T5" s="81" t="s">
        <v>47</v>
      </c>
      <c r="U5" s="81" t="s">
        <v>47</v>
      </c>
      <c r="V5" s="57" t="s">
        <v>48</v>
      </c>
      <c r="W5" s="57" t="s">
        <v>48</v>
      </c>
      <c r="X5" s="57" t="s">
        <v>48</v>
      </c>
      <c r="Y5" s="58" t="s">
        <v>53</v>
      </c>
      <c r="Z5" s="59" t="s">
        <v>53</v>
      </c>
      <c r="AA5" s="188" t="s">
        <v>47</v>
      </c>
      <c r="AB5" s="81" t="s">
        <v>47</v>
      </c>
      <c r="AC5" s="81" t="s">
        <v>47</v>
      </c>
      <c r="AD5" s="81" t="s">
        <v>47</v>
      </c>
      <c r="AE5" s="81" t="s">
        <v>47</v>
      </c>
      <c r="AF5" s="59" t="s">
        <v>53</v>
      </c>
      <c r="AG5" s="25"/>
      <c r="AH5" s="47">
        <f t="shared" ref="AH5:AH46" si="2">SUM(AI5:AJ5)</f>
        <v>0</v>
      </c>
      <c r="AI5" s="48">
        <f t="shared" ref="AI5:AI46" si="3">COUNTIF($C5:$AD5,"D5")</f>
        <v>0</v>
      </c>
      <c r="AJ5" s="48">
        <f t="shared" ref="AJ5:AJ46" si="4">COUNTIF($C5:$AD5,"C6")</f>
        <v>0</v>
      </c>
      <c r="AK5" s="49">
        <f t="shared" ref="AK5:AK46" si="5">COUNTIF($C5:$AD5,"B5")</f>
        <v>0</v>
      </c>
      <c r="AL5" s="50">
        <f t="shared" ref="AL5:AL46" si="6">COUNTIF($C5:$AD5,"A8")</f>
        <v>0</v>
      </c>
      <c r="AM5" s="51">
        <f t="shared" ref="AM5:AM46" si="7">COUNTIF($C5:$AD5,"A2")</f>
        <v>16</v>
      </c>
      <c r="AN5" s="52">
        <f t="shared" ref="AN5:AO5" si="1">COUNTIF($C5:$AD5,"PH")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18.75" customHeight="1">
      <c r="A6" s="186" t="s">
        <v>229</v>
      </c>
      <c r="B6" s="187" t="s">
        <v>62</v>
      </c>
      <c r="C6" s="188" t="s">
        <v>47</v>
      </c>
      <c r="D6" s="58" t="s">
        <v>53</v>
      </c>
      <c r="E6" s="59" t="s">
        <v>53</v>
      </c>
      <c r="F6" s="188" t="s">
        <v>47</v>
      </c>
      <c r="G6" s="81" t="s">
        <v>47</v>
      </c>
      <c r="H6" s="81" t="s">
        <v>47</v>
      </c>
      <c r="I6" s="81" t="s">
        <v>47</v>
      </c>
      <c r="J6" s="189" t="s">
        <v>47</v>
      </c>
      <c r="K6" s="58" t="s">
        <v>53</v>
      </c>
      <c r="L6" s="59" t="s">
        <v>53</v>
      </c>
      <c r="M6" s="188" t="s">
        <v>47</v>
      </c>
      <c r="N6" s="81" t="s">
        <v>47</v>
      </c>
      <c r="O6" s="81" t="s">
        <v>47</v>
      </c>
      <c r="P6" s="81" t="s">
        <v>47</v>
      </c>
      <c r="Q6" s="81" t="s">
        <v>47</v>
      </c>
      <c r="R6" s="58" t="s">
        <v>53</v>
      </c>
      <c r="S6" s="59" t="s">
        <v>53</v>
      </c>
      <c r="T6" s="188" t="s">
        <v>47</v>
      </c>
      <c r="U6" s="81" t="s">
        <v>47</v>
      </c>
      <c r="V6" s="81" t="s">
        <v>47</v>
      </c>
      <c r="W6" s="81" t="s">
        <v>47</v>
      </c>
      <c r="X6" s="81" t="s">
        <v>47</v>
      </c>
      <c r="Y6" s="58" t="s">
        <v>53</v>
      </c>
      <c r="Z6" s="59" t="s">
        <v>53</v>
      </c>
      <c r="AA6" s="188" t="s">
        <v>47</v>
      </c>
      <c r="AB6" s="81" t="s">
        <v>47</v>
      </c>
      <c r="AC6" s="81" t="s">
        <v>47</v>
      </c>
      <c r="AD6" s="81" t="s">
        <v>47</v>
      </c>
      <c r="AE6" s="81" t="s">
        <v>47</v>
      </c>
      <c r="AF6" s="59" t="s">
        <v>53</v>
      </c>
      <c r="AG6" s="25"/>
      <c r="AH6" s="47">
        <f t="shared" si="2"/>
        <v>0</v>
      </c>
      <c r="AI6" s="48">
        <f t="shared" si="3"/>
        <v>0</v>
      </c>
      <c r="AJ6" s="48">
        <f t="shared" si="4"/>
        <v>0</v>
      </c>
      <c r="AK6" s="49">
        <f t="shared" si="5"/>
        <v>0</v>
      </c>
      <c r="AL6" s="50">
        <f t="shared" si="6"/>
        <v>0</v>
      </c>
      <c r="AM6" s="51">
        <f t="shared" si="7"/>
        <v>20</v>
      </c>
      <c r="AN6" s="52">
        <f t="shared" ref="AN6:AN46" si="8">COUNTIF($C6:$AD6,"AL")</f>
        <v>0</v>
      </c>
      <c r="AO6" s="52">
        <f t="shared" ref="AO6:AO46" si="9">COUNTIF($C6:$AD6,"PH")</f>
        <v>0</v>
      </c>
      <c r="AP6" s="67"/>
      <c r="AQ6" s="67"/>
      <c r="AR6" s="67"/>
      <c r="AS6" s="67"/>
      <c r="AT6" s="67"/>
    </row>
    <row r="7" ht="18.75" customHeight="1">
      <c r="A7" s="186" t="s">
        <v>230</v>
      </c>
      <c r="B7" s="187" t="s">
        <v>65</v>
      </c>
      <c r="C7" s="190" t="s">
        <v>47</v>
      </c>
      <c r="D7" s="189" t="s">
        <v>47</v>
      </c>
      <c r="E7" s="59" t="s">
        <v>53</v>
      </c>
      <c r="F7" s="62" t="s">
        <v>53</v>
      </c>
      <c r="G7" s="81" t="s">
        <v>47</v>
      </c>
      <c r="H7" s="81" t="s">
        <v>47</v>
      </c>
      <c r="I7" s="81" t="s">
        <v>47</v>
      </c>
      <c r="J7" s="81" t="s">
        <v>47</v>
      </c>
      <c r="K7" s="81" t="s">
        <v>47</v>
      </c>
      <c r="L7" s="59" t="s">
        <v>53</v>
      </c>
      <c r="M7" s="62" t="s">
        <v>53</v>
      </c>
      <c r="N7" s="81" t="s">
        <v>47</v>
      </c>
      <c r="O7" s="81" t="s">
        <v>47</v>
      </c>
      <c r="P7" s="81" t="s">
        <v>47</v>
      </c>
      <c r="Q7" s="81" t="s">
        <v>47</v>
      </c>
      <c r="R7" s="81" t="s">
        <v>47</v>
      </c>
      <c r="S7" s="59" t="s">
        <v>53</v>
      </c>
      <c r="T7" s="62" t="s">
        <v>53</v>
      </c>
      <c r="U7" s="81" t="s">
        <v>47</v>
      </c>
      <c r="V7" s="81" t="s">
        <v>47</v>
      </c>
      <c r="W7" s="81" t="s">
        <v>47</v>
      </c>
      <c r="X7" s="81" t="s">
        <v>47</v>
      </c>
      <c r="Y7" s="81" t="s">
        <v>47</v>
      </c>
      <c r="Z7" s="59" t="s">
        <v>53</v>
      </c>
      <c r="AA7" s="62" t="s">
        <v>53</v>
      </c>
      <c r="AB7" s="81" t="s">
        <v>47</v>
      </c>
      <c r="AC7" s="81" t="s">
        <v>47</v>
      </c>
      <c r="AD7" s="81" t="s">
        <v>47</v>
      </c>
      <c r="AE7" s="81" t="s">
        <v>47</v>
      </c>
      <c r="AF7" s="191" t="s">
        <v>47</v>
      </c>
      <c r="AG7" s="25"/>
      <c r="AH7" s="47">
        <f t="shared" si="2"/>
        <v>0</v>
      </c>
      <c r="AI7" s="48">
        <f t="shared" si="3"/>
        <v>0</v>
      </c>
      <c r="AJ7" s="48">
        <f t="shared" si="4"/>
        <v>0</v>
      </c>
      <c r="AK7" s="49">
        <f t="shared" si="5"/>
        <v>0</v>
      </c>
      <c r="AL7" s="50">
        <f t="shared" si="6"/>
        <v>0</v>
      </c>
      <c r="AM7" s="51">
        <f t="shared" si="7"/>
        <v>20</v>
      </c>
      <c r="AN7" s="52">
        <f t="shared" si="8"/>
        <v>0</v>
      </c>
      <c r="AO7" s="52">
        <f t="shared" si="9"/>
        <v>0</v>
      </c>
      <c r="AP7" s="67"/>
      <c r="AQ7" s="67"/>
      <c r="AR7" s="67"/>
      <c r="AS7" s="67"/>
      <c r="AT7" s="67"/>
    </row>
    <row r="8" ht="18.75" customHeight="1">
      <c r="A8" s="186" t="s">
        <v>231</v>
      </c>
      <c r="B8" s="187" t="s">
        <v>68</v>
      </c>
      <c r="C8" s="190" t="s">
        <v>47</v>
      </c>
      <c r="D8" s="189" t="s">
        <v>47</v>
      </c>
      <c r="E8" s="59" t="s">
        <v>53</v>
      </c>
      <c r="F8" s="62" t="s">
        <v>53</v>
      </c>
      <c r="G8" s="81" t="s">
        <v>47</v>
      </c>
      <c r="H8" s="189" t="s">
        <v>47</v>
      </c>
      <c r="I8" s="189" t="s">
        <v>47</v>
      </c>
      <c r="J8" s="81" t="s">
        <v>47</v>
      </c>
      <c r="K8" s="81" t="s">
        <v>47</v>
      </c>
      <c r="L8" s="59" t="s">
        <v>53</v>
      </c>
      <c r="M8" s="62" t="s">
        <v>53</v>
      </c>
      <c r="N8" s="81" t="s">
        <v>47</v>
      </c>
      <c r="O8" s="81" t="s">
        <v>47</v>
      </c>
      <c r="P8" s="57" t="s">
        <v>48</v>
      </c>
      <c r="Q8" s="81" t="s">
        <v>47</v>
      </c>
      <c r="R8" s="57" t="s">
        <v>48</v>
      </c>
      <c r="S8" s="59" t="s">
        <v>53</v>
      </c>
      <c r="T8" s="62" t="s">
        <v>53</v>
      </c>
      <c r="U8" s="81" t="s">
        <v>47</v>
      </c>
      <c r="V8" s="81" t="s">
        <v>47</v>
      </c>
      <c r="W8" s="81" t="s">
        <v>47</v>
      </c>
      <c r="X8" s="81" t="s">
        <v>47</v>
      </c>
      <c r="Y8" s="81" t="s">
        <v>47</v>
      </c>
      <c r="Z8" s="59" t="s">
        <v>53</v>
      </c>
      <c r="AA8" s="62" t="s">
        <v>53</v>
      </c>
      <c r="AB8" s="81" t="s">
        <v>47</v>
      </c>
      <c r="AC8" s="81" t="s">
        <v>47</v>
      </c>
      <c r="AD8" s="81" t="s">
        <v>47</v>
      </c>
      <c r="AE8" s="81" t="s">
        <v>47</v>
      </c>
      <c r="AF8" s="191" t="s">
        <v>47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0</v>
      </c>
      <c r="AM8" s="51">
        <f t="shared" si="7"/>
        <v>18</v>
      </c>
      <c r="AN8" s="52">
        <f t="shared" si="8"/>
        <v>2</v>
      </c>
      <c r="AO8" s="52">
        <f t="shared" si="9"/>
        <v>0</v>
      </c>
      <c r="AP8" s="67"/>
      <c r="AQ8" s="67"/>
      <c r="AR8" s="67"/>
      <c r="AS8" s="67"/>
      <c r="AT8" s="67"/>
    </row>
    <row r="9" ht="18.75" customHeight="1">
      <c r="A9" s="186" t="s">
        <v>232</v>
      </c>
      <c r="B9" s="187" t="s">
        <v>71</v>
      </c>
      <c r="C9" s="188" t="s">
        <v>47</v>
      </c>
      <c r="D9" s="58" t="s">
        <v>53</v>
      </c>
      <c r="E9" s="59" t="s">
        <v>53</v>
      </c>
      <c r="F9" s="192" t="s">
        <v>49</v>
      </c>
      <c r="G9" s="192" t="s">
        <v>49</v>
      </c>
      <c r="H9" s="57" t="s">
        <v>48</v>
      </c>
      <c r="I9" s="81" t="s">
        <v>47</v>
      </c>
      <c r="J9" s="189" t="s">
        <v>47</v>
      </c>
      <c r="K9" s="58" t="s">
        <v>53</v>
      </c>
      <c r="L9" s="59" t="s">
        <v>53</v>
      </c>
      <c r="M9" s="188" t="s">
        <v>47</v>
      </c>
      <c r="N9" s="81" t="s">
        <v>47</v>
      </c>
      <c r="O9" s="57" t="s">
        <v>48</v>
      </c>
      <c r="P9" s="81" t="s">
        <v>47</v>
      </c>
      <c r="Q9" s="81" t="s">
        <v>47</v>
      </c>
      <c r="R9" s="58" t="s">
        <v>53</v>
      </c>
      <c r="S9" s="59" t="s">
        <v>53</v>
      </c>
      <c r="T9" s="188" t="s">
        <v>47</v>
      </c>
      <c r="U9" s="81" t="s">
        <v>47</v>
      </c>
      <c r="V9" s="81" t="s">
        <v>47</v>
      </c>
      <c r="W9" s="81" t="s">
        <v>47</v>
      </c>
      <c r="X9" s="81" t="s">
        <v>47</v>
      </c>
      <c r="Y9" s="58" t="s">
        <v>53</v>
      </c>
      <c r="Z9" s="59" t="s">
        <v>53</v>
      </c>
      <c r="AA9" s="188" t="s">
        <v>47</v>
      </c>
      <c r="AB9" s="81" t="s">
        <v>47</v>
      </c>
      <c r="AC9" s="57" t="s">
        <v>48</v>
      </c>
      <c r="AD9" s="81" t="s">
        <v>47</v>
      </c>
      <c r="AE9" s="189" t="s">
        <v>47</v>
      </c>
      <c r="AF9" s="59" t="s">
        <v>53</v>
      </c>
      <c r="AG9" s="25"/>
      <c r="AH9" s="47">
        <f t="shared" si="2"/>
        <v>0</v>
      </c>
      <c r="AI9" s="48">
        <f t="shared" si="3"/>
        <v>0</v>
      </c>
      <c r="AJ9" s="48">
        <f t="shared" si="4"/>
        <v>0</v>
      </c>
      <c r="AK9" s="49">
        <f t="shared" si="5"/>
        <v>0</v>
      </c>
      <c r="AL9" s="50">
        <f t="shared" si="6"/>
        <v>0</v>
      </c>
      <c r="AM9" s="51">
        <f t="shared" si="7"/>
        <v>15</v>
      </c>
      <c r="AN9" s="52">
        <f t="shared" si="8"/>
        <v>3</v>
      </c>
      <c r="AO9" s="52">
        <f t="shared" si="9"/>
        <v>2</v>
      </c>
      <c r="AP9" s="67"/>
      <c r="AQ9" s="67"/>
      <c r="AR9" s="67"/>
      <c r="AS9" s="67"/>
      <c r="AT9" s="67"/>
    </row>
    <row r="10" ht="18.75" customHeight="1">
      <c r="A10" s="186" t="s">
        <v>233</v>
      </c>
      <c r="B10" s="187" t="s">
        <v>74</v>
      </c>
      <c r="C10" s="188" t="s">
        <v>47</v>
      </c>
      <c r="D10" s="81" t="s">
        <v>47</v>
      </c>
      <c r="E10" s="59" t="s">
        <v>53</v>
      </c>
      <c r="F10" s="62" t="s">
        <v>53</v>
      </c>
      <c r="G10" s="192" t="s">
        <v>49</v>
      </c>
      <c r="H10" s="81" t="s">
        <v>47</v>
      </c>
      <c r="I10" s="81" t="s">
        <v>47</v>
      </c>
      <c r="J10" s="81" t="s">
        <v>47</v>
      </c>
      <c r="K10" s="81" t="s">
        <v>47</v>
      </c>
      <c r="L10" s="59" t="s">
        <v>53</v>
      </c>
      <c r="M10" s="62" t="s">
        <v>53</v>
      </c>
      <c r="N10" s="81" t="s">
        <v>47</v>
      </c>
      <c r="O10" s="81" t="s">
        <v>47</v>
      </c>
      <c r="P10" s="81" t="s">
        <v>47</v>
      </c>
      <c r="Q10" s="81" t="s">
        <v>47</v>
      </c>
      <c r="R10" s="81" t="s">
        <v>47</v>
      </c>
      <c r="S10" s="58" t="s">
        <v>53</v>
      </c>
      <c r="T10" s="62" t="s">
        <v>53</v>
      </c>
      <c r="U10" s="81" t="s">
        <v>47</v>
      </c>
      <c r="V10" s="81" t="s">
        <v>47</v>
      </c>
      <c r="W10" s="81" t="s">
        <v>47</v>
      </c>
      <c r="X10" s="81" t="s">
        <v>47</v>
      </c>
      <c r="Y10" s="81" t="s">
        <v>47</v>
      </c>
      <c r="Z10" s="59" t="s">
        <v>53</v>
      </c>
      <c r="AA10" s="62" t="s">
        <v>53</v>
      </c>
      <c r="AB10" s="81" t="s">
        <v>47</v>
      </c>
      <c r="AC10" s="81" t="s">
        <v>47</v>
      </c>
      <c r="AD10" s="81" t="s">
        <v>47</v>
      </c>
      <c r="AE10" s="81" t="s">
        <v>47</v>
      </c>
      <c r="AF10" s="191" t="s">
        <v>47</v>
      </c>
      <c r="AG10" s="25"/>
      <c r="AH10" s="47">
        <f t="shared" si="2"/>
        <v>0</v>
      </c>
      <c r="AI10" s="48">
        <f t="shared" si="3"/>
        <v>0</v>
      </c>
      <c r="AJ10" s="48">
        <f t="shared" si="4"/>
        <v>0</v>
      </c>
      <c r="AK10" s="49">
        <f t="shared" si="5"/>
        <v>0</v>
      </c>
      <c r="AL10" s="50">
        <f t="shared" si="6"/>
        <v>0</v>
      </c>
      <c r="AM10" s="51">
        <f t="shared" si="7"/>
        <v>19</v>
      </c>
      <c r="AN10" s="52">
        <f t="shared" si="8"/>
        <v>0</v>
      </c>
      <c r="AO10" s="52">
        <f t="shared" si="9"/>
        <v>1</v>
      </c>
      <c r="AP10" s="67"/>
      <c r="AQ10" s="67"/>
      <c r="AR10" s="67"/>
      <c r="AS10" s="67"/>
      <c r="AT10" s="67"/>
    </row>
    <row r="11" ht="18.75" customHeight="1">
      <c r="A11" s="186" t="s">
        <v>234</v>
      </c>
      <c r="B11" s="187" t="s">
        <v>77</v>
      </c>
      <c r="C11" s="193" t="s">
        <v>49</v>
      </c>
      <c r="D11" s="58" t="s">
        <v>53</v>
      </c>
      <c r="E11" s="59" t="s">
        <v>53</v>
      </c>
      <c r="F11" s="188" t="s">
        <v>47</v>
      </c>
      <c r="G11" s="81" t="s">
        <v>47</v>
      </c>
      <c r="H11" s="81" t="s">
        <v>47</v>
      </c>
      <c r="I11" s="192" t="s">
        <v>49</v>
      </c>
      <c r="J11" s="192" t="s">
        <v>49</v>
      </c>
      <c r="K11" s="58" t="s">
        <v>53</v>
      </c>
      <c r="L11" s="59" t="s">
        <v>53</v>
      </c>
      <c r="M11" s="188" t="s">
        <v>47</v>
      </c>
      <c r="N11" s="81" t="s">
        <v>47</v>
      </c>
      <c r="O11" s="81" t="s">
        <v>47</v>
      </c>
      <c r="P11" s="81" t="s">
        <v>47</v>
      </c>
      <c r="Q11" s="57" t="s">
        <v>48</v>
      </c>
      <c r="R11" s="58" t="s">
        <v>53</v>
      </c>
      <c r="S11" s="59" t="s">
        <v>53</v>
      </c>
      <c r="T11" s="188" t="s">
        <v>47</v>
      </c>
      <c r="U11" s="81" t="s">
        <v>47</v>
      </c>
      <c r="V11" s="81" t="s">
        <v>47</v>
      </c>
      <c r="W11" s="81" t="s">
        <v>47</v>
      </c>
      <c r="X11" s="81" t="s">
        <v>47</v>
      </c>
      <c r="Y11" s="58" t="s">
        <v>53</v>
      </c>
      <c r="Z11" s="59" t="s">
        <v>53</v>
      </c>
      <c r="AA11" s="188" t="s">
        <v>47</v>
      </c>
      <c r="AB11" s="81" t="s">
        <v>47</v>
      </c>
      <c r="AC11" s="57" t="s">
        <v>48</v>
      </c>
      <c r="AD11" s="81" t="s">
        <v>47</v>
      </c>
      <c r="AE11" s="192" t="s">
        <v>47</v>
      </c>
      <c r="AF11" s="59" t="s">
        <v>53</v>
      </c>
      <c r="AG11" s="25"/>
      <c r="AH11" s="47">
        <f t="shared" si="2"/>
        <v>0</v>
      </c>
      <c r="AI11" s="48">
        <f t="shared" si="3"/>
        <v>0</v>
      </c>
      <c r="AJ11" s="48">
        <f t="shared" si="4"/>
        <v>0</v>
      </c>
      <c r="AK11" s="49">
        <f t="shared" si="5"/>
        <v>0</v>
      </c>
      <c r="AL11" s="50">
        <f t="shared" si="6"/>
        <v>0</v>
      </c>
      <c r="AM11" s="51">
        <f t="shared" si="7"/>
        <v>15</v>
      </c>
      <c r="AN11" s="52">
        <f t="shared" si="8"/>
        <v>2</v>
      </c>
      <c r="AO11" s="52">
        <f t="shared" si="9"/>
        <v>3</v>
      </c>
      <c r="AP11" s="67"/>
      <c r="AQ11" s="67"/>
      <c r="AR11" s="67"/>
      <c r="AS11" s="67"/>
      <c r="AT11" s="67"/>
    </row>
    <row r="12" ht="18.75" customHeight="1">
      <c r="A12" s="186" t="s">
        <v>235</v>
      </c>
      <c r="B12" s="187" t="s">
        <v>80</v>
      </c>
      <c r="C12" s="188" t="s">
        <v>47</v>
      </c>
      <c r="D12" s="81" t="s">
        <v>47</v>
      </c>
      <c r="E12" s="59" t="s">
        <v>53</v>
      </c>
      <c r="F12" s="62" t="s">
        <v>53</v>
      </c>
      <c r="G12" s="81" t="s">
        <v>47</v>
      </c>
      <c r="H12" s="81" t="s">
        <v>47</v>
      </c>
      <c r="I12" s="81" t="s">
        <v>47</v>
      </c>
      <c r="J12" s="189" t="s">
        <v>47</v>
      </c>
      <c r="K12" s="189" t="s">
        <v>47</v>
      </c>
      <c r="L12" s="59" t="s">
        <v>53</v>
      </c>
      <c r="M12" s="62" t="s">
        <v>53</v>
      </c>
      <c r="N12" s="81" t="s">
        <v>47</v>
      </c>
      <c r="O12" s="81" t="s">
        <v>47</v>
      </c>
      <c r="P12" s="58" t="s">
        <v>53</v>
      </c>
      <c r="Q12" s="81" t="s">
        <v>47</v>
      </c>
      <c r="R12" s="81" t="s">
        <v>47</v>
      </c>
      <c r="S12" s="81" t="s">
        <v>47</v>
      </c>
      <c r="T12" s="62" t="s">
        <v>53</v>
      </c>
      <c r="U12" s="81" t="s">
        <v>47</v>
      </c>
      <c r="V12" s="81" t="s">
        <v>47</v>
      </c>
      <c r="W12" s="81" t="s">
        <v>47</v>
      </c>
      <c r="X12" s="81" t="s">
        <v>47</v>
      </c>
      <c r="Y12" s="81" t="s">
        <v>47</v>
      </c>
      <c r="Z12" s="59" t="s">
        <v>53</v>
      </c>
      <c r="AA12" s="62" t="s">
        <v>53</v>
      </c>
      <c r="AB12" s="81" t="s">
        <v>47</v>
      </c>
      <c r="AC12" s="81" t="s">
        <v>47</v>
      </c>
      <c r="AD12" s="81" t="s">
        <v>47</v>
      </c>
      <c r="AE12" s="81" t="s">
        <v>47</v>
      </c>
      <c r="AF12" s="191" t="s">
        <v>47</v>
      </c>
      <c r="AG12" s="25"/>
      <c r="AH12" s="47">
        <f t="shared" si="2"/>
        <v>0</v>
      </c>
      <c r="AI12" s="48">
        <f t="shared" si="3"/>
        <v>0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20</v>
      </c>
      <c r="AN12" s="52">
        <f t="shared" si="8"/>
        <v>0</v>
      </c>
      <c r="AO12" s="52">
        <f t="shared" si="9"/>
        <v>0</v>
      </c>
      <c r="AP12" s="67"/>
      <c r="AQ12" s="67"/>
      <c r="AR12" s="67"/>
      <c r="AS12" s="67"/>
      <c r="AT12" s="67"/>
    </row>
    <row r="13" ht="18.75" customHeight="1">
      <c r="A13" s="186" t="s">
        <v>236</v>
      </c>
      <c r="B13" s="187" t="s">
        <v>83</v>
      </c>
      <c r="C13" s="188" t="s">
        <v>47</v>
      </c>
      <c r="D13" s="58" t="s">
        <v>53</v>
      </c>
      <c r="E13" s="59" t="s">
        <v>53</v>
      </c>
      <c r="F13" s="188" t="s">
        <v>47</v>
      </c>
      <c r="G13" s="81" t="s">
        <v>47</v>
      </c>
      <c r="H13" s="81" t="s">
        <v>47</v>
      </c>
      <c r="I13" s="81" t="s">
        <v>47</v>
      </c>
      <c r="J13" s="81" t="s">
        <v>47</v>
      </c>
      <c r="K13" s="58" t="s">
        <v>53</v>
      </c>
      <c r="L13" s="59" t="s">
        <v>53</v>
      </c>
      <c r="M13" s="188" t="s">
        <v>47</v>
      </c>
      <c r="N13" s="81" t="s">
        <v>47</v>
      </c>
      <c r="O13" s="81" t="s">
        <v>47</v>
      </c>
      <c r="P13" s="81" t="s">
        <v>47</v>
      </c>
      <c r="Q13" s="81" t="s">
        <v>47</v>
      </c>
      <c r="R13" s="58" t="s">
        <v>53</v>
      </c>
      <c r="S13" s="59" t="s">
        <v>53</v>
      </c>
      <c r="T13" s="193" t="s">
        <v>49</v>
      </c>
      <c r="U13" s="192" t="s">
        <v>49</v>
      </c>
      <c r="V13" s="192" t="s">
        <v>49</v>
      </c>
      <c r="W13" s="57" t="s">
        <v>48</v>
      </c>
      <c r="X13" s="57" t="s">
        <v>48</v>
      </c>
      <c r="Y13" s="58" t="s">
        <v>53</v>
      </c>
      <c r="Z13" s="59" t="s">
        <v>53</v>
      </c>
      <c r="AA13" s="188" t="s">
        <v>47</v>
      </c>
      <c r="AB13" s="81" t="s">
        <v>47</v>
      </c>
      <c r="AC13" s="81" t="s">
        <v>47</v>
      </c>
      <c r="AD13" s="81" t="s">
        <v>47</v>
      </c>
      <c r="AE13" s="81" t="s">
        <v>47</v>
      </c>
      <c r="AF13" s="59" t="s">
        <v>53</v>
      </c>
      <c r="AG13" s="25"/>
      <c r="AH13" s="47">
        <f t="shared" si="2"/>
        <v>0</v>
      </c>
      <c r="AI13" s="48">
        <f t="shared" si="3"/>
        <v>0</v>
      </c>
      <c r="AJ13" s="48">
        <f t="shared" si="4"/>
        <v>0</v>
      </c>
      <c r="AK13" s="49">
        <f t="shared" si="5"/>
        <v>0</v>
      </c>
      <c r="AL13" s="50">
        <f t="shared" si="6"/>
        <v>0</v>
      </c>
      <c r="AM13" s="51">
        <f t="shared" si="7"/>
        <v>15</v>
      </c>
      <c r="AN13" s="52">
        <f t="shared" si="8"/>
        <v>2</v>
      </c>
      <c r="AO13" s="52">
        <f t="shared" si="9"/>
        <v>3</v>
      </c>
      <c r="AP13" s="67"/>
      <c r="AQ13" s="67"/>
      <c r="AR13" s="67"/>
      <c r="AS13" s="67"/>
      <c r="AT13" s="67"/>
    </row>
    <row r="14" ht="18.75" customHeight="1">
      <c r="A14" s="186" t="s">
        <v>237</v>
      </c>
      <c r="B14" s="187" t="s">
        <v>86</v>
      </c>
      <c r="C14" s="188" t="s">
        <v>47</v>
      </c>
      <c r="D14" s="81" t="s">
        <v>47</v>
      </c>
      <c r="E14" s="59" t="s">
        <v>53</v>
      </c>
      <c r="F14" s="62" t="s">
        <v>53</v>
      </c>
      <c r="G14" s="81" t="s">
        <v>47</v>
      </c>
      <c r="H14" s="57" t="s">
        <v>48</v>
      </c>
      <c r="I14" s="57" t="s">
        <v>48</v>
      </c>
      <c r="J14" s="81" t="s">
        <v>47</v>
      </c>
      <c r="K14" s="81" t="s">
        <v>47</v>
      </c>
      <c r="L14" s="59" t="s">
        <v>53</v>
      </c>
      <c r="M14" s="62" t="s">
        <v>53</v>
      </c>
      <c r="N14" s="81" t="s">
        <v>47</v>
      </c>
      <c r="O14" s="81" t="s">
        <v>47</v>
      </c>
      <c r="P14" s="81" t="s">
        <v>47</v>
      </c>
      <c r="Q14" s="81" t="s">
        <v>47</v>
      </c>
      <c r="R14" s="81" t="s">
        <v>47</v>
      </c>
      <c r="S14" s="59" t="s">
        <v>53</v>
      </c>
      <c r="T14" s="62" t="s">
        <v>53</v>
      </c>
      <c r="U14" s="81" t="s">
        <v>47</v>
      </c>
      <c r="V14" s="81" t="s">
        <v>47</v>
      </c>
      <c r="W14" s="81" t="s">
        <v>47</v>
      </c>
      <c r="X14" s="81" t="s">
        <v>47</v>
      </c>
      <c r="Y14" s="81" t="s">
        <v>47</v>
      </c>
      <c r="Z14" s="59" t="s">
        <v>53</v>
      </c>
      <c r="AA14" s="62" t="s">
        <v>53</v>
      </c>
      <c r="AB14" s="81" t="s">
        <v>47</v>
      </c>
      <c r="AC14" s="81" t="s">
        <v>47</v>
      </c>
      <c r="AD14" s="81" t="s">
        <v>47</v>
      </c>
      <c r="AE14" s="192" t="s">
        <v>49</v>
      </c>
      <c r="AF14" s="57" t="s">
        <v>48</v>
      </c>
      <c r="AG14" s="25"/>
      <c r="AH14" s="47">
        <f t="shared" si="2"/>
        <v>0</v>
      </c>
      <c r="AI14" s="48">
        <f t="shared" si="3"/>
        <v>0</v>
      </c>
      <c r="AJ14" s="48">
        <f t="shared" si="4"/>
        <v>0</v>
      </c>
      <c r="AK14" s="49">
        <f t="shared" si="5"/>
        <v>0</v>
      </c>
      <c r="AL14" s="50">
        <f t="shared" si="6"/>
        <v>0</v>
      </c>
      <c r="AM14" s="51">
        <f t="shared" si="7"/>
        <v>18</v>
      </c>
      <c r="AN14" s="52">
        <f t="shared" si="8"/>
        <v>2</v>
      </c>
      <c r="AO14" s="52">
        <f t="shared" si="9"/>
        <v>0</v>
      </c>
      <c r="AP14" s="67"/>
      <c r="AQ14" s="67"/>
      <c r="AR14" s="67"/>
      <c r="AS14" s="67"/>
      <c r="AT14" s="67"/>
    </row>
    <row r="15" ht="18.75" customHeight="1">
      <c r="A15" s="186" t="s">
        <v>238</v>
      </c>
      <c r="B15" s="187" t="s">
        <v>89</v>
      </c>
      <c r="C15" s="188" t="s">
        <v>47</v>
      </c>
      <c r="D15" s="81" t="s">
        <v>47</v>
      </c>
      <c r="E15" s="191" t="s">
        <v>47</v>
      </c>
      <c r="F15" s="62" t="s">
        <v>53</v>
      </c>
      <c r="G15" s="58" t="s">
        <v>53</v>
      </c>
      <c r="H15" s="81" t="s">
        <v>47</v>
      </c>
      <c r="I15" s="81" t="s">
        <v>47</v>
      </c>
      <c r="J15" s="81" t="s">
        <v>47</v>
      </c>
      <c r="K15" s="57" t="s">
        <v>48</v>
      </c>
      <c r="L15" s="70" t="s">
        <v>48</v>
      </c>
      <c r="M15" s="62" t="s">
        <v>53</v>
      </c>
      <c r="N15" s="58" t="s">
        <v>53</v>
      </c>
      <c r="O15" s="81" t="s">
        <v>47</v>
      </c>
      <c r="P15" s="81" t="s">
        <v>47</v>
      </c>
      <c r="Q15" s="81" t="s">
        <v>47</v>
      </c>
      <c r="R15" s="81" t="s">
        <v>47</v>
      </c>
      <c r="S15" s="191" t="s">
        <v>47</v>
      </c>
      <c r="T15" s="62" t="s">
        <v>53</v>
      </c>
      <c r="U15" s="58" t="s">
        <v>53</v>
      </c>
      <c r="V15" s="81" t="s">
        <v>47</v>
      </c>
      <c r="W15" s="81" t="s">
        <v>47</v>
      </c>
      <c r="X15" s="81" t="s">
        <v>47</v>
      </c>
      <c r="Y15" s="81" t="s">
        <v>47</v>
      </c>
      <c r="Z15" s="194" t="s">
        <v>47</v>
      </c>
      <c r="AA15" s="62" t="s">
        <v>53</v>
      </c>
      <c r="AB15" s="58" t="s">
        <v>53</v>
      </c>
      <c r="AC15" s="57" t="s">
        <v>48</v>
      </c>
      <c r="AD15" s="81" t="s">
        <v>47</v>
      </c>
      <c r="AE15" s="81" t="s">
        <v>47</v>
      </c>
      <c r="AF15" s="191" t="s">
        <v>47</v>
      </c>
      <c r="AG15" s="25"/>
      <c r="AH15" s="47">
        <f t="shared" si="2"/>
        <v>0</v>
      </c>
      <c r="AI15" s="48">
        <f t="shared" si="3"/>
        <v>0</v>
      </c>
      <c r="AJ15" s="48">
        <f t="shared" si="4"/>
        <v>0</v>
      </c>
      <c r="AK15" s="49">
        <f t="shared" si="5"/>
        <v>0</v>
      </c>
      <c r="AL15" s="50">
        <f t="shared" si="6"/>
        <v>0</v>
      </c>
      <c r="AM15" s="51">
        <f t="shared" si="7"/>
        <v>17</v>
      </c>
      <c r="AN15" s="52">
        <f t="shared" si="8"/>
        <v>3</v>
      </c>
      <c r="AO15" s="52">
        <f t="shared" si="9"/>
        <v>0</v>
      </c>
      <c r="AP15" s="67"/>
      <c r="AQ15" s="67"/>
      <c r="AR15" s="67"/>
      <c r="AS15" s="67"/>
      <c r="AT15" s="67"/>
    </row>
    <row r="16" ht="18.75" customHeight="1">
      <c r="A16" s="186" t="s">
        <v>239</v>
      </c>
      <c r="B16" s="187" t="s">
        <v>92</v>
      </c>
      <c r="C16" s="188" t="s">
        <v>47</v>
      </c>
      <c r="D16" s="81" t="s">
        <v>47</v>
      </c>
      <c r="E16" s="191" t="s">
        <v>47</v>
      </c>
      <c r="F16" s="188" t="s">
        <v>47</v>
      </c>
      <c r="G16" s="81" t="s">
        <v>47</v>
      </c>
      <c r="H16" s="58" t="s">
        <v>53</v>
      </c>
      <c r="I16" s="58" t="s">
        <v>53</v>
      </c>
      <c r="J16" s="81" t="s">
        <v>47</v>
      </c>
      <c r="K16" s="81" t="s">
        <v>47</v>
      </c>
      <c r="L16" s="191" t="s">
        <v>47</v>
      </c>
      <c r="M16" s="188" t="s">
        <v>47</v>
      </c>
      <c r="N16" s="81" t="s">
        <v>47</v>
      </c>
      <c r="O16" s="58" t="s">
        <v>53</v>
      </c>
      <c r="P16" s="58" t="s">
        <v>53</v>
      </c>
      <c r="Q16" s="81" t="s">
        <v>47</v>
      </c>
      <c r="R16" s="81" t="s">
        <v>47</v>
      </c>
      <c r="S16" s="191" t="s">
        <v>47</v>
      </c>
      <c r="T16" s="188" t="s">
        <v>47</v>
      </c>
      <c r="U16" s="57" t="s">
        <v>48</v>
      </c>
      <c r="V16" s="58" t="s">
        <v>53</v>
      </c>
      <c r="W16" s="58" t="s">
        <v>53</v>
      </c>
      <c r="X16" s="81" t="s">
        <v>47</v>
      </c>
      <c r="Y16" s="81" t="s">
        <v>47</v>
      </c>
      <c r="Z16" s="191" t="s">
        <v>47</v>
      </c>
      <c r="AA16" s="188" t="s">
        <v>47</v>
      </c>
      <c r="AB16" s="65" t="s">
        <v>47</v>
      </c>
      <c r="AC16" s="58" t="s">
        <v>53</v>
      </c>
      <c r="AD16" s="58" t="s">
        <v>53</v>
      </c>
      <c r="AE16" s="81" t="s">
        <v>47</v>
      </c>
      <c r="AF16" s="191" t="s">
        <v>47</v>
      </c>
      <c r="AG16" s="25"/>
      <c r="AH16" s="47">
        <f t="shared" si="2"/>
        <v>0</v>
      </c>
      <c r="AI16" s="48">
        <f t="shared" si="3"/>
        <v>0</v>
      </c>
      <c r="AJ16" s="48">
        <f t="shared" si="4"/>
        <v>0</v>
      </c>
      <c r="AK16" s="49">
        <f t="shared" si="5"/>
        <v>0</v>
      </c>
      <c r="AL16" s="50">
        <f t="shared" si="6"/>
        <v>0</v>
      </c>
      <c r="AM16" s="51">
        <f t="shared" si="7"/>
        <v>19</v>
      </c>
      <c r="AN16" s="52">
        <f t="shared" si="8"/>
        <v>1</v>
      </c>
      <c r="AO16" s="52">
        <f t="shared" si="9"/>
        <v>0</v>
      </c>
      <c r="AP16" s="67"/>
      <c r="AQ16" s="67"/>
      <c r="AR16" s="67"/>
      <c r="AS16" s="67"/>
      <c r="AT16" s="67"/>
    </row>
    <row r="17" ht="18.75" customHeight="1">
      <c r="A17" s="186" t="s">
        <v>240</v>
      </c>
      <c r="B17" s="187" t="s">
        <v>95</v>
      </c>
      <c r="C17" s="62" t="s">
        <v>53</v>
      </c>
      <c r="D17" s="58" t="s">
        <v>53</v>
      </c>
      <c r="E17" s="191" t="s">
        <v>47</v>
      </c>
      <c r="F17" s="188" t="s">
        <v>47</v>
      </c>
      <c r="G17" s="81" t="s">
        <v>47</v>
      </c>
      <c r="H17" s="81" t="s">
        <v>47</v>
      </c>
      <c r="I17" s="81" t="s">
        <v>47</v>
      </c>
      <c r="J17" s="58" t="s">
        <v>53</v>
      </c>
      <c r="K17" s="58" t="s">
        <v>53</v>
      </c>
      <c r="L17" s="195" t="s">
        <v>49</v>
      </c>
      <c r="M17" s="188" t="s">
        <v>47</v>
      </c>
      <c r="N17" s="81" t="s">
        <v>47</v>
      </c>
      <c r="O17" s="81" t="s">
        <v>47</v>
      </c>
      <c r="P17" s="81" t="s">
        <v>47</v>
      </c>
      <c r="Q17" s="58" t="s">
        <v>53</v>
      </c>
      <c r="R17" s="58" t="s">
        <v>53</v>
      </c>
      <c r="S17" s="195" t="s">
        <v>49</v>
      </c>
      <c r="T17" s="188" t="s">
        <v>47</v>
      </c>
      <c r="U17" s="81" t="s">
        <v>47</v>
      </c>
      <c r="V17" s="81" t="s">
        <v>47</v>
      </c>
      <c r="W17" s="81" t="s">
        <v>47</v>
      </c>
      <c r="X17" s="58" t="s">
        <v>53</v>
      </c>
      <c r="Y17" s="58" t="s">
        <v>53</v>
      </c>
      <c r="Z17" s="191" t="s">
        <v>47</v>
      </c>
      <c r="AA17" s="188" t="s">
        <v>47</v>
      </c>
      <c r="AB17" s="81" t="s">
        <v>47</v>
      </c>
      <c r="AC17" s="57" t="s">
        <v>48</v>
      </c>
      <c r="AD17" s="57" t="s">
        <v>48</v>
      </c>
      <c r="AE17" s="58" t="s">
        <v>53</v>
      </c>
      <c r="AF17" s="59" t="s">
        <v>53</v>
      </c>
      <c r="AG17" s="25"/>
      <c r="AH17" s="47">
        <f t="shared" si="2"/>
        <v>0</v>
      </c>
      <c r="AI17" s="48">
        <f t="shared" si="3"/>
        <v>0</v>
      </c>
      <c r="AJ17" s="48">
        <f t="shared" si="4"/>
        <v>0</v>
      </c>
      <c r="AK17" s="49">
        <f t="shared" si="5"/>
        <v>0</v>
      </c>
      <c r="AL17" s="50">
        <f t="shared" si="6"/>
        <v>0</v>
      </c>
      <c r="AM17" s="51">
        <f t="shared" si="7"/>
        <v>16</v>
      </c>
      <c r="AN17" s="52">
        <f t="shared" si="8"/>
        <v>2</v>
      </c>
      <c r="AO17" s="52">
        <f t="shared" si="9"/>
        <v>2</v>
      </c>
      <c r="AP17" s="67"/>
      <c r="AQ17" s="67"/>
      <c r="AR17" s="67"/>
      <c r="AS17" s="67"/>
      <c r="AT17" s="67"/>
    </row>
    <row r="18" ht="18.75" customHeight="1">
      <c r="A18" s="186" t="s">
        <v>241</v>
      </c>
      <c r="B18" s="187" t="s">
        <v>98</v>
      </c>
      <c r="C18" s="188" t="s">
        <v>47</v>
      </c>
      <c r="D18" s="81" t="s">
        <v>47</v>
      </c>
      <c r="E18" s="59" t="s">
        <v>53</v>
      </c>
      <c r="F18" s="62" t="s">
        <v>53</v>
      </c>
      <c r="G18" s="81" t="s">
        <v>47</v>
      </c>
      <c r="H18" s="81" t="s">
        <v>47</v>
      </c>
      <c r="I18" s="81" t="s">
        <v>47</v>
      </c>
      <c r="J18" s="81" t="s">
        <v>47</v>
      </c>
      <c r="K18" s="81" t="s">
        <v>47</v>
      </c>
      <c r="L18" s="59" t="s">
        <v>53</v>
      </c>
      <c r="M18" s="62" t="s">
        <v>53</v>
      </c>
      <c r="N18" s="81" t="s">
        <v>47</v>
      </c>
      <c r="O18" s="81" t="s">
        <v>47</v>
      </c>
      <c r="P18" s="81" t="s">
        <v>47</v>
      </c>
      <c r="Q18" s="81" t="s">
        <v>47</v>
      </c>
      <c r="R18" s="81" t="s">
        <v>47</v>
      </c>
      <c r="S18" s="59" t="s">
        <v>53</v>
      </c>
      <c r="T18" s="62" t="s">
        <v>53</v>
      </c>
      <c r="U18" s="81" t="s">
        <v>47</v>
      </c>
      <c r="V18" s="81" t="s">
        <v>47</v>
      </c>
      <c r="W18" s="81" t="s">
        <v>47</v>
      </c>
      <c r="X18" s="81" t="s">
        <v>47</v>
      </c>
      <c r="Y18" s="81" t="s">
        <v>47</v>
      </c>
      <c r="Z18" s="59" t="s">
        <v>53</v>
      </c>
      <c r="AA18" s="62" t="s">
        <v>53</v>
      </c>
      <c r="AB18" s="81" t="s">
        <v>47</v>
      </c>
      <c r="AC18" s="81" t="s">
        <v>47</v>
      </c>
      <c r="AD18" s="81" t="s">
        <v>47</v>
      </c>
      <c r="AE18" s="81" t="s">
        <v>47</v>
      </c>
      <c r="AF18" s="191" t="s">
        <v>47</v>
      </c>
      <c r="AG18" s="25"/>
      <c r="AH18" s="47">
        <f t="shared" si="2"/>
        <v>0</v>
      </c>
      <c r="AI18" s="48">
        <f t="shared" si="3"/>
        <v>0</v>
      </c>
      <c r="AJ18" s="48">
        <f t="shared" si="4"/>
        <v>0</v>
      </c>
      <c r="AK18" s="49">
        <f t="shared" si="5"/>
        <v>0</v>
      </c>
      <c r="AL18" s="50">
        <f t="shared" si="6"/>
        <v>0</v>
      </c>
      <c r="AM18" s="51">
        <f t="shared" si="7"/>
        <v>20</v>
      </c>
      <c r="AN18" s="52">
        <f t="shared" si="8"/>
        <v>0</v>
      </c>
      <c r="AO18" s="52">
        <f t="shared" si="9"/>
        <v>0</v>
      </c>
      <c r="AP18" s="67"/>
      <c r="AQ18" s="67"/>
      <c r="AR18" s="67"/>
      <c r="AS18" s="67"/>
      <c r="AT18" s="67"/>
    </row>
    <row r="19" ht="18.75" customHeight="1">
      <c r="A19" s="186" t="s">
        <v>242</v>
      </c>
      <c r="B19" s="187" t="s">
        <v>101</v>
      </c>
      <c r="C19" s="62" t="s">
        <v>53</v>
      </c>
      <c r="D19" s="58" t="s">
        <v>53</v>
      </c>
      <c r="E19" s="191" t="s">
        <v>47</v>
      </c>
      <c r="F19" s="188" t="s">
        <v>47</v>
      </c>
      <c r="G19" s="81" t="s">
        <v>47</v>
      </c>
      <c r="H19" s="81" t="s">
        <v>47</v>
      </c>
      <c r="I19" s="57" t="s">
        <v>48</v>
      </c>
      <c r="J19" s="58" t="s">
        <v>53</v>
      </c>
      <c r="K19" s="58" t="s">
        <v>53</v>
      </c>
      <c r="L19" s="57" t="s">
        <v>48</v>
      </c>
      <c r="M19" s="188" t="s">
        <v>47</v>
      </c>
      <c r="N19" s="81" t="s">
        <v>47</v>
      </c>
      <c r="O19" s="81" t="s">
        <v>47</v>
      </c>
      <c r="P19" s="81" t="s">
        <v>47</v>
      </c>
      <c r="Q19" s="58" t="s">
        <v>53</v>
      </c>
      <c r="R19" s="58" t="s">
        <v>53</v>
      </c>
      <c r="S19" s="191" t="s">
        <v>47</v>
      </c>
      <c r="T19" s="188" t="s">
        <v>47</v>
      </c>
      <c r="U19" s="81" t="s">
        <v>47</v>
      </c>
      <c r="V19" s="81" t="s">
        <v>47</v>
      </c>
      <c r="W19" s="81" t="s">
        <v>47</v>
      </c>
      <c r="X19" s="58" t="s">
        <v>53</v>
      </c>
      <c r="Y19" s="58" t="s">
        <v>53</v>
      </c>
      <c r="Z19" s="191" t="s">
        <v>47</v>
      </c>
      <c r="AA19" s="188" t="s">
        <v>47</v>
      </c>
      <c r="AB19" s="81" t="s">
        <v>47</v>
      </c>
      <c r="AC19" s="81" t="s">
        <v>47</v>
      </c>
      <c r="AD19" s="81" t="s">
        <v>47</v>
      </c>
      <c r="AE19" s="58" t="s">
        <v>53</v>
      </c>
      <c r="AF19" s="59" t="s">
        <v>53</v>
      </c>
      <c r="AG19" s="25"/>
      <c r="AH19" s="47">
        <f t="shared" si="2"/>
        <v>0</v>
      </c>
      <c r="AI19" s="48">
        <f t="shared" si="3"/>
        <v>0</v>
      </c>
      <c r="AJ19" s="48">
        <f t="shared" si="4"/>
        <v>0</v>
      </c>
      <c r="AK19" s="49">
        <f t="shared" si="5"/>
        <v>0</v>
      </c>
      <c r="AL19" s="50">
        <f t="shared" si="6"/>
        <v>0</v>
      </c>
      <c r="AM19" s="51">
        <f t="shared" si="7"/>
        <v>18</v>
      </c>
      <c r="AN19" s="52">
        <f t="shared" si="8"/>
        <v>2</v>
      </c>
      <c r="AO19" s="52">
        <f t="shared" si="9"/>
        <v>0</v>
      </c>
      <c r="AP19" s="67"/>
      <c r="AQ19" s="67"/>
      <c r="AR19" s="67"/>
      <c r="AS19" s="67"/>
      <c r="AT19" s="67"/>
    </row>
    <row r="20" ht="18.75" customHeight="1">
      <c r="A20" s="186" t="s">
        <v>243</v>
      </c>
      <c r="B20" s="187" t="s">
        <v>104</v>
      </c>
      <c r="C20" s="62" t="s">
        <v>53</v>
      </c>
      <c r="D20" s="81" t="s">
        <v>47</v>
      </c>
      <c r="E20" s="191" t="s">
        <v>47</v>
      </c>
      <c r="F20" s="188" t="s">
        <v>47</v>
      </c>
      <c r="G20" s="81" t="s">
        <v>47</v>
      </c>
      <c r="H20" s="81" t="s">
        <v>47</v>
      </c>
      <c r="I20" s="58" t="s">
        <v>53</v>
      </c>
      <c r="J20" s="58" t="s">
        <v>53</v>
      </c>
      <c r="K20" s="81" t="s">
        <v>47</v>
      </c>
      <c r="L20" s="191" t="s">
        <v>47</v>
      </c>
      <c r="M20" s="193" t="s">
        <v>49</v>
      </c>
      <c r="N20" s="81" t="s">
        <v>47</v>
      </c>
      <c r="O20" s="81" t="s">
        <v>47</v>
      </c>
      <c r="P20" s="58" t="s">
        <v>53</v>
      </c>
      <c r="Q20" s="58" t="s">
        <v>53</v>
      </c>
      <c r="R20" s="81" t="s">
        <v>47</v>
      </c>
      <c r="S20" s="191" t="s">
        <v>47</v>
      </c>
      <c r="T20" s="193" t="s">
        <v>49</v>
      </c>
      <c r="U20" s="81" t="s">
        <v>47</v>
      </c>
      <c r="V20" s="81" t="s">
        <v>47</v>
      </c>
      <c r="W20" s="58" t="s">
        <v>53</v>
      </c>
      <c r="X20" s="58" t="s">
        <v>53</v>
      </c>
      <c r="Y20" s="81" t="s">
        <v>47</v>
      </c>
      <c r="Z20" s="191" t="s">
        <v>47</v>
      </c>
      <c r="AA20" s="188" t="s">
        <v>47</v>
      </c>
      <c r="AB20" s="81" t="s">
        <v>47</v>
      </c>
      <c r="AC20" s="81" t="s">
        <v>47</v>
      </c>
      <c r="AD20" s="58" t="s">
        <v>53</v>
      </c>
      <c r="AE20" s="58" t="s">
        <v>53</v>
      </c>
      <c r="AF20" s="194" t="s">
        <v>47</v>
      </c>
      <c r="AG20" s="25"/>
      <c r="AH20" s="47">
        <f t="shared" si="2"/>
        <v>0</v>
      </c>
      <c r="AI20" s="48">
        <f t="shared" si="3"/>
        <v>0</v>
      </c>
      <c r="AJ20" s="48">
        <f t="shared" si="4"/>
        <v>0</v>
      </c>
      <c r="AK20" s="49">
        <f t="shared" si="5"/>
        <v>0</v>
      </c>
      <c r="AL20" s="50">
        <f t="shared" si="6"/>
        <v>0</v>
      </c>
      <c r="AM20" s="51">
        <f t="shared" si="7"/>
        <v>18</v>
      </c>
      <c r="AN20" s="52">
        <f t="shared" si="8"/>
        <v>0</v>
      </c>
      <c r="AO20" s="52">
        <f t="shared" si="9"/>
        <v>2</v>
      </c>
      <c r="AP20" s="67"/>
      <c r="AQ20" s="67"/>
      <c r="AR20" s="67"/>
      <c r="AS20" s="67"/>
      <c r="AT20" s="67"/>
    </row>
    <row r="21" ht="18.75" customHeight="1">
      <c r="A21" s="186" t="s">
        <v>244</v>
      </c>
      <c r="B21" s="196" t="s">
        <v>107</v>
      </c>
      <c r="C21" s="188" t="s">
        <v>47</v>
      </c>
      <c r="D21" s="58" t="s">
        <v>53</v>
      </c>
      <c r="E21" s="191" t="s">
        <v>47</v>
      </c>
      <c r="F21" s="188" t="s">
        <v>47</v>
      </c>
      <c r="G21" s="58" t="s">
        <v>53</v>
      </c>
      <c r="H21" s="81" t="s">
        <v>47</v>
      </c>
      <c r="I21" s="189" t="s">
        <v>47</v>
      </c>
      <c r="J21" s="189" t="s">
        <v>47</v>
      </c>
      <c r="K21" s="58" t="s">
        <v>53</v>
      </c>
      <c r="L21" s="194" t="s">
        <v>47</v>
      </c>
      <c r="M21" s="190" t="s">
        <v>47</v>
      </c>
      <c r="N21" s="58" t="s">
        <v>53</v>
      </c>
      <c r="O21" s="81" t="s">
        <v>47</v>
      </c>
      <c r="P21" s="189" t="s">
        <v>47</v>
      </c>
      <c r="Q21" s="189" t="s">
        <v>47</v>
      </c>
      <c r="R21" s="58" t="s">
        <v>53</v>
      </c>
      <c r="S21" s="191" t="s">
        <v>47</v>
      </c>
      <c r="T21" s="188" t="s">
        <v>47</v>
      </c>
      <c r="U21" s="58" t="s">
        <v>53</v>
      </c>
      <c r="V21" s="81" t="s">
        <v>47</v>
      </c>
      <c r="W21" s="81" t="s">
        <v>47</v>
      </c>
      <c r="X21" s="81" t="s">
        <v>47</v>
      </c>
      <c r="Y21" s="58" t="s">
        <v>53</v>
      </c>
      <c r="Z21" s="195" t="s">
        <v>49</v>
      </c>
      <c r="AA21" s="193" t="s">
        <v>49</v>
      </c>
      <c r="AB21" s="58" t="s">
        <v>53</v>
      </c>
      <c r="AC21" s="81" t="s">
        <v>47</v>
      </c>
      <c r="AD21" s="189" t="s">
        <v>47</v>
      </c>
      <c r="AE21" s="189" t="s">
        <v>47</v>
      </c>
      <c r="AF21" s="59" t="s">
        <v>53</v>
      </c>
      <c r="AG21" s="25"/>
      <c r="AH21" s="47">
        <f t="shared" si="2"/>
        <v>0</v>
      </c>
      <c r="AI21" s="48">
        <f t="shared" si="3"/>
        <v>0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18</v>
      </c>
      <c r="AN21" s="52">
        <f t="shared" si="8"/>
        <v>0</v>
      </c>
      <c r="AO21" s="52">
        <f t="shared" si="9"/>
        <v>2</v>
      </c>
      <c r="AP21" s="67"/>
      <c r="AQ21" s="67"/>
      <c r="AR21" s="67"/>
      <c r="AS21" s="67"/>
      <c r="AT21" s="67"/>
    </row>
    <row r="22" ht="18.75" customHeight="1">
      <c r="A22" s="186" t="s">
        <v>245</v>
      </c>
      <c r="B22" s="187" t="s">
        <v>110</v>
      </c>
      <c r="C22" s="62" t="s">
        <v>53</v>
      </c>
      <c r="D22" s="81" t="s">
        <v>47</v>
      </c>
      <c r="E22" s="191" t="s">
        <v>47</v>
      </c>
      <c r="F22" s="188" t="s">
        <v>47</v>
      </c>
      <c r="G22" s="81" t="s">
        <v>47</v>
      </c>
      <c r="H22" s="81" t="s">
        <v>47</v>
      </c>
      <c r="I22" s="58" t="s">
        <v>53</v>
      </c>
      <c r="J22" s="58" t="s">
        <v>53</v>
      </c>
      <c r="K22" s="81" t="s">
        <v>47</v>
      </c>
      <c r="L22" s="191" t="s">
        <v>47</v>
      </c>
      <c r="M22" s="188" t="s">
        <v>47</v>
      </c>
      <c r="N22" s="81" t="s">
        <v>47</v>
      </c>
      <c r="O22" s="81" t="s">
        <v>47</v>
      </c>
      <c r="P22" s="58" t="s">
        <v>53</v>
      </c>
      <c r="Q22" s="58" t="s">
        <v>53</v>
      </c>
      <c r="R22" s="81" t="s">
        <v>47</v>
      </c>
      <c r="S22" s="191" t="s">
        <v>47</v>
      </c>
      <c r="T22" s="188" t="s">
        <v>47</v>
      </c>
      <c r="U22" s="81" t="s">
        <v>47</v>
      </c>
      <c r="V22" s="192" t="s">
        <v>49</v>
      </c>
      <c r="W22" s="58" t="s">
        <v>53</v>
      </c>
      <c r="X22" s="58" t="s">
        <v>53</v>
      </c>
      <c r="Y22" s="81" t="s">
        <v>47</v>
      </c>
      <c r="Z22" s="191" t="s">
        <v>47</v>
      </c>
      <c r="AA22" s="188" t="s">
        <v>47</v>
      </c>
      <c r="AB22" s="81" t="s">
        <v>47</v>
      </c>
      <c r="AC22" s="81" t="s">
        <v>47</v>
      </c>
      <c r="AD22" s="58" t="s">
        <v>53</v>
      </c>
      <c r="AE22" s="58" t="s">
        <v>53</v>
      </c>
      <c r="AF22" s="194" t="s">
        <v>47</v>
      </c>
      <c r="AG22" s="25"/>
      <c r="AH22" s="47">
        <f t="shared" si="2"/>
        <v>0</v>
      </c>
      <c r="AI22" s="48">
        <f t="shared" si="3"/>
        <v>0</v>
      </c>
      <c r="AJ22" s="48">
        <f t="shared" si="4"/>
        <v>0</v>
      </c>
      <c r="AK22" s="49">
        <f t="shared" si="5"/>
        <v>0</v>
      </c>
      <c r="AL22" s="50">
        <f t="shared" si="6"/>
        <v>0</v>
      </c>
      <c r="AM22" s="51">
        <f t="shared" si="7"/>
        <v>19</v>
      </c>
      <c r="AN22" s="52">
        <f t="shared" si="8"/>
        <v>0</v>
      </c>
      <c r="AO22" s="52">
        <f t="shared" si="9"/>
        <v>1</v>
      </c>
      <c r="AP22" s="67"/>
      <c r="AQ22" s="67"/>
      <c r="AR22" s="67"/>
      <c r="AS22" s="67"/>
      <c r="AT22" s="67"/>
    </row>
    <row r="23" ht="18.75" customHeight="1">
      <c r="A23" s="186" t="s">
        <v>246</v>
      </c>
      <c r="B23" s="187" t="s">
        <v>113</v>
      </c>
      <c r="C23" s="62" t="s">
        <v>53</v>
      </c>
      <c r="D23" s="58" t="s">
        <v>53</v>
      </c>
      <c r="E23" s="195" t="s">
        <v>49</v>
      </c>
      <c r="F23" s="188" t="s">
        <v>47</v>
      </c>
      <c r="G23" s="81" t="s">
        <v>47</v>
      </c>
      <c r="H23" s="192" t="s">
        <v>49</v>
      </c>
      <c r="I23" s="192" t="s">
        <v>49</v>
      </c>
      <c r="J23" s="58" t="s">
        <v>53</v>
      </c>
      <c r="K23" s="58" t="s">
        <v>53</v>
      </c>
      <c r="L23" s="194" t="s">
        <v>47</v>
      </c>
      <c r="M23" s="190" t="s">
        <v>47</v>
      </c>
      <c r="N23" s="189" t="s">
        <v>47</v>
      </c>
      <c r="O23" s="189" t="s">
        <v>47</v>
      </c>
      <c r="P23" s="57" t="s">
        <v>48</v>
      </c>
      <c r="Q23" s="58" t="s">
        <v>53</v>
      </c>
      <c r="R23" s="58" t="s">
        <v>53</v>
      </c>
      <c r="S23" s="194" t="s">
        <v>47</v>
      </c>
      <c r="T23" s="190" t="s">
        <v>47</v>
      </c>
      <c r="U23" s="189" t="s">
        <v>47</v>
      </c>
      <c r="V23" s="189" t="s">
        <v>47</v>
      </c>
      <c r="W23" s="57" t="s">
        <v>48</v>
      </c>
      <c r="X23" s="58" t="s">
        <v>53</v>
      </c>
      <c r="Y23" s="58" t="s">
        <v>53</v>
      </c>
      <c r="Z23" s="194" t="s">
        <v>47</v>
      </c>
      <c r="AA23" s="188" t="s">
        <v>47</v>
      </c>
      <c r="AB23" s="81" t="s">
        <v>47</v>
      </c>
      <c r="AC23" s="189" t="s">
        <v>47</v>
      </c>
      <c r="AD23" s="189" t="s">
        <v>47</v>
      </c>
      <c r="AE23" s="58" t="s">
        <v>53</v>
      </c>
      <c r="AF23" s="59" t="s">
        <v>53</v>
      </c>
      <c r="AG23" s="25"/>
      <c r="AH23" s="47">
        <f t="shared" si="2"/>
        <v>0</v>
      </c>
      <c r="AI23" s="48">
        <f t="shared" si="3"/>
        <v>0</v>
      </c>
      <c r="AJ23" s="48">
        <f t="shared" si="4"/>
        <v>0</v>
      </c>
      <c r="AK23" s="49">
        <f t="shared" si="5"/>
        <v>0</v>
      </c>
      <c r="AL23" s="50">
        <f t="shared" si="6"/>
        <v>0</v>
      </c>
      <c r="AM23" s="51">
        <f t="shared" si="7"/>
        <v>15</v>
      </c>
      <c r="AN23" s="52">
        <f t="shared" si="8"/>
        <v>2</v>
      </c>
      <c r="AO23" s="52">
        <f t="shared" si="9"/>
        <v>3</v>
      </c>
      <c r="AP23" s="67"/>
      <c r="AQ23" s="67"/>
      <c r="AR23" s="67"/>
      <c r="AS23" s="67"/>
      <c r="AT23" s="67"/>
    </row>
    <row r="24" ht="18.75" customHeight="1">
      <c r="A24" s="186" t="s">
        <v>247</v>
      </c>
      <c r="B24" s="187" t="s">
        <v>116</v>
      </c>
      <c r="C24" s="190" t="s">
        <v>47</v>
      </c>
      <c r="D24" s="189" t="s">
        <v>47</v>
      </c>
      <c r="E24" s="194" t="s">
        <v>47</v>
      </c>
      <c r="F24" s="190" t="s">
        <v>47</v>
      </c>
      <c r="G24" s="58" t="s">
        <v>53</v>
      </c>
      <c r="H24" s="58" t="s">
        <v>53</v>
      </c>
      <c r="I24" s="81" t="s">
        <v>47</v>
      </c>
      <c r="J24" s="189" t="s">
        <v>47</v>
      </c>
      <c r="K24" s="189" t="s">
        <v>47</v>
      </c>
      <c r="L24" s="191" t="s">
        <v>47</v>
      </c>
      <c r="M24" s="197" t="s">
        <v>47</v>
      </c>
      <c r="N24" s="58" t="s">
        <v>53</v>
      </c>
      <c r="O24" s="58" t="s">
        <v>53</v>
      </c>
      <c r="P24" s="81" t="s">
        <v>47</v>
      </c>
      <c r="Q24" s="81" t="s">
        <v>47</v>
      </c>
      <c r="R24" s="81" t="s">
        <v>47</v>
      </c>
      <c r="S24" s="191" t="s">
        <v>47</v>
      </c>
      <c r="T24" s="188" t="s">
        <v>47</v>
      </c>
      <c r="U24" s="58" t="s">
        <v>53</v>
      </c>
      <c r="V24" s="58" t="s">
        <v>53</v>
      </c>
      <c r="W24" s="81" t="s">
        <v>47</v>
      </c>
      <c r="X24" s="81" t="s">
        <v>47</v>
      </c>
      <c r="Y24" s="81" t="s">
        <v>47</v>
      </c>
      <c r="Z24" s="191" t="s">
        <v>47</v>
      </c>
      <c r="AA24" s="188" t="s">
        <v>47</v>
      </c>
      <c r="AB24" s="58" t="s">
        <v>53</v>
      </c>
      <c r="AC24" s="58" t="s">
        <v>53</v>
      </c>
      <c r="AD24" s="81" t="s">
        <v>47</v>
      </c>
      <c r="AE24" s="81" t="s">
        <v>47</v>
      </c>
      <c r="AF24" s="191" t="s">
        <v>47</v>
      </c>
      <c r="AG24" s="25"/>
      <c r="AH24" s="47">
        <f t="shared" si="2"/>
        <v>0</v>
      </c>
      <c r="AI24" s="48">
        <f t="shared" si="3"/>
        <v>0</v>
      </c>
      <c r="AJ24" s="48">
        <f t="shared" si="4"/>
        <v>0</v>
      </c>
      <c r="AK24" s="49">
        <f t="shared" si="5"/>
        <v>0</v>
      </c>
      <c r="AL24" s="50">
        <f t="shared" si="6"/>
        <v>0</v>
      </c>
      <c r="AM24" s="51">
        <f t="shared" si="7"/>
        <v>20</v>
      </c>
      <c r="AN24" s="52">
        <f t="shared" si="8"/>
        <v>0</v>
      </c>
      <c r="AO24" s="52">
        <f t="shared" si="9"/>
        <v>0</v>
      </c>
      <c r="AP24" s="67"/>
      <c r="AQ24" s="67"/>
      <c r="AR24" s="67"/>
      <c r="AS24" s="67"/>
      <c r="AT24" s="67"/>
    </row>
    <row r="25" ht="18.75" customHeight="1">
      <c r="A25" s="186" t="s">
        <v>248</v>
      </c>
      <c r="B25" s="187" t="s">
        <v>119</v>
      </c>
      <c r="C25" s="62" t="s">
        <v>53</v>
      </c>
      <c r="D25" s="58" t="s">
        <v>53</v>
      </c>
      <c r="E25" s="195" t="s">
        <v>49</v>
      </c>
      <c r="F25" s="192" t="s">
        <v>49</v>
      </c>
      <c r="G25" s="81" t="s">
        <v>47</v>
      </c>
      <c r="H25" s="81" t="s">
        <v>47</v>
      </c>
      <c r="I25" s="81" t="s">
        <v>47</v>
      </c>
      <c r="J25" s="58" t="s">
        <v>53</v>
      </c>
      <c r="K25" s="58" t="s">
        <v>53</v>
      </c>
      <c r="L25" s="81" t="s">
        <v>47</v>
      </c>
      <c r="M25" s="188" t="s">
        <v>47</v>
      </c>
      <c r="N25" s="81" t="s">
        <v>47</v>
      </c>
      <c r="O25" s="81" t="s">
        <v>47</v>
      </c>
      <c r="P25" s="57" t="s">
        <v>48</v>
      </c>
      <c r="Q25" s="58" t="s">
        <v>53</v>
      </c>
      <c r="R25" s="58" t="s">
        <v>53</v>
      </c>
      <c r="S25" s="57" t="s">
        <v>48</v>
      </c>
      <c r="T25" s="188" t="s">
        <v>47</v>
      </c>
      <c r="U25" s="81" t="s">
        <v>47</v>
      </c>
      <c r="V25" s="81" t="s">
        <v>47</v>
      </c>
      <c r="W25" s="81" t="s">
        <v>47</v>
      </c>
      <c r="X25" s="58" t="s">
        <v>53</v>
      </c>
      <c r="Y25" s="58" t="s">
        <v>53</v>
      </c>
      <c r="Z25" s="191" t="s">
        <v>47</v>
      </c>
      <c r="AA25" s="188" t="s">
        <v>47</v>
      </c>
      <c r="AB25" s="81" t="s">
        <v>47</v>
      </c>
      <c r="AC25" s="81" t="s">
        <v>47</v>
      </c>
      <c r="AD25" s="192" t="s">
        <v>49</v>
      </c>
      <c r="AE25" s="58" t="s">
        <v>53</v>
      </c>
      <c r="AF25" s="59" t="s">
        <v>53</v>
      </c>
      <c r="AG25" s="25"/>
      <c r="AH25" s="47">
        <f t="shared" si="2"/>
        <v>0</v>
      </c>
      <c r="AI25" s="48">
        <f t="shared" si="3"/>
        <v>0</v>
      </c>
      <c r="AJ25" s="48">
        <f t="shared" si="4"/>
        <v>0</v>
      </c>
      <c r="AK25" s="49">
        <f t="shared" si="5"/>
        <v>0</v>
      </c>
      <c r="AL25" s="50">
        <f t="shared" si="6"/>
        <v>0</v>
      </c>
      <c r="AM25" s="51">
        <f t="shared" si="7"/>
        <v>15</v>
      </c>
      <c r="AN25" s="52">
        <f t="shared" si="8"/>
        <v>2</v>
      </c>
      <c r="AO25" s="52">
        <f t="shared" si="9"/>
        <v>3</v>
      </c>
      <c r="AP25" s="67"/>
      <c r="AQ25" s="67"/>
      <c r="AR25" s="67"/>
      <c r="AS25" s="67"/>
      <c r="AT25" s="67"/>
    </row>
    <row r="26" ht="18.75" customHeight="1">
      <c r="A26" s="186" t="s">
        <v>249</v>
      </c>
      <c r="B26" s="187" t="s">
        <v>122</v>
      </c>
      <c r="C26" s="190" t="s">
        <v>47</v>
      </c>
      <c r="D26" s="189" t="s">
        <v>47</v>
      </c>
      <c r="E26" s="194" t="s">
        <v>47</v>
      </c>
      <c r="F26" s="188" t="s">
        <v>47</v>
      </c>
      <c r="G26" s="58" t="s">
        <v>53</v>
      </c>
      <c r="H26" s="58" t="s">
        <v>53</v>
      </c>
      <c r="I26" s="81" t="s">
        <v>47</v>
      </c>
      <c r="J26" s="189" t="s">
        <v>47</v>
      </c>
      <c r="K26" s="189" t="s">
        <v>47</v>
      </c>
      <c r="L26" s="191" t="s">
        <v>47</v>
      </c>
      <c r="M26" s="188" t="s">
        <v>47</v>
      </c>
      <c r="N26" s="58" t="s">
        <v>53</v>
      </c>
      <c r="O26" s="58" t="s">
        <v>53</v>
      </c>
      <c r="P26" s="81" t="s">
        <v>47</v>
      </c>
      <c r="Q26" s="81" t="s">
        <v>47</v>
      </c>
      <c r="R26" s="81" t="s">
        <v>47</v>
      </c>
      <c r="S26" s="191" t="s">
        <v>47</v>
      </c>
      <c r="T26" s="57" t="s">
        <v>48</v>
      </c>
      <c r="U26" s="58" t="s">
        <v>53</v>
      </c>
      <c r="V26" s="58" t="s">
        <v>53</v>
      </c>
      <c r="W26" s="57" t="s">
        <v>48</v>
      </c>
      <c r="X26" s="57" t="s">
        <v>48</v>
      </c>
      <c r="Y26" s="57" t="s">
        <v>48</v>
      </c>
      <c r="Z26" s="191" t="s">
        <v>47</v>
      </c>
      <c r="AA26" s="188" t="s">
        <v>47</v>
      </c>
      <c r="AB26" s="58" t="s">
        <v>53</v>
      </c>
      <c r="AC26" s="58" t="s">
        <v>53</v>
      </c>
      <c r="AD26" s="57" t="s">
        <v>48</v>
      </c>
      <c r="AE26" s="57" t="s">
        <v>48</v>
      </c>
      <c r="AF26" s="191" t="s">
        <v>47</v>
      </c>
      <c r="AG26" s="25"/>
      <c r="AH26" s="47">
        <f t="shared" si="2"/>
        <v>0</v>
      </c>
      <c r="AI26" s="48">
        <f t="shared" si="3"/>
        <v>0</v>
      </c>
      <c r="AJ26" s="48">
        <f t="shared" si="4"/>
        <v>0</v>
      </c>
      <c r="AK26" s="49">
        <f t="shared" si="5"/>
        <v>0</v>
      </c>
      <c r="AL26" s="50">
        <f t="shared" si="6"/>
        <v>0</v>
      </c>
      <c r="AM26" s="51">
        <f t="shared" si="7"/>
        <v>15</v>
      </c>
      <c r="AN26" s="52">
        <f t="shared" si="8"/>
        <v>5</v>
      </c>
      <c r="AO26" s="52">
        <f t="shared" si="9"/>
        <v>0</v>
      </c>
      <c r="AP26" s="67"/>
      <c r="AQ26" s="67"/>
      <c r="AR26" s="67"/>
      <c r="AS26" s="67"/>
      <c r="AT26" s="67"/>
    </row>
    <row r="27" ht="18.75" customHeight="1">
      <c r="A27" s="186" t="s">
        <v>250</v>
      </c>
      <c r="B27" s="196" t="s">
        <v>125</v>
      </c>
      <c r="C27" s="190" t="s">
        <v>47</v>
      </c>
      <c r="D27" s="189" t="s">
        <v>47</v>
      </c>
      <c r="E27" s="194" t="s">
        <v>47</v>
      </c>
      <c r="F27" s="190" t="s">
        <v>47</v>
      </c>
      <c r="G27" s="58" t="s">
        <v>53</v>
      </c>
      <c r="H27" s="58" t="s">
        <v>53</v>
      </c>
      <c r="I27" s="81" t="s">
        <v>47</v>
      </c>
      <c r="J27" s="189" t="s">
        <v>47</v>
      </c>
      <c r="K27" s="189" t="s">
        <v>47</v>
      </c>
      <c r="L27" s="194" t="s">
        <v>47</v>
      </c>
      <c r="M27" s="190" t="s">
        <v>47</v>
      </c>
      <c r="N27" s="58" t="s">
        <v>53</v>
      </c>
      <c r="O27" s="58" t="s">
        <v>53</v>
      </c>
      <c r="P27" s="81" t="s">
        <v>47</v>
      </c>
      <c r="Q27" s="189" t="s">
        <v>47</v>
      </c>
      <c r="R27" s="189" t="s">
        <v>47</v>
      </c>
      <c r="S27" s="191" t="s">
        <v>47</v>
      </c>
      <c r="T27" s="188" t="s">
        <v>47</v>
      </c>
      <c r="U27" s="58" t="s">
        <v>53</v>
      </c>
      <c r="V27" s="58" t="s">
        <v>53</v>
      </c>
      <c r="W27" s="81" t="s">
        <v>47</v>
      </c>
      <c r="X27" s="81" t="s">
        <v>47</v>
      </c>
      <c r="Y27" s="192" t="s">
        <v>49</v>
      </c>
      <c r="Z27" s="195" t="s">
        <v>49</v>
      </c>
      <c r="AA27" s="193" t="s">
        <v>49</v>
      </c>
      <c r="AB27" s="58" t="s">
        <v>53</v>
      </c>
      <c r="AC27" s="58" t="s">
        <v>53</v>
      </c>
      <c r="AD27" s="81" t="s">
        <v>47</v>
      </c>
      <c r="AE27" s="81" t="s">
        <v>47</v>
      </c>
      <c r="AF27" s="191" t="s">
        <v>47</v>
      </c>
      <c r="AG27" s="25"/>
      <c r="AH27" s="47">
        <f t="shared" si="2"/>
        <v>0</v>
      </c>
      <c r="AI27" s="48">
        <f t="shared" si="3"/>
        <v>0</v>
      </c>
      <c r="AJ27" s="48">
        <f t="shared" si="4"/>
        <v>0</v>
      </c>
      <c r="AK27" s="49">
        <f t="shared" si="5"/>
        <v>0</v>
      </c>
      <c r="AL27" s="50">
        <f t="shared" si="6"/>
        <v>0</v>
      </c>
      <c r="AM27" s="51">
        <f t="shared" si="7"/>
        <v>17</v>
      </c>
      <c r="AN27" s="52">
        <f t="shared" si="8"/>
        <v>0</v>
      </c>
      <c r="AO27" s="52">
        <f t="shared" si="9"/>
        <v>3</v>
      </c>
      <c r="AP27" s="67"/>
      <c r="AQ27" s="67"/>
      <c r="AR27" s="67"/>
      <c r="AS27" s="67"/>
      <c r="AT27" s="67"/>
    </row>
    <row r="28" ht="18.75" customHeight="1">
      <c r="A28" s="186" t="s">
        <v>251</v>
      </c>
      <c r="B28" s="187" t="s">
        <v>128</v>
      </c>
      <c r="C28" s="62" t="s">
        <v>53</v>
      </c>
      <c r="D28" s="58" t="s">
        <v>53</v>
      </c>
      <c r="E28" s="191" t="s">
        <v>47</v>
      </c>
      <c r="F28" s="188" t="s">
        <v>47</v>
      </c>
      <c r="G28" s="81" t="s">
        <v>47</v>
      </c>
      <c r="H28" s="81" t="s">
        <v>47</v>
      </c>
      <c r="I28" s="81" t="s">
        <v>47</v>
      </c>
      <c r="J28" s="58" t="s">
        <v>53</v>
      </c>
      <c r="K28" s="58" t="s">
        <v>53</v>
      </c>
      <c r="L28" s="191" t="s">
        <v>47</v>
      </c>
      <c r="M28" s="188" t="s">
        <v>47</v>
      </c>
      <c r="N28" s="192" t="s">
        <v>49</v>
      </c>
      <c r="O28" s="81" t="s">
        <v>47</v>
      </c>
      <c r="P28" s="81" t="s">
        <v>47</v>
      </c>
      <c r="Q28" s="58" t="s">
        <v>53</v>
      </c>
      <c r="R28" s="58" t="s">
        <v>53</v>
      </c>
      <c r="S28" s="191" t="s">
        <v>47</v>
      </c>
      <c r="T28" s="188" t="s">
        <v>47</v>
      </c>
      <c r="U28" s="81" t="s">
        <v>47</v>
      </c>
      <c r="V28" s="81" t="s">
        <v>47</v>
      </c>
      <c r="W28" s="81" t="s">
        <v>47</v>
      </c>
      <c r="X28" s="58" t="s">
        <v>53</v>
      </c>
      <c r="Y28" s="58" t="s">
        <v>53</v>
      </c>
      <c r="Z28" s="191" t="s">
        <v>47</v>
      </c>
      <c r="AA28" s="190" t="s">
        <v>47</v>
      </c>
      <c r="AB28" s="192" t="s">
        <v>49</v>
      </c>
      <c r="AC28" s="81" t="s">
        <v>47</v>
      </c>
      <c r="AD28" s="81" t="s">
        <v>47</v>
      </c>
      <c r="AE28" s="58" t="s">
        <v>53</v>
      </c>
      <c r="AF28" s="59" t="s">
        <v>53</v>
      </c>
      <c r="AG28" s="25"/>
      <c r="AH28" s="47">
        <f t="shared" si="2"/>
        <v>0</v>
      </c>
      <c r="AI28" s="48">
        <f t="shared" si="3"/>
        <v>0</v>
      </c>
      <c r="AJ28" s="48">
        <f t="shared" si="4"/>
        <v>0</v>
      </c>
      <c r="AK28" s="49">
        <f t="shared" si="5"/>
        <v>0</v>
      </c>
      <c r="AL28" s="50">
        <f t="shared" si="6"/>
        <v>0</v>
      </c>
      <c r="AM28" s="51">
        <f t="shared" si="7"/>
        <v>18</v>
      </c>
      <c r="AN28" s="52">
        <f t="shared" si="8"/>
        <v>0</v>
      </c>
      <c r="AO28" s="52">
        <f t="shared" si="9"/>
        <v>2</v>
      </c>
      <c r="AP28" s="67"/>
      <c r="AQ28" s="67"/>
      <c r="AR28" s="67"/>
      <c r="AS28" s="67"/>
      <c r="AT28" s="67"/>
    </row>
    <row r="29" ht="18.75" customHeight="1">
      <c r="A29" s="186" t="s">
        <v>252</v>
      </c>
      <c r="B29" s="187" t="s">
        <v>131</v>
      </c>
      <c r="C29" s="188" t="s">
        <v>47</v>
      </c>
      <c r="D29" s="81" t="s">
        <v>47</v>
      </c>
      <c r="E29" s="191" t="s">
        <v>47</v>
      </c>
      <c r="F29" s="62" t="s">
        <v>53</v>
      </c>
      <c r="G29" s="58" t="s">
        <v>53</v>
      </c>
      <c r="H29" s="81" t="s">
        <v>47</v>
      </c>
      <c r="I29" s="81" t="s">
        <v>47</v>
      </c>
      <c r="J29" s="81" t="s">
        <v>47</v>
      </c>
      <c r="K29" s="81" t="s">
        <v>47</v>
      </c>
      <c r="L29" s="191" t="s">
        <v>47</v>
      </c>
      <c r="M29" s="62" t="s">
        <v>53</v>
      </c>
      <c r="N29" s="58" t="s">
        <v>53</v>
      </c>
      <c r="O29" s="192" t="s">
        <v>49</v>
      </c>
      <c r="P29" s="192" t="s">
        <v>49</v>
      </c>
      <c r="Q29" s="81" t="s">
        <v>47</v>
      </c>
      <c r="R29" s="81" t="s">
        <v>47</v>
      </c>
      <c r="S29" s="194" t="s">
        <v>47</v>
      </c>
      <c r="T29" s="62" t="s">
        <v>53</v>
      </c>
      <c r="U29" s="58" t="s">
        <v>53</v>
      </c>
      <c r="V29" s="81" t="s">
        <v>47</v>
      </c>
      <c r="W29" s="81" t="s">
        <v>47</v>
      </c>
      <c r="X29" s="81" t="s">
        <v>47</v>
      </c>
      <c r="Y29" s="81" t="s">
        <v>47</v>
      </c>
      <c r="Z29" s="194" t="s">
        <v>47</v>
      </c>
      <c r="AA29" s="62" t="s">
        <v>53</v>
      </c>
      <c r="AB29" s="58" t="s">
        <v>53</v>
      </c>
      <c r="AC29" s="81" t="s">
        <v>47</v>
      </c>
      <c r="AD29" s="81" t="s">
        <v>47</v>
      </c>
      <c r="AE29" s="81" t="s">
        <v>47</v>
      </c>
      <c r="AF29" s="191" t="s">
        <v>47</v>
      </c>
      <c r="AG29" s="25"/>
      <c r="AH29" s="47">
        <f t="shared" si="2"/>
        <v>0</v>
      </c>
      <c r="AI29" s="48">
        <f t="shared" si="3"/>
        <v>0</v>
      </c>
      <c r="AJ29" s="48">
        <f t="shared" si="4"/>
        <v>0</v>
      </c>
      <c r="AK29" s="49">
        <f t="shared" si="5"/>
        <v>0</v>
      </c>
      <c r="AL29" s="50">
        <f t="shared" si="6"/>
        <v>0</v>
      </c>
      <c r="AM29" s="51">
        <f t="shared" si="7"/>
        <v>18</v>
      </c>
      <c r="AN29" s="52">
        <f t="shared" si="8"/>
        <v>0</v>
      </c>
      <c r="AO29" s="52">
        <f t="shared" si="9"/>
        <v>2</v>
      </c>
      <c r="AP29" s="67"/>
      <c r="AQ29" s="67"/>
      <c r="AR29" s="67"/>
      <c r="AS29" s="67"/>
      <c r="AT29" s="67"/>
    </row>
    <row r="30" ht="18.75" customHeight="1">
      <c r="A30" s="186" t="s">
        <v>253</v>
      </c>
      <c r="B30" s="187" t="s">
        <v>134</v>
      </c>
      <c r="C30" s="193" t="s">
        <v>49</v>
      </c>
      <c r="D30" s="58" t="s">
        <v>53</v>
      </c>
      <c r="E30" s="59" t="s">
        <v>53</v>
      </c>
      <c r="F30" s="188" t="s">
        <v>47</v>
      </c>
      <c r="G30" s="188" t="s">
        <v>47</v>
      </c>
      <c r="H30" s="57" t="s">
        <v>48</v>
      </c>
      <c r="I30" s="57" t="s">
        <v>48</v>
      </c>
      <c r="J30" s="57" t="s">
        <v>48</v>
      </c>
      <c r="K30" s="58" t="s">
        <v>53</v>
      </c>
      <c r="L30" s="59" t="s">
        <v>53</v>
      </c>
      <c r="M30" s="81" t="s">
        <v>47</v>
      </c>
      <c r="N30" s="81" t="s">
        <v>47</v>
      </c>
      <c r="O30" s="81" t="s">
        <v>47</v>
      </c>
      <c r="P30" s="81" t="s">
        <v>47</v>
      </c>
      <c r="Q30" s="81" t="s">
        <v>47</v>
      </c>
      <c r="R30" s="58" t="s">
        <v>53</v>
      </c>
      <c r="S30" s="59" t="s">
        <v>53</v>
      </c>
      <c r="T30" s="188" t="s">
        <v>47</v>
      </c>
      <c r="U30" s="81" t="s">
        <v>47</v>
      </c>
      <c r="V30" s="81" t="s">
        <v>47</v>
      </c>
      <c r="W30" s="81" t="s">
        <v>47</v>
      </c>
      <c r="X30" s="81" t="s">
        <v>47</v>
      </c>
      <c r="Y30" s="58" t="s">
        <v>53</v>
      </c>
      <c r="Z30" s="59" t="s">
        <v>53</v>
      </c>
      <c r="AA30" s="188" t="s">
        <v>47</v>
      </c>
      <c r="AB30" s="81" t="s">
        <v>47</v>
      </c>
      <c r="AC30" s="81" t="s">
        <v>47</v>
      </c>
      <c r="AD30" s="192" t="s">
        <v>49</v>
      </c>
      <c r="AE30" s="192" t="s">
        <v>49</v>
      </c>
      <c r="AF30" s="59" t="s">
        <v>53</v>
      </c>
      <c r="AG30" s="25"/>
      <c r="AH30" s="47">
        <f t="shared" si="2"/>
        <v>0</v>
      </c>
      <c r="AI30" s="48">
        <f t="shared" si="3"/>
        <v>0</v>
      </c>
      <c r="AJ30" s="48">
        <f t="shared" si="4"/>
        <v>0</v>
      </c>
      <c r="AK30" s="49">
        <f t="shared" si="5"/>
        <v>0</v>
      </c>
      <c r="AL30" s="50">
        <f t="shared" si="6"/>
        <v>0</v>
      </c>
      <c r="AM30" s="51">
        <f t="shared" si="7"/>
        <v>15</v>
      </c>
      <c r="AN30" s="52">
        <f t="shared" si="8"/>
        <v>3</v>
      </c>
      <c r="AO30" s="52">
        <f t="shared" si="9"/>
        <v>2</v>
      </c>
      <c r="AP30" s="67"/>
      <c r="AQ30" s="67"/>
      <c r="AR30" s="67"/>
      <c r="AS30" s="67"/>
      <c r="AT30" s="67"/>
    </row>
    <row r="31" ht="18.75" customHeight="1">
      <c r="A31" s="186" t="s">
        <v>254</v>
      </c>
      <c r="B31" s="187" t="s">
        <v>137</v>
      </c>
      <c r="C31" s="188" t="s">
        <v>47</v>
      </c>
      <c r="D31" s="81" t="s">
        <v>47</v>
      </c>
      <c r="E31" s="191" t="s">
        <v>47</v>
      </c>
      <c r="F31" s="62" t="s">
        <v>53</v>
      </c>
      <c r="G31" s="58" t="s">
        <v>53</v>
      </c>
      <c r="H31" s="81" t="s">
        <v>47</v>
      </c>
      <c r="I31" s="81" t="s">
        <v>47</v>
      </c>
      <c r="J31" s="81" t="s">
        <v>47</v>
      </c>
      <c r="K31" s="81" t="s">
        <v>47</v>
      </c>
      <c r="L31" s="191" t="s">
        <v>47</v>
      </c>
      <c r="M31" s="62" t="s">
        <v>53</v>
      </c>
      <c r="N31" s="58" t="s">
        <v>53</v>
      </c>
      <c r="O31" s="192" t="s">
        <v>49</v>
      </c>
      <c r="P31" s="192" t="s">
        <v>49</v>
      </c>
      <c r="Q31" s="81" t="s">
        <v>47</v>
      </c>
      <c r="R31" s="81" t="s">
        <v>47</v>
      </c>
      <c r="S31" s="194" t="s">
        <v>47</v>
      </c>
      <c r="T31" s="62" t="s">
        <v>53</v>
      </c>
      <c r="U31" s="58" t="s">
        <v>53</v>
      </c>
      <c r="V31" s="81" t="s">
        <v>47</v>
      </c>
      <c r="W31" s="81" t="s">
        <v>47</v>
      </c>
      <c r="X31" s="81" t="s">
        <v>47</v>
      </c>
      <c r="Y31" s="81" t="s">
        <v>47</v>
      </c>
      <c r="Z31" s="194" t="s">
        <v>47</v>
      </c>
      <c r="AA31" s="62" t="s">
        <v>53</v>
      </c>
      <c r="AB31" s="58" t="s">
        <v>53</v>
      </c>
      <c r="AC31" s="81" t="s">
        <v>47</v>
      </c>
      <c r="AD31" s="81" t="s">
        <v>47</v>
      </c>
      <c r="AE31" s="81" t="s">
        <v>47</v>
      </c>
      <c r="AF31" s="191" t="s">
        <v>47</v>
      </c>
      <c r="AG31" s="25"/>
      <c r="AH31" s="47">
        <f t="shared" si="2"/>
        <v>0</v>
      </c>
      <c r="AI31" s="48">
        <f t="shared" si="3"/>
        <v>0</v>
      </c>
      <c r="AJ31" s="48">
        <f t="shared" si="4"/>
        <v>0</v>
      </c>
      <c r="AK31" s="49">
        <f t="shared" si="5"/>
        <v>0</v>
      </c>
      <c r="AL31" s="50">
        <f t="shared" si="6"/>
        <v>0</v>
      </c>
      <c r="AM31" s="51">
        <f t="shared" si="7"/>
        <v>18</v>
      </c>
      <c r="AN31" s="52">
        <f t="shared" si="8"/>
        <v>0</v>
      </c>
      <c r="AO31" s="52">
        <f t="shared" si="9"/>
        <v>2</v>
      </c>
      <c r="AP31" s="67"/>
      <c r="AQ31" s="67"/>
      <c r="AR31" s="67"/>
      <c r="AS31" s="67"/>
      <c r="AT31" s="67"/>
    </row>
    <row r="32" ht="18.75" customHeight="1">
      <c r="A32" s="186" t="s">
        <v>255</v>
      </c>
      <c r="B32" s="187" t="s">
        <v>140</v>
      </c>
      <c r="C32" s="188" t="s">
        <v>47</v>
      </c>
      <c r="D32" s="81" t="s">
        <v>47</v>
      </c>
      <c r="E32" s="191" t="s">
        <v>47</v>
      </c>
      <c r="F32" s="62" t="s">
        <v>53</v>
      </c>
      <c r="G32" s="58" t="s">
        <v>53</v>
      </c>
      <c r="H32" s="81" t="s">
        <v>47</v>
      </c>
      <c r="I32" s="81" t="s">
        <v>47</v>
      </c>
      <c r="J32" s="81" t="s">
        <v>47</v>
      </c>
      <c r="K32" s="81" t="s">
        <v>47</v>
      </c>
      <c r="L32" s="191" t="s">
        <v>47</v>
      </c>
      <c r="M32" s="62" t="s">
        <v>53</v>
      </c>
      <c r="N32" s="58" t="s">
        <v>53</v>
      </c>
      <c r="O32" s="81" t="s">
        <v>47</v>
      </c>
      <c r="P32" s="81" t="s">
        <v>47</v>
      </c>
      <c r="Q32" s="81" t="s">
        <v>47</v>
      </c>
      <c r="R32" s="81" t="s">
        <v>47</v>
      </c>
      <c r="S32" s="191" t="s">
        <v>47</v>
      </c>
      <c r="T32" s="62" t="s">
        <v>53</v>
      </c>
      <c r="U32" s="58" t="s">
        <v>53</v>
      </c>
      <c r="V32" s="81" t="s">
        <v>47</v>
      </c>
      <c r="W32" s="81" t="s">
        <v>47</v>
      </c>
      <c r="X32" s="81" t="s">
        <v>47</v>
      </c>
      <c r="Y32" s="81" t="s">
        <v>47</v>
      </c>
      <c r="Z32" s="191" t="s">
        <v>47</v>
      </c>
      <c r="AA32" s="62" t="s">
        <v>53</v>
      </c>
      <c r="AB32" s="58" t="s">
        <v>53</v>
      </c>
      <c r="AC32" s="81" t="s">
        <v>47</v>
      </c>
      <c r="AD32" s="81" t="s">
        <v>47</v>
      </c>
      <c r="AE32" s="81" t="s">
        <v>47</v>
      </c>
      <c r="AF32" s="191" t="s">
        <v>47</v>
      </c>
      <c r="AG32" s="25"/>
      <c r="AH32" s="47">
        <f t="shared" si="2"/>
        <v>0</v>
      </c>
      <c r="AI32" s="48">
        <f t="shared" si="3"/>
        <v>0</v>
      </c>
      <c r="AJ32" s="48">
        <f t="shared" si="4"/>
        <v>0</v>
      </c>
      <c r="AK32" s="49">
        <f t="shared" si="5"/>
        <v>0</v>
      </c>
      <c r="AL32" s="50">
        <f t="shared" si="6"/>
        <v>0</v>
      </c>
      <c r="AM32" s="51">
        <f t="shared" si="7"/>
        <v>20</v>
      </c>
      <c r="AN32" s="52">
        <f t="shared" si="8"/>
        <v>0</v>
      </c>
      <c r="AO32" s="52">
        <f t="shared" si="9"/>
        <v>0</v>
      </c>
      <c r="AP32" s="67"/>
      <c r="AQ32" s="67"/>
      <c r="AR32" s="67"/>
      <c r="AS32" s="67"/>
      <c r="AT32" s="67"/>
    </row>
    <row r="33" ht="18.75" customHeight="1">
      <c r="A33" s="186" t="s">
        <v>256</v>
      </c>
      <c r="B33" s="187" t="s">
        <v>143</v>
      </c>
      <c r="C33" s="193" t="s">
        <v>49</v>
      </c>
      <c r="D33" s="192" t="s">
        <v>49</v>
      </c>
      <c r="E33" s="195" t="s">
        <v>49</v>
      </c>
      <c r="F33" s="60" t="s">
        <v>48</v>
      </c>
      <c r="G33" s="58" t="s">
        <v>53</v>
      </c>
      <c r="H33" s="58" t="s">
        <v>53</v>
      </c>
      <c r="I33" s="57" t="s">
        <v>48</v>
      </c>
      <c r="J33" s="57" t="s">
        <v>48</v>
      </c>
      <c r="K33" s="57" t="s">
        <v>48</v>
      </c>
      <c r="L33" s="70" t="s">
        <v>48</v>
      </c>
      <c r="M33" s="60" t="s">
        <v>48</v>
      </c>
      <c r="N33" s="58" t="s">
        <v>53</v>
      </c>
      <c r="O33" s="58" t="s">
        <v>53</v>
      </c>
      <c r="P33" s="81" t="s">
        <v>47</v>
      </c>
      <c r="Q33" s="81" t="s">
        <v>47</v>
      </c>
      <c r="R33" s="81" t="s">
        <v>47</v>
      </c>
      <c r="S33" s="191" t="s">
        <v>47</v>
      </c>
      <c r="T33" s="188" t="s">
        <v>47</v>
      </c>
      <c r="U33" s="58" t="s">
        <v>53</v>
      </c>
      <c r="V33" s="58" t="s">
        <v>53</v>
      </c>
      <c r="W33" s="81" t="s">
        <v>47</v>
      </c>
      <c r="X33" s="81" t="s">
        <v>47</v>
      </c>
      <c r="Y33" s="81" t="s">
        <v>47</v>
      </c>
      <c r="Z33" s="191" t="s">
        <v>47</v>
      </c>
      <c r="AA33" s="188" t="s">
        <v>47</v>
      </c>
      <c r="AB33" s="58" t="s">
        <v>53</v>
      </c>
      <c r="AC33" s="58" t="s">
        <v>53</v>
      </c>
      <c r="AD33" s="81" t="s">
        <v>47</v>
      </c>
      <c r="AE33" s="81" t="s">
        <v>47</v>
      </c>
      <c r="AF33" s="191" t="s">
        <v>47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11</v>
      </c>
      <c r="AN33" s="52">
        <f t="shared" si="8"/>
        <v>6</v>
      </c>
      <c r="AO33" s="52">
        <f t="shared" si="9"/>
        <v>3</v>
      </c>
      <c r="AP33" s="67"/>
      <c r="AQ33" s="67"/>
      <c r="AR33" s="67"/>
      <c r="AS33" s="67"/>
      <c r="AT33" s="67"/>
    </row>
    <row r="34" ht="18.75" customHeight="1">
      <c r="A34" s="186" t="s">
        <v>257</v>
      </c>
      <c r="B34" s="187" t="s">
        <v>146</v>
      </c>
      <c r="C34" s="62" t="s">
        <v>53</v>
      </c>
      <c r="D34" s="81" t="s">
        <v>47</v>
      </c>
      <c r="E34" s="191" t="s">
        <v>47</v>
      </c>
      <c r="F34" s="188" t="s">
        <v>47</v>
      </c>
      <c r="G34" s="81" t="s">
        <v>47</v>
      </c>
      <c r="H34" s="81" t="s">
        <v>47</v>
      </c>
      <c r="I34" s="58" t="s">
        <v>53</v>
      </c>
      <c r="J34" s="58" t="s">
        <v>53</v>
      </c>
      <c r="K34" s="81" t="s">
        <v>47</v>
      </c>
      <c r="L34" s="191" t="s">
        <v>47</v>
      </c>
      <c r="M34" s="188" t="s">
        <v>47</v>
      </c>
      <c r="N34" s="81" t="s">
        <v>47</v>
      </c>
      <c r="O34" s="81" t="s">
        <v>47</v>
      </c>
      <c r="P34" s="58" t="s">
        <v>53</v>
      </c>
      <c r="Q34" s="58" t="s">
        <v>53</v>
      </c>
      <c r="R34" s="81" t="s">
        <v>47</v>
      </c>
      <c r="S34" s="191" t="s">
        <v>47</v>
      </c>
      <c r="T34" s="188" t="s">
        <v>47</v>
      </c>
      <c r="U34" s="81" t="s">
        <v>47</v>
      </c>
      <c r="V34" s="81" t="s">
        <v>47</v>
      </c>
      <c r="W34" s="58" t="s">
        <v>53</v>
      </c>
      <c r="X34" s="58" t="s">
        <v>53</v>
      </c>
      <c r="Y34" s="81" t="s">
        <v>47</v>
      </c>
      <c r="Z34" s="191" t="s">
        <v>47</v>
      </c>
      <c r="AA34" s="188" t="s">
        <v>47</v>
      </c>
      <c r="AB34" s="81" t="s">
        <v>47</v>
      </c>
      <c r="AC34" s="57" t="s">
        <v>48</v>
      </c>
      <c r="AD34" s="58" t="s">
        <v>53</v>
      </c>
      <c r="AE34" s="58" t="s">
        <v>53</v>
      </c>
      <c r="AF34" s="191" t="s">
        <v>47</v>
      </c>
      <c r="AG34" s="25" t="s">
        <v>148</v>
      </c>
      <c r="AH34" s="47">
        <f t="shared" si="2"/>
        <v>0</v>
      </c>
      <c r="AI34" s="48">
        <f t="shared" si="3"/>
        <v>0</v>
      </c>
      <c r="AJ34" s="48">
        <f t="shared" si="4"/>
        <v>0</v>
      </c>
      <c r="AK34" s="49">
        <f t="shared" si="5"/>
        <v>0</v>
      </c>
      <c r="AL34" s="50">
        <f t="shared" si="6"/>
        <v>0</v>
      </c>
      <c r="AM34" s="51">
        <f t="shared" si="7"/>
        <v>19</v>
      </c>
      <c r="AN34" s="52">
        <f t="shared" si="8"/>
        <v>1</v>
      </c>
      <c r="AO34" s="52">
        <f t="shared" si="9"/>
        <v>0</v>
      </c>
      <c r="AP34" s="67"/>
      <c r="AQ34" s="67"/>
      <c r="AR34" s="67"/>
      <c r="AS34" s="67"/>
      <c r="AT34" s="67"/>
    </row>
    <row r="35" ht="18.75" customHeight="1">
      <c r="A35" s="186" t="s">
        <v>258</v>
      </c>
      <c r="B35" s="187" t="s">
        <v>150</v>
      </c>
      <c r="C35" s="188" t="s">
        <v>47</v>
      </c>
      <c r="D35" s="81" t="s">
        <v>47</v>
      </c>
      <c r="E35" s="194" t="s">
        <v>47</v>
      </c>
      <c r="F35" s="190" t="s">
        <v>47</v>
      </c>
      <c r="G35" s="58" t="s">
        <v>53</v>
      </c>
      <c r="H35" s="58" t="s">
        <v>53</v>
      </c>
      <c r="I35" s="81" t="s">
        <v>47</v>
      </c>
      <c r="J35" s="81" t="s">
        <v>47</v>
      </c>
      <c r="K35" s="81" t="s">
        <v>47</v>
      </c>
      <c r="L35" s="191" t="s">
        <v>47</v>
      </c>
      <c r="M35" s="188" t="s">
        <v>47</v>
      </c>
      <c r="N35" s="58" t="s">
        <v>53</v>
      </c>
      <c r="O35" s="58" t="s">
        <v>53</v>
      </c>
      <c r="P35" s="81" t="s">
        <v>47</v>
      </c>
      <c r="Q35" s="81" t="s">
        <v>47</v>
      </c>
      <c r="R35" s="81" t="s">
        <v>47</v>
      </c>
      <c r="S35" s="191" t="s">
        <v>47</v>
      </c>
      <c r="T35" s="188" t="s">
        <v>47</v>
      </c>
      <c r="U35" s="58" t="s">
        <v>53</v>
      </c>
      <c r="V35" s="58" t="s">
        <v>53</v>
      </c>
      <c r="W35" s="81" t="s">
        <v>47</v>
      </c>
      <c r="X35" s="81" t="s">
        <v>47</v>
      </c>
      <c r="Y35" s="81" t="s">
        <v>47</v>
      </c>
      <c r="Z35" s="191" t="s">
        <v>47</v>
      </c>
      <c r="AA35" s="188" t="s">
        <v>47</v>
      </c>
      <c r="AB35" s="58" t="s">
        <v>53</v>
      </c>
      <c r="AC35" s="58" t="s">
        <v>53</v>
      </c>
      <c r="AD35" s="81" t="s">
        <v>47</v>
      </c>
      <c r="AE35" s="81" t="s">
        <v>47</v>
      </c>
      <c r="AF35" s="191" t="s">
        <v>47</v>
      </c>
      <c r="AG35" s="25"/>
      <c r="AH35" s="47">
        <f t="shared" si="2"/>
        <v>0</v>
      </c>
      <c r="AI35" s="48">
        <f t="shared" si="3"/>
        <v>0</v>
      </c>
      <c r="AJ35" s="48">
        <f t="shared" si="4"/>
        <v>0</v>
      </c>
      <c r="AK35" s="49">
        <f t="shared" si="5"/>
        <v>0</v>
      </c>
      <c r="AL35" s="50">
        <f t="shared" si="6"/>
        <v>0</v>
      </c>
      <c r="AM35" s="51">
        <f t="shared" si="7"/>
        <v>20</v>
      </c>
      <c r="AN35" s="52">
        <f t="shared" si="8"/>
        <v>0</v>
      </c>
      <c r="AO35" s="52">
        <f t="shared" si="9"/>
        <v>0</v>
      </c>
      <c r="AP35" s="67"/>
      <c r="AQ35" s="67"/>
      <c r="AR35" s="67"/>
      <c r="AS35" s="67"/>
      <c r="AT35" s="67"/>
    </row>
    <row r="36" ht="18.75" customHeight="1">
      <c r="A36" s="186" t="s">
        <v>259</v>
      </c>
      <c r="B36" s="187" t="s">
        <v>153</v>
      </c>
      <c r="C36" s="188" t="s">
        <v>47</v>
      </c>
      <c r="D36" s="81" t="s">
        <v>47</v>
      </c>
      <c r="E36" s="191" t="s">
        <v>47</v>
      </c>
      <c r="F36" s="188" t="s">
        <v>47</v>
      </c>
      <c r="G36" s="58" t="s">
        <v>53</v>
      </c>
      <c r="H36" s="58" t="s">
        <v>53</v>
      </c>
      <c r="I36" s="81" t="s">
        <v>47</v>
      </c>
      <c r="J36" s="81" t="s">
        <v>47</v>
      </c>
      <c r="K36" s="81" t="s">
        <v>47</v>
      </c>
      <c r="L36" s="191" t="s">
        <v>47</v>
      </c>
      <c r="M36" s="188" t="s">
        <v>47</v>
      </c>
      <c r="N36" s="58" t="s">
        <v>53</v>
      </c>
      <c r="O36" s="58" t="s">
        <v>53</v>
      </c>
      <c r="P36" s="81" t="s">
        <v>47</v>
      </c>
      <c r="Q36" s="81" t="s">
        <v>47</v>
      </c>
      <c r="R36" s="81" t="s">
        <v>47</v>
      </c>
      <c r="S36" s="191" t="s">
        <v>47</v>
      </c>
      <c r="T36" s="188" t="s">
        <v>47</v>
      </c>
      <c r="U36" s="58" t="s">
        <v>53</v>
      </c>
      <c r="V36" s="58" t="s">
        <v>53</v>
      </c>
      <c r="W36" s="81" t="s">
        <v>47</v>
      </c>
      <c r="X36" s="81" t="s">
        <v>47</v>
      </c>
      <c r="Y36" s="81" t="s">
        <v>47</v>
      </c>
      <c r="Z36" s="191" t="s">
        <v>47</v>
      </c>
      <c r="AA36" s="188" t="s">
        <v>47</v>
      </c>
      <c r="AB36" s="58" t="s">
        <v>53</v>
      </c>
      <c r="AC36" s="58" t="s">
        <v>53</v>
      </c>
      <c r="AD36" s="81" t="s">
        <v>47</v>
      </c>
      <c r="AE36" s="81" t="s">
        <v>47</v>
      </c>
      <c r="AF36" s="191" t="s">
        <v>47</v>
      </c>
      <c r="AG36" s="25"/>
      <c r="AH36" s="47">
        <f t="shared" si="2"/>
        <v>0</v>
      </c>
      <c r="AI36" s="48">
        <f t="shared" si="3"/>
        <v>0</v>
      </c>
      <c r="AJ36" s="48">
        <f t="shared" si="4"/>
        <v>0</v>
      </c>
      <c r="AK36" s="49">
        <f t="shared" si="5"/>
        <v>0</v>
      </c>
      <c r="AL36" s="50">
        <f t="shared" si="6"/>
        <v>0</v>
      </c>
      <c r="AM36" s="51">
        <f t="shared" si="7"/>
        <v>20</v>
      </c>
      <c r="AN36" s="52">
        <f t="shared" si="8"/>
        <v>0</v>
      </c>
      <c r="AO36" s="52">
        <f t="shared" si="9"/>
        <v>0</v>
      </c>
      <c r="AP36" s="67"/>
      <c r="AQ36" s="67"/>
      <c r="AR36" s="67"/>
      <c r="AS36" s="67"/>
      <c r="AT36" s="67"/>
    </row>
    <row r="37" ht="18.75" customHeight="1">
      <c r="A37" s="186" t="s">
        <v>260</v>
      </c>
      <c r="B37" s="187" t="s">
        <v>156</v>
      </c>
      <c r="C37" s="188" t="s">
        <v>47</v>
      </c>
      <c r="D37" s="81" t="s">
        <v>47</v>
      </c>
      <c r="E37" s="191" t="s">
        <v>47</v>
      </c>
      <c r="F37" s="62" t="s">
        <v>53</v>
      </c>
      <c r="G37" s="58" t="s">
        <v>53</v>
      </c>
      <c r="H37" s="81" t="s">
        <v>47</v>
      </c>
      <c r="I37" s="189" t="s">
        <v>47</v>
      </c>
      <c r="J37" s="189" t="s">
        <v>47</v>
      </c>
      <c r="K37" s="189" t="s">
        <v>47</v>
      </c>
      <c r="L37" s="194" t="s">
        <v>47</v>
      </c>
      <c r="M37" s="62" t="s">
        <v>53</v>
      </c>
      <c r="N37" s="58" t="s">
        <v>53</v>
      </c>
      <c r="O37" s="81" t="s">
        <v>47</v>
      </c>
      <c r="P37" s="81" t="s">
        <v>47</v>
      </c>
      <c r="Q37" s="81" t="s">
        <v>47</v>
      </c>
      <c r="R37" s="81" t="s">
        <v>47</v>
      </c>
      <c r="S37" s="194" t="s">
        <v>47</v>
      </c>
      <c r="T37" s="62" t="s">
        <v>53</v>
      </c>
      <c r="U37" s="58" t="s">
        <v>53</v>
      </c>
      <c r="V37" s="81" t="s">
        <v>47</v>
      </c>
      <c r="W37" s="81" t="s">
        <v>47</v>
      </c>
      <c r="X37" s="81" t="s">
        <v>47</v>
      </c>
      <c r="Y37" s="81" t="s">
        <v>47</v>
      </c>
      <c r="Z37" s="191" t="s">
        <v>47</v>
      </c>
      <c r="AA37" s="62" t="s">
        <v>53</v>
      </c>
      <c r="AB37" s="58" t="s">
        <v>53</v>
      </c>
      <c r="AC37" s="81" t="s">
        <v>47</v>
      </c>
      <c r="AD37" s="81" t="s">
        <v>47</v>
      </c>
      <c r="AE37" s="81" t="s">
        <v>47</v>
      </c>
      <c r="AF37" s="191" t="s">
        <v>47</v>
      </c>
      <c r="AG37" s="25"/>
      <c r="AH37" s="47">
        <f t="shared" si="2"/>
        <v>0</v>
      </c>
      <c r="AI37" s="48">
        <f t="shared" si="3"/>
        <v>0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20</v>
      </c>
      <c r="AN37" s="52">
        <f t="shared" si="8"/>
        <v>0</v>
      </c>
      <c r="AO37" s="52">
        <f t="shared" si="9"/>
        <v>0</v>
      </c>
      <c r="AP37" s="67"/>
      <c r="AQ37" s="67"/>
      <c r="AR37" s="67"/>
      <c r="AS37" s="67"/>
      <c r="AT37" s="67"/>
    </row>
    <row r="38" ht="18.75" customHeight="1">
      <c r="A38" s="186" t="s">
        <v>261</v>
      </c>
      <c r="B38" s="196" t="s">
        <v>159</v>
      </c>
      <c r="C38" s="188" t="s">
        <v>47</v>
      </c>
      <c r="D38" s="81" t="s">
        <v>47</v>
      </c>
      <c r="E38" s="191" t="s">
        <v>47</v>
      </c>
      <c r="F38" s="197" t="s">
        <v>47</v>
      </c>
      <c r="G38" s="192" t="s">
        <v>49</v>
      </c>
      <c r="H38" s="58" t="s">
        <v>53</v>
      </c>
      <c r="I38" s="58" t="s">
        <v>53</v>
      </c>
      <c r="J38" s="81" t="s">
        <v>47</v>
      </c>
      <c r="K38" s="81" t="s">
        <v>47</v>
      </c>
      <c r="L38" s="191" t="s">
        <v>47</v>
      </c>
      <c r="M38" s="188" t="s">
        <v>47</v>
      </c>
      <c r="N38" s="192" t="s">
        <v>49</v>
      </c>
      <c r="O38" s="58" t="s">
        <v>53</v>
      </c>
      <c r="P38" s="58" t="s">
        <v>53</v>
      </c>
      <c r="Q38" s="81" t="s">
        <v>47</v>
      </c>
      <c r="R38" s="81" t="s">
        <v>47</v>
      </c>
      <c r="S38" s="191" t="s">
        <v>47</v>
      </c>
      <c r="T38" s="188" t="s">
        <v>47</v>
      </c>
      <c r="U38" s="81" t="s">
        <v>47</v>
      </c>
      <c r="V38" s="58" t="s">
        <v>53</v>
      </c>
      <c r="W38" s="58" t="s">
        <v>53</v>
      </c>
      <c r="X38" s="81" t="s">
        <v>47</v>
      </c>
      <c r="Y38" s="81" t="s">
        <v>47</v>
      </c>
      <c r="Z38" s="70" t="s">
        <v>48</v>
      </c>
      <c r="AA38" s="60" t="s">
        <v>48</v>
      </c>
      <c r="AB38" s="57" t="s">
        <v>48</v>
      </c>
      <c r="AC38" s="58" t="s">
        <v>53</v>
      </c>
      <c r="AD38" s="58" t="s">
        <v>53</v>
      </c>
      <c r="AE38" s="81" t="s">
        <v>47</v>
      </c>
      <c r="AF38" s="191" t="s">
        <v>47</v>
      </c>
      <c r="AG38" s="25"/>
      <c r="AH38" s="47">
        <f t="shared" si="2"/>
        <v>0</v>
      </c>
      <c r="AI38" s="48">
        <f t="shared" si="3"/>
        <v>0</v>
      </c>
      <c r="AJ38" s="48">
        <f t="shared" si="4"/>
        <v>0</v>
      </c>
      <c r="AK38" s="49">
        <f t="shared" si="5"/>
        <v>0</v>
      </c>
      <c r="AL38" s="50">
        <f t="shared" si="6"/>
        <v>0</v>
      </c>
      <c r="AM38" s="51">
        <f t="shared" si="7"/>
        <v>15</v>
      </c>
      <c r="AN38" s="52">
        <f t="shared" si="8"/>
        <v>3</v>
      </c>
      <c r="AO38" s="52">
        <f t="shared" si="9"/>
        <v>2</v>
      </c>
      <c r="AP38" s="67"/>
      <c r="AQ38" s="67"/>
      <c r="AR38" s="67"/>
      <c r="AS38" s="67"/>
      <c r="AT38" s="67"/>
    </row>
    <row r="39" ht="18.75" customHeight="1">
      <c r="A39" s="186" t="s">
        <v>262</v>
      </c>
      <c r="B39" s="187" t="s">
        <v>162</v>
      </c>
      <c r="C39" s="188" t="s">
        <v>47</v>
      </c>
      <c r="D39" s="189" t="s">
        <v>47</v>
      </c>
      <c r="E39" s="191" t="s">
        <v>47</v>
      </c>
      <c r="F39" s="62" t="s">
        <v>53</v>
      </c>
      <c r="G39" s="58" t="s">
        <v>53</v>
      </c>
      <c r="H39" s="81" t="s">
        <v>47</v>
      </c>
      <c r="I39" s="81" t="s">
        <v>47</v>
      </c>
      <c r="J39" s="81" t="s">
        <v>47</v>
      </c>
      <c r="K39" s="81" t="s">
        <v>47</v>
      </c>
      <c r="L39" s="194" t="s">
        <v>47</v>
      </c>
      <c r="M39" s="62" t="s">
        <v>53</v>
      </c>
      <c r="N39" s="58" t="s">
        <v>53</v>
      </c>
      <c r="O39" s="195" t="s">
        <v>49</v>
      </c>
      <c r="P39" s="81" t="s">
        <v>47</v>
      </c>
      <c r="Q39" s="81" t="s">
        <v>47</v>
      </c>
      <c r="R39" s="81" t="s">
        <v>47</v>
      </c>
      <c r="S39" s="195" t="s">
        <v>49</v>
      </c>
      <c r="T39" s="62" t="s">
        <v>53</v>
      </c>
      <c r="U39" s="58" t="s">
        <v>53</v>
      </c>
      <c r="V39" s="192" t="s">
        <v>49</v>
      </c>
      <c r="W39" s="81" t="s">
        <v>47</v>
      </c>
      <c r="X39" s="81" t="s">
        <v>47</v>
      </c>
      <c r="Y39" s="81" t="s">
        <v>47</v>
      </c>
      <c r="Z39" s="194" t="s">
        <v>47</v>
      </c>
      <c r="AA39" s="62" t="s">
        <v>53</v>
      </c>
      <c r="AB39" s="58" t="s">
        <v>53</v>
      </c>
      <c r="AC39" s="57" t="s">
        <v>48</v>
      </c>
      <c r="AD39" s="81" t="s">
        <v>47</v>
      </c>
      <c r="AE39" s="81" t="s">
        <v>47</v>
      </c>
      <c r="AF39" s="191" t="s">
        <v>47</v>
      </c>
      <c r="AG39" s="25"/>
      <c r="AH39" s="47">
        <f t="shared" si="2"/>
        <v>0</v>
      </c>
      <c r="AI39" s="48">
        <f t="shared" si="3"/>
        <v>0</v>
      </c>
      <c r="AJ39" s="48">
        <f t="shared" si="4"/>
        <v>0</v>
      </c>
      <c r="AK39" s="49">
        <f t="shared" si="5"/>
        <v>0</v>
      </c>
      <c r="AL39" s="50">
        <f t="shared" si="6"/>
        <v>0</v>
      </c>
      <c r="AM39" s="51">
        <f t="shared" si="7"/>
        <v>16</v>
      </c>
      <c r="AN39" s="52">
        <f t="shared" si="8"/>
        <v>1</v>
      </c>
      <c r="AO39" s="52">
        <f t="shared" si="9"/>
        <v>3</v>
      </c>
      <c r="AP39" s="67"/>
      <c r="AQ39" s="67"/>
      <c r="AR39" s="67"/>
      <c r="AS39" s="67"/>
      <c r="AT39" s="67"/>
    </row>
    <row r="40" ht="18.75" customHeight="1">
      <c r="A40" s="186" t="s">
        <v>263</v>
      </c>
      <c r="B40" s="187" t="s">
        <v>165</v>
      </c>
      <c r="C40" s="188" t="s">
        <v>47</v>
      </c>
      <c r="D40" s="81" t="s">
        <v>47</v>
      </c>
      <c r="E40" s="191" t="s">
        <v>47</v>
      </c>
      <c r="F40" s="188" t="s">
        <v>47</v>
      </c>
      <c r="G40" s="81" t="s">
        <v>47</v>
      </c>
      <c r="H40" s="58" t="s">
        <v>53</v>
      </c>
      <c r="I40" s="58" t="s">
        <v>53</v>
      </c>
      <c r="J40" s="81" t="s">
        <v>47</v>
      </c>
      <c r="K40" s="81" t="s">
        <v>47</v>
      </c>
      <c r="L40" s="191" t="s">
        <v>47</v>
      </c>
      <c r="M40" s="188" t="s">
        <v>47</v>
      </c>
      <c r="N40" s="81" t="s">
        <v>47</v>
      </c>
      <c r="O40" s="58" t="s">
        <v>53</v>
      </c>
      <c r="P40" s="81" t="s">
        <v>47</v>
      </c>
      <c r="Q40" s="81" t="s">
        <v>47</v>
      </c>
      <c r="R40" s="81" t="s">
        <v>47</v>
      </c>
      <c r="S40" s="58" t="s">
        <v>53</v>
      </c>
      <c r="T40" s="188" t="s">
        <v>47</v>
      </c>
      <c r="U40" s="81" t="s">
        <v>47</v>
      </c>
      <c r="V40" s="58" t="s">
        <v>53</v>
      </c>
      <c r="W40" s="58" t="s">
        <v>53</v>
      </c>
      <c r="X40" s="81" t="s">
        <v>47</v>
      </c>
      <c r="Y40" s="81" t="s">
        <v>47</v>
      </c>
      <c r="Z40" s="191" t="s">
        <v>47</v>
      </c>
      <c r="AA40" s="188" t="s">
        <v>47</v>
      </c>
      <c r="AB40" s="81" t="s">
        <v>47</v>
      </c>
      <c r="AC40" s="58" t="s">
        <v>53</v>
      </c>
      <c r="AD40" s="58" t="s">
        <v>53</v>
      </c>
      <c r="AE40" s="81" t="s">
        <v>47</v>
      </c>
      <c r="AF40" s="191" t="s">
        <v>47</v>
      </c>
      <c r="AG40" s="25"/>
      <c r="AH40" s="47">
        <f t="shared" si="2"/>
        <v>0</v>
      </c>
      <c r="AI40" s="48">
        <f t="shared" si="3"/>
        <v>0</v>
      </c>
      <c r="AJ40" s="48">
        <f t="shared" si="4"/>
        <v>0</v>
      </c>
      <c r="AK40" s="49">
        <f t="shared" si="5"/>
        <v>0</v>
      </c>
      <c r="AL40" s="50">
        <f t="shared" si="6"/>
        <v>0</v>
      </c>
      <c r="AM40" s="51">
        <f t="shared" si="7"/>
        <v>20</v>
      </c>
      <c r="AN40" s="52">
        <f t="shared" si="8"/>
        <v>0</v>
      </c>
      <c r="AO40" s="52">
        <f t="shared" si="9"/>
        <v>0</v>
      </c>
      <c r="AP40" s="67"/>
      <c r="AQ40" s="67"/>
      <c r="AR40" s="67"/>
      <c r="AS40" s="67"/>
      <c r="AT40" s="67"/>
    </row>
    <row r="41" ht="18.75" customHeight="1">
      <c r="A41" s="186" t="s">
        <v>264</v>
      </c>
      <c r="B41" s="187" t="s">
        <v>168</v>
      </c>
      <c r="C41" s="62" t="s">
        <v>53</v>
      </c>
      <c r="D41" s="58" t="s">
        <v>53</v>
      </c>
      <c r="E41" s="191" t="s">
        <v>47</v>
      </c>
      <c r="F41" s="188" t="s">
        <v>47</v>
      </c>
      <c r="G41" s="81" t="s">
        <v>47</v>
      </c>
      <c r="H41" s="81" t="s">
        <v>47</v>
      </c>
      <c r="I41" s="81" t="s">
        <v>47</v>
      </c>
      <c r="J41" s="58" t="s">
        <v>53</v>
      </c>
      <c r="K41" s="58" t="s">
        <v>53</v>
      </c>
      <c r="L41" s="191" t="s">
        <v>47</v>
      </c>
      <c r="M41" s="188" t="s">
        <v>47</v>
      </c>
      <c r="N41" s="81" t="s">
        <v>47</v>
      </c>
      <c r="O41" s="81" t="s">
        <v>47</v>
      </c>
      <c r="P41" s="81" t="s">
        <v>47</v>
      </c>
      <c r="Q41" s="58" t="s">
        <v>53</v>
      </c>
      <c r="R41" s="58" t="s">
        <v>53</v>
      </c>
      <c r="S41" s="191" t="s">
        <v>47</v>
      </c>
      <c r="T41" s="188" t="s">
        <v>47</v>
      </c>
      <c r="U41" s="81" t="s">
        <v>47</v>
      </c>
      <c r="V41" s="81" t="s">
        <v>47</v>
      </c>
      <c r="W41" s="81" t="s">
        <v>47</v>
      </c>
      <c r="X41" s="58" t="s">
        <v>53</v>
      </c>
      <c r="Y41" s="58" t="s">
        <v>53</v>
      </c>
      <c r="Z41" s="191" t="s">
        <v>47</v>
      </c>
      <c r="AA41" s="188" t="s">
        <v>47</v>
      </c>
      <c r="AB41" s="81" t="s">
        <v>47</v>
      </c>
      <c r="AC41" s="81" t="s">
        <v>47</v>
      </c>
      <c r="AD41" s="81" t="s">
        <v>47</v>
      </c>
      <c r="AE41" s="58" t="s">
        <v>53</v>
      </c>
      <c r="AF41" s="59" t="s">
        <v>53</v>
      </c>
      <c r="AG41" s="25"/>
      <c r="AH41" s="47">
        <f t="shared" si="2"/>
        <v>0</v>
      </c>
      <c r="AI41" s="48">
        <f t="shared" si="3"/>
        <v>0</v>
      </c>
      <c r="AJ41" s="48">
        <f t="shared" si="4"/>
        <v>0</v>
      </c>
      <c r="AK41" s="49">
        <f t="shared" si="5"/>
        <v>0</v>
      </c>
      <c r="AL41" s="50">
        <f t="shared" si="6"/>
        <v>0</v>
      </c>
      <c r="AM41" s="51">
        <f t="shared" si="7"/>
        <v>20</v>
      </c>
      <c r="AN41" s="52">
        <f t="shared" si="8"/>
        <v>0</v>
      </c>
      <c r="AO41" s="52">
        <f t="shared" si="9"/>
        <v>0</v>
      </c>
      <c r="AP41" s="67"/>
      <c r="AQ41" s="67"/>
      <c r="AR41" s="67"/>
      <c r="AS41" s="67"/>
      <c r="AT41" s="67"/>
    </row>
    <row r="42" ht="18.75" customHeight="1">
      <c r="A42" s="186" t="s">
        <v>265</v>
      </c>
      <c r="B42" s="187" t="s">
        <v>171</v>
      </c>
      <c r="C42" s="62" t="s">
        <v>53</v>
      </c>
      <c r="D42" s="81" t="s">
        <v>47</v>
      </c>
      <c r="E42" s="198" t="s">
        <v>47</v>
      </c>
      <c r="F42" s="199" t="s">
        <v>47</v>
      </c>
      <c r="G42" s="200" t="s">
        <v>47</v>
      </c>
      <c r="H42" s="200" t="s">
        <v>47</v>
      </c>
      <c r="I42" s="58" t="s">
        <v>53</v>
      </c>
      <c r="J42" s="58" t="s">
        <v>53</v>
      </c>
      <c r="K42" s="81" t="s">
        <v>47</v>
      </c>
      <c r="L42" s="198" t="s">
        <v>47</v>
      </c>
      <c r="M42" s="199" t="s">
        <v>47</v>
      </c>
      <c r="N42" s="200" t="s">
        <v>47</v>
      </c>
      <c r="O42" s="200" t="s">
        <v>47</v>
      </c>
      <c r="P42" s="58" t="s">
        <v>53</v>
      </c>
      <c r="Q42" s="58" t="s">
        <v>53</v>
      </c>
      <c r="R42" s="81" t="s">
        <v>47</v>
      </c>
      <c r="S42" s="194" t="s">
        <v>47</v>
      </c>
      <c r="T42" s="199" t="s">
        <v>47</v>
      </c>
      <c r="U42" s="200" t="s">
        <v>47</v>
      </c>
      <c r="V42" s="200" t="s">
        <v>47</v>
      </c>
      <c r="W42" s="58" t="s">
        <v>53</v>
      </c>
      <c r="X42" s="58" t="s">
        <v>53</v>
      </c>
      <c r="Y42" s="81" t="s">
        <v>47</v>
      </c>
      <c r="Z42" s="198" t="s">
        <v>47</v>
      </c>
      <c r="AA42" s="199" t="s">
        <v>47</v>
      </c>
      <c r="AB42" s="81" t="s">
        <v>47</v>
      </c>
      <c r="AC42" s="81" t="s">
        <v>47</v>
      </c>
      <c r="AD42" s="58" t="s">
        <v>53</v>
      </c>
      <c r="AE42" s="58" t="s">
        <v>53</v>
      </c>
      <c r="AF42" s="191" t="s">
        <v>47</v>
      </c>
      <c r="AG42" s="25"/>
      <c r="AH42" s="47">
        <f t="shared" si="2"/>
        <v>0</v>
      </c>
      <c r="AI42" s="48">
        <f t="shared" si="3"/>
        <v>0</v>
      </c>
      <c r="AJ42" s="48">
        <f t="shared" si="4"/>
        <v>0</v>
      </c>
      <c r="AK42" s="49">
        <f t="shared" si="5"/>
        <v>0</v>
      </c>
      <c r="AL42" s="50">
        <f t="shared" si="6"/>
        <v>0</v>
      </c>
      <c r="AM42" s="51">
        <f t="shared" si="7"/>
        <v>20</v>
      </c>
      <c r="AN42" s="52">
        <f t="shared" si="8"/>
        <v>0</v>
      </c>
      <c r="AO42" s="52">
        <f t="shared" si="9"/>
        <v>0</v>
      </c>
      <c r="AP42" s="67"/>
      <c r="AQ42" s="67"/>
      <c r="AR42" s="67"/>
      <c r="AS42" s="67"/>
      <c r="AT42" s="67"/>
    </row>
    <row r="43" ht="18.75" customHeight="1">
      <c r="A43" s="186" t="s">
        <v>266</v>
      </c>
      <c r="B43" s="187" t="s">
        <v>174</v>
      </c>
      <c r="C43" s="62" t="s">
        <v>53</v>
      </c>
      <c r="D43" s="81" t="s">
        <v>47</v>
      </c>
      <c r="E43" s="191" t="s">
        <v>47</v>
      </c>
      <c r="F43" s="188" t="s">
        <v>47</v>
      </c>
      <c r="G43" s="81" t="s">
        <v>47</v>
      </c>
      <c r="H43" s="81" t="s">
        <v>47</v>
      </c>
      <c r="I43" s="58" t="s">
        <v>53</v>
      </c>
      <c r="J43" s="58" t="s">
        <v>53</v>
      </c>
      <c r="K43" s="81" t="s">
        <v>47</v>
      </c>
      <c r="L43" s="191" t="s">
        <v>47</v>
      </c>
      <c r="M43" s="188" t="s">
        <v>47</v>
      </c>
      <c r="N43" s="81" t="s">
        <v>47</v>
      </c>
      <c r="O43" s="81" t="s">
        <v>47</v>
      </c>
      <c r="P43" s="58" t="s">
        <v>53</v>
      </c>
      <c r="Q43" s="58" t="s">
        <v>53</v>
      </c>
      <c r="R43" s="81" t="s">
        <v>47</v>
      </c>
      <c r="S43" s="191" t="s">
        <v>47</v>
      </c>
      <c r="T43" s="188" t="s">
        <v>47</v>
      </c>
      <c r="U43" s="195" t="s">
        <v>49</v>
      </c>
      <c r="V43" s="195" t="s">
        <v>49</v>
      </c>
      <c r="W43" s="58" t="s">
        <v>53</v>
      </c>
      <c r="X43" s="58" t="s">
        <v>53</v>
      </c>
      <c r="Y43" s="189" t="s">
        <v>47</v>
      </c>
      <c r="Z43" s="191" t="s">
        <v>47</v>
      </c>
      <c r="AA43" s="188" t="s">
        <v>47</v>
      </c>
      <c r="AB43" s="81" t="s">
        <v>47</v>
      </c>
      <c r="AC43" s="81" t="s">
        <v>47</v>
      </c>
      <c r="AD43" s="58" t="s">
        <v>53</v>
      </c>
      <c r="AE43" s="58" t="s">
        <v>53</v>
      </c>
      <c r="AF43" s="191" t="s">
        <v>47</v>
      </c>
      <c r="AG43" s="25"/>
      <c r="AH43" s="47">
        <f t="shared" si="2"/>
        <v>0</v>
      </c>
      <c r="AI43" s="48">
        <f t="shared" si="3"/>
        <v>0</v>
      </c>
      <c r="AJ43" s="48">
        <f t="shared" si="4"/>
        <v>0</v>
      </c>
      <c r="AK43" s="49">
        <f t="shared" si="5"/>
        <v>0</v>
      </c>
      <c r="AL43" s="50">
        <f t="shared" si="6"/>
        <v>0</v>
      </c>
      <c r="AM43" s="51">
        <f t="shared" si="7"/>
        <v>18</v>
      </c>
      <c r="AN43" s="52">
        <f t="shared" si="8"/>
        <v>0</v>
      </c>
      <c r="AO43" s="52">
        <f t="shared" si="9"/>
        <v>2</v>
      </c>
      <c r="AP43" s="67"/>
      <c r="AQ43" s="67"/>
      <c r="AR43" s="67"/>
      <c r="AS43" s="67"/>
      <c r="AT43" s="67"/>
    </row>
    <row r="44" ht="18.75" customHeight="1">
      <c r="A44" s="186" t="s">
        <v>267</v>
      </c>
      <c r="B44" s="196" t="s">
        <v>177</v>
      </c>
      <c r="C44" s="188" t="s">
        <v>47</v>
      </c>
      <c r="D44" s="81" t="s">
        <v>47</v>
      </c>
      <c r="E44" s="191" t="s">
        <v>47</v>
      </c>
      <c r="F44" s="188" t="s">
        <v>47</v>
      </c>
      <c r="G44" s="81" t="s">
        <v>47</v>
      </c>
      <c r="H44" s="58" t="s">
        <v>53</v>
      </c>
      <c r="I44" s="58" t="s">
        <v>53</v>
      </c>
      <c r="J44" s="81" t="s">
        <v>47</v>
      </c>
      <c r="K44" s="81" t="s">
        <v>47</v>
      </c>
      <c r="L44" s="191" t="s">
        <v>47</v>
      </c>
      <c r="M44" s="193" t="s">
        <v>49</v>
      </c>
      <c r="N44" s="192" t="s">
        <v>49</v>
      </c>
      <c r="O44" s="58" t="s">
        <v>53</v>
      </c>
      <c r="P44" s="58" t="s">
        <v>53</v>
      </c>
      <c r="Q44" s="192" t="s">
        <v>49</v>
      </c>
      <c r="R44" s="57" t="s">
        <v>48</v>
      </c>
      <c r="S44" s="70" t="s">
        <v>48</v>
      </c>
      <c r="T44" s="60" t="s">
        <v>48</v>
      </c>
      <c r="U44" s="81" t="s">
        <v>47</v>
      </c>
      <c r="V44" s="58" t="s">
        <v>53</v>
      </c>
      <c r="W44" s="58" t="s">
        <v>53</v>
      </c>
      <c r="X44" s="189" t="s">
        <v>47</v>
      </c>
      <c r="Y44" s="189" t="s">
        <v>47</v>
      </c>
      <c r="Z44" s="70" t="s">
        <v>48</v>
      </c>
      <c r="AA44" s="60" t="s">
        <v>48</v>
      </c>
      <c r="AB44" s="57" t="s">
        <v>48</v>
      </c>
      <c r="AC44" s="58" t="s">
        <v>53</v>
      </c>
      <c r="AD44" s="58" t="s">
        <v>53</v>
      </c>
      <c r="AE44" s="81" t="s">
        <v>47</v>
      </c>
      <c r="AF44" s="191" t="s">
        <v>47</v>
      </c>
      <c r="AG44" s="25"/>
      <c r="AH44" s="47">
        <f t="shared" si="2"/>
        <v>0</v>
      </c>
      <c r="AI44" s="48">
        <f t="shared" si="3"/>
        <v>0</v>
      </c>
      <c r="AJ44" s="48">
        <f t="shared" si="4"/>
        <v>0</v>
      </c>
      <c r="AK44" s="49">
        <f t="shared" si="5"/>
        <v>0</v>
      </c>
      <c r="AL44" s="50">
        <f t="shared" si="6"/>
        <v>0</v>
      </c>
      <c r="AM44" s="51">
        <f t="shared" si="7"/>
        <v>11</v>
      </c>
      <c r="AN44" s="52">
        <f t="shared" si="8"/>
        <v>6</v>
      </c>
      <c r="AO44" s="52">
        <f t="shared" si="9"/>
        <v>3</v>
      </c>
      <c r="AP44" s="67"/>
      <c r="AQ44" s="67"/>
      <c r="AR44" s="67"/>
      <c r="AS44" s="67"/>
      <c r="AT44" s="67"/>
    </row>
    <row r="45" ht="18.75" customHeight="1">
      <c r="A45" s="201" t="s">
        <v>268</v>
      </c>
      <c r="B45" s="202" t="s">
        <v>180</v>
      </c>
      <c r="C45" s="62" t="s">
        <v>53</v>
      </c>
      <c r="D45" s="192" t="s">
        <v>49</v>
      </c>
      <c r="E45" s="195" t="s">
        <v>49</v>
      </c>
      <c r="F45" s="199" t="s">
        <v>47</v>
      </c>
      <c r="G45" s="200" t="s">
        <v>47</v>
      </c>
      <c r="H45" s="200" t="s">
        <v>47</v>
      </c>
      <c r="I45" s="58" t="s">
        <v>53</v>
      </c>
      <c r="J45" s="58" t="s">
        <v>53</v>
      </c>
      <c r="K45" s="81" t="s">
        <v>47</v>
      </c>
      <c r="L45" s="198" t="s">
        <v>47</v>
      </c>
      <c r="M45" s="188" t="s">
        <v>47</v>
      </c>
      <c r="N45" s="200" t="s">
        <v>47</v>
      </c>
      <c r="O45" s="200" t="s">
        <v>47</v>
      </c>
      <c r="P45" s="58" t="s">
        <v>53</v>
      </c>
      <c r="Q45" s="58" t="s">
        <v>53</v>
      </c>
      <c r="R45" s="81" t="s">
        <v>47</v>
      </c>
      <c r="S45" s="198" t="s">
        <v>47</v>
      </c>
      <c r="T45" s="199" t="s">
        <v>47</v>
      </c>
      <c r="U45" s="81" t="s">
        <v>47</v>
      </c>
      <c r="V45" s="81" t="s">
        <v>47</v>
      </c>
      <c r="W45" s="58" t="s">
        <v>53</v>
      </c>
      <c r="X45" s="58" t="s">
        <v>53</v>
      </c>
      <c r="Y45" s="189" t="s">
        <v>47</v>
      </c>
      <c r="Z45" s="191" t="s">
        <v>47</v>
      </c>
      <c r="AA45" s="188" t="s">
        <v>47</v>
      </c>
      <c r="AB45" s="200" t="s">
        <v>47</v>
      </c>
      <c r="AC45" s="81" t="s">
        <v>47</v>
      </c>
      <c r="AD45" s="58" t="s">
        <v>53</v>
      </c>
      <c r="AE45" s="58" t="s">
        <v>53</v>
      </c>
      <c r="AF45" s="195" t="s">
        <v>49</v>
      </c>
      <c r="AG45" s="112"/>
      <c r="AH45" s="113">
        <f t="shared" si="2"/>
        <v>0</v>
      </c>
      <c r="AI45" s="48">
        <f t="shared" si="3"/>
        <v>0</v>
      </c>
      <c r="AJ45" s="48">
        <f t="shared" si="4"/>
        <v>0</v>
      </c>
      <c r="AK45" s="49">
        <f t="shared" si="5"/>
        <v>0</v>
      </c>
      <c r="AL45" s="50">
        <f t="shared" si="6"/>
        <v>0</v>
      </c>
      <c r="AM45" s="51">
        <f t="shared" si="7"/>
        <v>18</v>
      </c>
      <c r="AN45" s="52">
        <f t="shared" si="8"/>
        <v>0</v>
      </c>
      <c r="AO45" s="52">
        <f t="shared" si="9"/>
        <v>2</v>
      </c>
      <c r="AP45" s="114"/>
      <c r="AQ45" s="114"/>
      <c r="AR45" s="114"/>
      <c r="AS45" s="114"/>
      <c r="AT45" s="114"/>
    </row>
    <row r="46" ht="18.75" customHeight="1">
      <c r="A46" s="201" t="s">
        <v>269</v>
      </c>
      <c r="B46" s="202" t="s">
        <v>270</v>
      </c>
      <c r="C46" s="203" t="s">
        <v>47</v>
      </c>
      <c r="D46" s="204" t="s">
        <v>47</v>
      </c>
      <c r="E46" s="205" t="s">
        <v>47</v>
      </c>
      <c r="F46" s="206" t="s">
        <v>47</v>
      </c>
      <c r="G46" s="207" t="s">
        <v>47</v>
      </c>
      <c r="H46" s="102" t="s">
        <v>53</v>
      </c>
      <c r="I46" s="102" t="s">
        <v>53</v>
      </c>
      <c r="J46" s="204" t="s">
        <v>47</v>
      </c>
      <c r="K46" s="204" t="s">
        <v>47</v>
      </c>
      <c r="L46" s="205" t="s">
        <v>47</v>
      </c>
      <c r="M46" s="206" t="s">
        <v>47</v>
      </c>
      <c r="N46" s="207" t="s">
        <v>47</v>
      </c>
      <c r="O46" s="102" t="s">
        <v>53</v>
      </c>
      <c r="P46" s="102" t="s">
        <v>53</v>
      </c>
      <c r="Q46" s="204" t="s">
        <v>47</v>
      </c>
      <c r="R46" s="204" t="s">
        <v>47</v>
      </c>
      <c r="S46" s="205" t="s">
        <v>47</v>
      </c>
      <c r="T46" s="206" t="s">
        <v>47</v>
      </c>
      <c r="U46" s="204" t="s">
        <v>47</v>
      </c>
      <c r="V46" s="102" t="s">
        <v>53</v>
      </c>
      <c r="W46" s="102" t="s">
        <v>53</v>
      </c>
      <c r="X46" s="208" t="s">
        <v>47</v>
      </c>
      <c r="Y46" s="208" t="s">
        <v>47</v>
      </c>
      <c r="Z46" s="209" t="s">
        <v>47</v>
      </c>
      <c r="AA46" s="203" t="s">
        <v>47</v>
      </c>
      <c r="AB46" s="57" t="s">
        <v>48</v>
      </c>
      <c r="AC46" s="102" t="s">
        <v>53</v>
      </c>
      <c r="AD46" s="102" t="s">
        <v>53</v>
      </c>
      <c r="AE46" s="204" t="s">
        <v>47</v>
      </c>
      <c r="AF46" s="209" t="s">
        <v>47</v>
      </c>
      <c r="AG46" s="112"/>
      <c r="AH46" s="47">
        <f t="shared" si="2"/>
        <v>0</v>
      </c>
      <c r="AI46" s="48">
        <f t="shared" si="3"/>
        <v>0</v>
      </c>
      <c r="AJ46" s="48">
        <f t="shared" si="4"/>
        <v>0</v>
      </c>
      <c r="AK46" s="49">
        <f t="shared" si="5"/>
        <v>0</v>
      </c>
      <c r="AL46" s="50">
        <f t="shared" si="6"/>
        <v>0</v>
      </c>
      <c r="AM46" s="51">
        <f t="shared" si="7"/>
        <v>19</v>
      </c>
      <c r="AN46" s="52">
        <f t="shared" si="8"/>
        <v>1</v>
      </c>
      <c r="AO46" s="52">
        <f t="shared" si="9"/>
        <v>0</v>
      </c>
      <c r="AP46" s="114"/>
      <c r="AQ46" s="114"/>
      <c r="AR46" s="114"/>
      <c r="AS46" s="114"/>
      <c r="AT46" s="114"/>
    </row>
    <row r="47" ht="12.75" customHeight="1">
      <c r="A47" s="210"/>
      <c r="B47" s="211"/>
      <c r="C47" s="212"/>
      <c r="D47" s="212"/>
      <c r="E47" s="213"/>
      <c r="F47" s="213"/>
      <c r="G47" s="212"/>
      <c r="H47" s="212"/>
      <c r="I47" s="212"/>
      <c r="J47" s="212"/>
      <c r="K47" s="212"/>
      <c r="L47" s="213"/>
      <c r="M47" s="213"/>
      <c r="N47" s="212"/>
      <c r="O47" s="212"/>
      <c r="P47" s="212"/>
      <c r="Q47" s="212"/>
      <c r="R47" s="212"/>
      <c r="S47" s="213"/>
      <c r="T47" s="213"/>
      <c r="U47" s="212"/>
      <c r="V47" s="214"/>
      <c r="W47" s="212"/>
      <c r="X47" s="212"/>
      <c r="Y47" s="212"/>
      <c r="Z47" s="213"/>
      <c r="AA47" s="213"/>
      <c r="AB47" s="212"/>
      <c r="AC47" s="212"/>
      <c r="AD47" s="212"/>
      <c r="AE47" s="212"/>
      <c r="AF47" s="212"/>
      <c r="AG47" s="214"/>
      <c r="AH47" s="215"/>
      <c r="AI47" s="215"/>
      <c r="AJ47" s="215"/>
      <c r="AK47" s="215"/>
      <c r="AL47" s="215"/>
      <c r="AM47" s="216"/>
      <c r="AN47" s="216"/>
      <c r="AO47" s="216"/>
      <c r="AP47" s="216"/>
      <c r="AQ47" s="216"/>
      <c r="AR47" s="216"/>
      <c r="AS47" s="216"/>
      <c r="AT47" s="216"/>
    </row>
    <row r="48" ht="22.5" customHeight="1">
      <c r="A48" s="217"/>
      <c r="B48" s="218" t="s">
        <v>271</v>
      </c>
      <c r="C48" s="121" t="s">
        <v>8</v>
      </c>
      <c r="D48" s="123" t="s">
        <v>9</v>
      </c>
      <c r="E48" s="124" t="s">
        <v>10</v>
      </c>
      <c r="F48" s="121" t="s">
        <v>11</v>
      </c>
      <c r="G48" s="123" t="s">
        <v>12</v>
      </c>
      <c r="H48" s="123" t="s">
        <v>13</v>
      </c>
      <c r="I48" s="123" t="s">
        <v>7</v>
      </c>
      <c r="J48" s="123" t="s">
        <v>8</v>
      </c>
      <c r="K48" s="123" t="s">
        <v>9</v>
      </c>
      <c r="L48" s="124" t="s">
        <v>10</v>
      </c>
      <c r="M48" s="121" t="s">
        <v>11</v>
      </c>
      <c r="N48" s="123" t="s">
        <v>12</v>
      </c>
      <c r="O48" s="123" t="s">
        <v>13</v>
      </c>
      <c r="P48" s="123" t="s">
        <v>7</v>
      </c>
      <c r="Q48" s="123" t="s">
        <v>8</v>
      </c>
      <c r="R48" s="123" t="s">
        <v>9</v>
      </c>
      <c r="S48" s="124" t="s">
        <v>10</v>
      </c>
      <c r="T48" s="121" t="s">
        <v>11</v>
      </c>
      <c r="U48" s="123" t="s">
        <v>12</v>
      </c>
      <c r="V48" s="123" t="s">
        <v>13</v>
      </c>
      <c r="W48" s="123" t="s">
        <v>7</v>
      </c>
      <c r="X48" s="123" t="s">
        <v>8</v>
      </c>
      <c r="Y48" s="123" t="s">
        <v>9</v>
      </c>
      <c r="Z48" s="124" t="s">
        <v>10</v>
      </c>
      <c r="AA48" s="121" t="s">
        <v>11</v>
      </c>
      <c r="AB48" s="123" t="s">
        <v>12</v>
      </c>
      <c r="AC48" s="123" t="s">
        <v>13</v>
      </c>
      <c r="AD48" s="123" t="s">
        <v>7</v>
      </c>
      <c r="AE48" s="123" t="s">
        <v>8</v>
      </c>
      <c r="AF48" s="124" t="s">
        <v>9</v>
      </c>
      <c r="AG48" s="182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17"/>
      <c r="B49" s="218" t="s">
        <v>272</v>
      </c>
      <c r="C49" s="130" t="s">
        <v>14</v>
      </c>
      <c r="D49" s="131" t="s">
        <v>15</v>
      </c>
      <c r="E49" s="133" t="s">
        <v>16</v>
      </c>
      <c r="F49" s="130" t="s">
        <v>226</v>
      </c>
      <c r="G49" s="131" t="s">
        <v>227</v>
      </c>
      <c r="H49" s="131" t="s">
        <v>17</v>
      </c>
      <c r="I49" s="131" t="s">
        <v>18</v>
      </c>
      <c r="J49" s="131" t="s">
        <v>19</v>
      </c>
      <c r="K49" s="131" t="s">
        <v>20</v>
      </c>
      <c r="L49" s="133" t="s">
        <v>21</v>
      </c>
      <c r="M49" s="130" t="s">
        <v>22</v>
      </c>
      <c r="N49" s="131" t="s">
        <v>23</v>
      </c>
      <c r="O49" s="131" t="s">
        <v>24</v>
      </c>
      <c r="P49" s="131" t="s">
        <v>25</v>
      </c>
      <c r="Q49" s="131" t="s">
        <v>26</v>
      </c>
      <c r="R49" s="131" t="s">
        <v>27</v>
      </c>
      <c r="S49" s="133" t="s">
        <v>28</v>
      </c>
      <c r="T49" s="130" t="s">
        <v>29</v>
      </c>
      <c r="U49" s="131" t="s">
        <v>30</v>
      </c>
      <c r="V49" s="131" t="s">
        <v>31</v>
      </c>
      <c r="W49" s="131" t="s">
        <v>32</v>
      </c>
      <c r="X49" s="131" t="s">
        <v>33</v>
      </c>
      <c r="Y49" s="131" t="s">
        <v>34</v>
      </c>
      <c r="Z49" s="133" t="s">
        <v>35</v>
      </c>
      <c r="AA49" s="130" t="s">
        <v>36</v>
      </c>
      <c r="AB49" s="131" t="s">
        <v>37</v>
      </c>
      <c r="AC49" s="131" t="s">
        <v>38</v>
      </c>
      <c r="AD49" s="131" t="s">
        <v>39</v>
      </c>
      <c r="AE49" s="131" t="s">
        <v>40</v>
      </c>
      <c r="AF49" s="133" t="s">
        <v>41</v>
      </c>
      <c r="AG49" s="182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17"/>
      <c r="B50" s="219" t="s">
        <v>47</v>
      </c>
      <c r="C50" s="220">
        <f t="shared" ref="C50:AF50" si="10">COUNTIF(C5:C45,"A2")</f>
        <v>26</v>
      </c>
      <c r="D50" s="221">
        <f t="shared" si="10"/>
        <v>26</v>
      </c>
      <c r="E50" s="222">
        <f t="shared" si="10"/>
        <v>25</v>
      </c>
      <c r="F50" s="220">
        <f t="shared" si="10"/>
        <v>26</v>
      </c>
      <c r="G50" s="221">
        <f t="shared" si="10"/>
        <v>25</v>
      </c>
      <c r="H50" s="221">
        <f t="shared" si="10"/>
        <v>27</v>
      </c>
      <c r="I50" s="221">
        <f t="shared" si="10"/>
        <v>25</v>
      </c>
      <c r="J50" s="221">
        <f t="shared" si="10"/>
        <v>26</v>
      </c>
      <c r="K50" s="221">
        <f t="shared" si="10"/>
        <v>26</v>
      </c>
      <c r="L50" s="222">
        <f t="shared" si="10"/>
        <v>25</v>
      </c>
      <c r="M50" s="220">
        <f t="shared" si="10"/>
        <v>26</v>
      </c>
      <c r="N50" s="221">
        <f t="shared" si="10"/>
        <v>25</v>
      </c>
      <c r="O50" s="221">
        <f t="shared" si="10"/>
        <v>27</v>
      </c>
      <c r="P50" s="221">
        <f t="shared" si="10"/>
        <v>26</v>
      </c>
      <c r="Q50" s="221">
        <f t="shared" si="10"/>
        <v>26</v>
      </c>
      <c r="R50" s="221">
        <f t="shared" si="10"/>
        <v>26</v>
      </c>
      <c r="S50" s="222">
        <f t="shared" si="10"/>
        <v>25</v>
      </c>
      <c r="T50" s="220">
        <f t="shared" si="10"/>
        <v>25</v>
      </c>
      <c r="U50" s="221">
        <f t="shared" si="10"/>
        <v>25</v>
      </c>
      <c r="V50" s="221">
        <f t="shared" si="10"/>
        <v>26</v>
      </c>
      <c r="W50" s="221">
        <f t="shared" si="10"/>
        <v>27</v>
      </c>
      <c r="X50" s="221">
        <f t="shared" si="10"/>
        <v>26</v>
      </c>
      <c r="Y50" s="221">
        <f t="shared" si="10"/>
        <v>26</v>
      </c>
      <c r="Z50" s="222">
        <f t="shared" si="10"/>
        <v>25</v>
      </c>
      <c r="AA50" s="220">
        <f t="shared" si="10"/>
        <v>25</v>
      </c>
      <c r="AB50" s="221">
        <f t="shared" si="10"/>
        <v>25</v>
      </c>
      <c r="AC50" s="221">
        <f t="shared" si="10"/>
        <v>25</v>
      </c>
      <c r="AD50" s="221">
        <f t="shared" si="10"/>
        <v>27</v>
      </c>
      <c r="AE50" s="221">
        <f t="shared" si="10"/>
        <v>26</v>
      </c>
      <c r="AF50" s="222">
        <f t="shared" si="10"/>
        <v>26</v>
      </c>
      <c r="AG50" s="182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17"/>
      <c r="B51" s="219" t="s">
        <v>46</v>
      </c>
      <c r="C51" s="139">
        <f t="shared" ref="C51:AF51" si="11">COUNTIF(C5:C45,"A8")</f>
        <v>0</v>
      </c>
      <c r="D51" s="140">
        <f t="shared" si="11"/>
        <v>0</v>
      </c>
      <c r="E51" s="141">
        <f t="shared" si="11"/>
        <v>0</v>
      </c>
      <c r="F51" s="139">
        <f t="shared" si="11"/>
        <v>0</v>
      </c>
      <c r="G51" s="140">
        <f t="shared" si="11"/>
        <v>0</v>
      </c>
      <c r="H51" s="140">
        <f t="shared" si="11"/>
        <v>0</v>
      </c>
      <c r="I51" s="140">
        <f t="shared" si="11"/>
        <v>0</v>
      </c>
      <c r="J51" s="140">
        <f t="shared" si="11"/>
        <v>0</v>
      </c>
      <c r="K51" s="140">
        <f t="shared" si="11"/>
        <v>0</v>
      </c>
      <c r="L51" s="141">
        <f t="shared" si="11"/>
        <v>0</v>
      </c>
      <c r="M51" s="139">
        <f t="shared" si="11"/>
        <v>0</v>
      </c>
      <c r="N51" s="140">
        <f t="shared" si="11"/>
        <v>0</v>
      </c>
      <c r="O51" s="140">
        <f t="shared" si="11"/>
        <v>0</v>
      </c>
      <c r="P51" s="140">
        <f t="shared" si="11"/>
        <v>0</v>
      </c>
      <c r="Q51" s="140">
        <f t="shared" si="11"/>
        <v>0</v>
      </c>
      <c r="R51" s="140">
        <f t="shared" si="11"/>
        <v>0</v>
      </c>
      <c r="S51" s="141">
        <f t="shared" si="11"/>
        <v>0</v>
      </c>
      <c r="T51" s="139">
        <f t="shared" si="11"/>
        <v>0</v>
      </c>
      <c r="U51" s="140">
        <f t="shared" si="11"/>
        <v>0</v>
      </c>
      <c r="V51" s="140">
        <f t="shared" si="11"/>
        <v>0</v>
      </c>
      <c r="W51" s="140">
        <f t="shared" si="11"/>
        <v>0</v>
      </c>
      <c r="X51" s="140">
        <f t="shared" si="11"/>
        <v>0</v>
      </c>
      <c r="Y51" s="140">
        <f t="shared" si="11"/>
        <v>0</v>
      </c>
      <c r="Z51" s="141">
        <f t="shared" si="11"/>
        <v>0</v>
      </c>
      <c r="AA51" s="139">
        <f t="shared" si="11"/>
        <v>0</v>
      </c>
      <c r="AB51" s="140">
        <f t="shared" si="11"/>
        <v>0</v>
      </c>
      <c r="AC51" s="140">
        <f t="shared" si="11"/>
        <v>0</v>
      </c>
      <c r="AD51" s="140">
        <f t="shared" si="11"/>
        <v>0</v>
      </c>
      <c r="AE51" s="140">
        <f t="shared" si="11"/>
        <v>0</v>
      </c>
      <c r="AF51" s="141">
        <f t="shared" si="11"/>
        <v>0</v>
      </c>
      <c r="AG51" s="182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17"/>
      <c r="B52" s="219" t="s">
        <v>45</v>
      </c>
      <c r="C52" s="142">
        <f t="shared" ref="C52:AF52" si="12">COUNTIF(C5:C45,"B5")</f>
        <v>0</v>
      </c>
      <c r="D52" s="143">
        <f t="shared" si="12"/>
        <v>0</v>
      </c>
      <c r="E52" s="144">
        <f t="shared" si="12"/>
        <v>0</v>
      </c>
      <c r="F52" s="142">
        <f t="shared" si="12"/>
        <v>0</v>
      </c>
      <c r="G52" s="143">
        <f t="shared" si="12"/>
        <v>0</v>
      </c>
      <c r="H52" s="143">
        <f t="shared" si="12"/>
        <v>0</v>
      </c>
      <c r="I52" s="143">
        <f t="shared" si="12"/>
        <v>0</v>
      </c>
      <c r="J52" s="143">
        <f t="shared" si="12"/>
        <v>0</v>
      </c>
      <c r="K52" s="143">
        <f t="shared" si="12"/>
        <v>0</v>
      </c>
      <c r="L52" s="144">
        <f t="shared" si="12"/>
        <v>0</v>
      </c>
      <c r="M52" s="142">
        <f t="shared" si="12"/>
        <v>0</v>
      </c>
      <c r="N52" s="143">
        <f t="shared" si="12"/>
        <v>0</v>
      </c>
      <c r="O52" s="143">
        <f t="shared" si="12"/>
        <v>0</v>
      </c>
      <c r="P52" s="143">
        <f t="shared" si="12"/>
        <v>0</v>
      </c>
      <c r="Q52" s="143">
        <f t="shared" si="12"/>
        <v>0</v>
      </c>
      <c r="R52" s="143">
        <f t="shared" si="12"/>
        <v>0</v>
      </c>
      <c r="S52" s="144">
        <f t="shared" si="12"/>
        <v>0</v>
      </c>
      <c r="T52" s="142">
        <f t="shared" si="12"/>
        <v>0</v>
      </c>
      <c r="U52" s="143">
        <f t="shared" si="12"/>
        <v>0</v>
      </c>
      <c r="V52" s="143">
        <f t="shared" si="12"/>
        <v>0</v>
      </c>
      <c r="W52" s="143">
        <f t="shared" si="12"/>
        <v>0</v>
      </c>
      <c r="X52" s="143">
        <f t="shared" si="12"/>
        <v>0</v>
      </c>
      <c r="Y52" s="143">
        <f t="shared" si="12"/>
        <v>0</v>
      </c>
      <c r="Z52" s="144">
        <f t="shared" si="12"/>
        <v>0</v>
      </c>
      <c r="AA52" s="142">
        <f t="shared" si="12"/>
        <v>0</v>
      </c>
      <c r="AB52" s="143">
        <f t="shared" si="12"/>
        <v>0</v>
      </c>
      <c r="AC52" s="143">
        <f t="shared" si="12"/>
        <v>0</v>
      </c>
      <c r="AD52" s="143">
        <f t="shared" si="12"/>
        <v>0</v>
      </c>
      <c r="AE52" s="143">
        <f t="shared" si="12"/>
        <v>0</v>
      </c>
      <c r="AF52" s="144">
        <f t="shared" si="12"/>
        <v>0</v>
      </c>
      <c r="AG52" s="182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17"/>
      <c r="B53" s="219" t="s">
        <v>44</v>
      </c>
      <c r="C53" s="139">
        <f t="shared" ref="C53:AF53" si="13">COUNTIF(C5:C45,"C6")</f>
        <v>0</v>
      </c>
      <c r="D53" s="140">
        <f t="shared" si="13"/>
        <v>0</v>
      </c>
      <c r="E53" s="141">
        <f t="shared" si="13"/>
        <v>0</v>
      </c>
      <c r="F53" s="139">
        <f t="shared" si="13"/>
        <v>0</v>
      </c>
      <c r="G53" s="140">
        <f t="shared" si="13"/>
        <v>0</v>
      </c>
      <c r="H53" s="140">
        <f t="shared" si="13"/>
        <v>0</v>
      </c>
      <c r="I53" s="140">
        <f t="shared" si="13"/>
        <v>0</v>
      </c>
      <c r="J53" s="140">
        <f t="shared" si="13"/>
        <v>0</v>
      </c>
      <c r="K53" s="140">
        <f t="shared" si="13"/>
        <v>0</v>
      </c>
      <c r="L53" s="141">
        <f t="shared" si="13"/>
        <v>0</v>
      </c>
      <c r="M53" s="139">
        <f t="shared" si="13"/>
        <v>0</v>
      </c>
      <c r="N53" s="140">
        <f t="shared" si="13"/>
        <v>0</v>
      </c>
      <c r="O53" s="140">
        <f t="shared" si="13"/>
        <v>0</v>
      </c>
      <c r="P53" s="140">
        <f t="shared" si="13"/>
        <v>0</v>
      </c>
      <c r="Q53" s="140">
        <f t="shared" si="13"/>
        <v>0</v>
      </c>
      <c r="R53" s="140">
        <f t="shared" si="13"/>
        <v>0</v>
      </c>
      <c r="S53" s="141">
        <f t="shared" si="13"/>
        <v>0</v>
      </c>
      <c r="T53" s="139">
        <f t="shared" si="13"/>
        <v>0</v>
      </c>
      <c r="U53" s="140">
        <f t="shared" si="13"/>
        <v>0</v>
      </c>
      <c r="V53" s="140">
        <f t="shared" si="13"/>
        <v>0</v>
      </c>
      <c r="W53" s="140">
        <f t="shared" si="13"/>
        <v>0</v>
      </c>
      <c r="X53" s="140">
        <f t="shared" si="13"/>
        <v>0</v>
      </c>
      <c r="Y53" s="140">
        <f t="shared" si="13"/>
        <v>0</v>
      </c>
      <c r="Z53" s="141">
        <f t="shared" si="13"/>
        <v>0</v>
      </c>
      <c r="AA53" s="139">
        <f t="shared" si="13"/>
        <v>0</v>
      </c>
      <c r="AB53" s="140">
        <f t="shared" si="13"/>
        <v>0</v>
      </c>
      <c r="AC53" s="140">
        <f t="shared" si="13"/>
        <v>0</v>
      </c>
      <c r="AD53" s="140">
        <f t="shared" si="13"/>
        <v>0</v>
      </c>
      <c r="AE53" s="140">
        <f t="shared" si="13"/>
        <v>0</v>
      </c>
      <c r="AF53" s="141">
        <f t="shared" si="13"/>
        <v>0</v>
      </c>
      <c r="AG53" s="182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17"/>
      <c r="B54" s="219" t="s">
        <v>43</v>
      </c>
      <c r="C54" s="139">
        <f t="shared" ref="C54:AF54" si="14">COUNTIF(C5:C45,"D5")</f>
        <v>0</v>
      </c>
      <c r="D54" s="140">
        <f t="shared" si="14"/>
        <v>0</v>
      </c>
      <c r="E54" s="141">
        <f t="shared" si="14"/>
        <v>0</v>
      </c>
      <c r="F54" s="139">
        <f t="shared" si="14"/>
        <v>0</v>
      </c>
      <c r="G54" s="140">
        <f t="shared" si="14"/>
        <v>0</v>
      </c>
      <c r="H54" s="140">
        <f t="shared" si="14"/>
        <v>0</v>
      </c>
      <c r="I54" s="140">
        <f t="shared" si="14"/>
        <v>0</v>
      </c>
      <c r="J54" s="140">
        <f t="shared" si="14"/>
        <v>0</v>
      </c>
      <c r="K54" s="140">
        <f t="shared" si="14"/>
        <v>0</v>
      </c>
      <c r="L54" s="141">
        <f t="shared" si="14"/>
        <v>0</v>
      </c>
      <c r="M54" s="139">
        <f t="shared" si="14"/>
        <v>0</v>
      </c>
      <c r="N54" s="140">
        <f t="shared" si="14"/>
        <v>0</v>
      </c>
      <c r="O54" s="140">
        <f t="shared" si="14"/>
        <v>0</v>
      </c>
      <c r="P54" s="140">
        <f t="shared" si="14"/>
        <v>0</v>
      </c>
      <c r="Q54" s="140">
        <f t="shared" si="14"/>
        <v>0</v>
      </c>
      <c r="R54" s="140">
        <f t="shared" si="14"/>
        <v>0</v>
      </c>
      <c r="S54" s="141">
        <f t="shared" si="14"/>
        <v>0</v>
      </c>
      <c r="T54" s="139">
        <f t="shared" si="14"/>
        <v>0</v>
      </c>
      <c r="U54" s="140">
        <f t="shared" si="14"/>
        <v>0</v>
      </c>
      <c r="V54" s="140">
        <f t="shared" si="14"/>
        <v>0</v>
      </c>
      <c r="W54" s="140">
        <f t="shared" si="14"/>
        <v>0</v>
      </c>
      <c r="X54" s="140">
        <f t="shared" si="14"/>
        <v>0</v>
      </c>
      <c r="Y54" s="140">
        <f t="shared" si="14"/>
        <v>0</v>
      </c>
      <c r="Z54" s="141">
        <f t="shared" si="14"/>
        <v>0</v>
      </c>
      <c r="AA54" s="139">
        <f t="shared" si="14"/>
        <v>0</v>
      </c>
      <c r="AB54" s="140">
        <f t="shared" si="14"/>
        <v>0</v>
      </c>
      <c r="AC54" s="140">
        <f t="shared" si="14"/>
        <v>0</v>
      </c>
      <c r="AD54" s="140">
        <f t="shared" si="14"/>
        <v>0</v>
      </c>
      <c r="AE54" s="140">
        <f t="shared" si="14"/>
        <v>0</v>
      </c>
      <c r="AF54" s="141">
        <f t="shared" si="14"/>
        <v>0</v>
      </c>
      <c r="AG54" s="182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17"/>
      <c r="B55" s="219" t="s">
        <v>53</v>
      </c>
      <c r="C55" s="139">
        <f t="shared" ref="C55:AF55" si="15">COUNTIF(C5:C45,"O")</f>
        <v>12</v>
      </c>
      <c r="D55" s="140">
        <f t="shared" si="15"/>
        <v>13</v>
      </c>
      <c r="E55" s="141">
        <f t="shared" si="15"/>
        <v>12</v>
      </c>
      <c r="F55" s="139">
        <f t="shared" si="15"/>
        <v>12</v>
      </c>
      <c r="G55" s="140">
        <f t="shared" si="15"/>
        <v>13</v>
      </c>
      <c r="H55" s="140">
        <f t="shared" si="15"/>
        <v>10</v>
      </c>
      <c r="I55" s="140">
        <f t="shared" si="15"/>
        <v>10</v>
      </c>
      <c r="J55" s="140">
        <f t="shared" si="15"/>
        <v>12</v>
      </c>
      <c r="K55" s="140">
        <f t="shared" si="15"/>
        <v>13</v>
      </c>
      <c r="L55" s="141">
        <f t="shared" si="15"/>
        <v>12</v>
      </c>
      <c r="M55" s="139">
        <f t="shared" si="15"/>
        <v>12</v>
      </c>
      <c r="N55" s="140">
        <f t="shared" si="15"/>
        <v>13</v>
      </c>
      <c r="O55" s="140">
        <f t="shared" si="15"/>
        <v>10</v>
      </c>
      <c r="P55" s="140">
        <f t="shared" si="15"/>
        <v>10</v>
      </c>
      <c r="Q55" s="140">
        <f t="shared" si="15"/>
        <v>12</v>
      </c>
      <c r="R55" s="140">
        <f t="shared" si="15"/>
        <v>13</v>
      </c>
      <c r="S55" s="141">
        <f t="shared" si="15"/>
        <v>12</v>
      </c>
      <c r="T55" s="139">
        <f t="shared" si="15"/>
        <v>12</v>
      </c>
      <c r="U55" s="140">
        <f t="shared" si="15"/>
        <v>13</v>
      </c>
      <c r="V55" s="140">
        <f t="shared" si="15"/>
        <v>10</v>
      </c>
      <c r="W55" s="140">
        <f t="shared" si="15"/>
        <v>10</v>
      </c>
      <c r="X55" s="140">
        <f t="shared" si="15"/>
        <v>12</v>
      </c>
      <c r="Y55" s="140">
        <f t="shared" si="15"/>
        <v>13</v>
      </c>
      <c r="Z55" s="141">
        <f t="shared" si="15"/>
        <v>12</v>
      </c>
      <c r="AA55" s="139">
        <f t="shared" si="15"/>
        <v>12</v>
      </c>
      <c r="AB55" s="140">
        <f t="shared" si="15"/>
        <v>13</v>
      </c>
      <c r="AC55" s="140">
        <f t="shared" si="15"/>
        <v>10</v>
      </c>
      <c r="AD55" s="140">
        <f t="shared" si="15"/>
        <v>10</v>
      </c>
      <c r="AE55" s="140">
        <f t="shared" si="15"/>
        <v>12</v>
      </c>
      <c r="AF55" s="141">
        <f t="shared" si="15"/>
        <v>13</v>
      </c>
      <c r="AG55" s="182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17"/>
      <c r="B56" s="219" t="s">
        <v>48</v>
      </c>
      <c r="C56" s="139">
        <f t="shared" ref="C56:AF56" si="16">COUNTIF(C5:C45,"AL")</f>
        <v>0</v>
      </c>
      <c r="D56" s="140">
        <f t="shared" si="16"/>
        <v>0</v>
      </c>
      <c r="E56" s="141">
        <f t="shared" si="16"/>
        <v>0</v>
      </c>
      <c r="F56" s="139">
        <f t="shared" si="16"/>
        <v>1</v>
      </c>
      <c r="G56" s="140">
        <f t="shared" si="16"/>
        <v>0</v>
      </c>
      <c r="H56" s="140">
        <f t="shared" si="16"/>
        <v>3</v>
      </c>
      <c r="I56" s="140">
        <f t="shared" si="16"/>
        <v>4</v>
      </c>
      <c r="J56" s="140">
        <f t="shared" si="16"/>
        <v>2</v>
      </c>
      <c r="K56" s="140">
        <f t="shared" si="16"/>
        <v>2</v>
      </c>
      <c r="L56" s="141">
        <f t="shared" si="16"/>
        <v>3</v>
      </c>
      <c r="M56" s="139">
        <f t="shared" si="16"/>
        <v>1</v>
      </c>
      <c r="N56" s="140">
        <f t="shared" si="16"/>
        <v>0</v>
      </c>
      <c r="O56" s="140">
        <f t="shared" si="16"/>
        <v>1</v>
      </c>
      <c r="P56" s="140">
        <f t="shared" si="16"/>
        <v>3</v>
      </c>
      <c r="Q56" s="140">
        <f t="shared" si="16"/>
        <v>2</v>
      </c>
      <c r="R56" s="140">
        <f t="shared" si="16"/>
        <v>2</v>
      </c>
      <c r="S56" s="141">
        <f t="shared" si="16"/>
        <v>2</v>
      </c>
      <c r="T56" s="139">
        <f t="shared" si="16"/>
        <v>2</v>
      </c>
      <c r="U56" s="140">
        <f t="shared" si="16"/>
        <v>1</v>
      </c>
      <c r="V56" s="140">
        <f t="shared" si="16"/>
        <v>1</v>
      </c>
      <c r="W56" s="140">
        <f t="shared" si="16"/>
        <v>4</v>
      </c>
      <c r="X56" s="140">
        <f t="shared" si="16"/>
        <v>3</v>
      </c>
      <c r="Y56" s="140">
        <f t="shared" si="16"/>
        <v>1</v>
      </c>
      <c r="Z56" s="141">
        <f t="shared" si="16"/>
        <v>2</v>
      </c>
      <c r="AA56" s="139">
        <f t="shared" si="16"/>
        <v>2</v>
      </c>
      <c r="AB56" s="140">
        <f t="shared" si="16"/>
        <v>2</v>
      </c>
      <c r="AC56" s="140">
        <f t="shared" si="16"/>
        <v>6</v>
      </c>
      <c r="AD56" s="140">
        <f t="shared" si="16"/>
        <v>2</v>
      </c>
      <c r="AE56" s="140">
        <f t="shared" si="16"/>
        <v>1</v>
      </c>
      <c r="AF56" s="141">
        <f t="shared" si="16"/>
        <v>1</v>
      </c>
      <c r="AG56" s="182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17"/>
      <c r="B57" s="219" t="s">
        <v>49</v>
      </c>
      <c r="C57" s="139">
        <f t="shared" ref="C57:AF57" si="17">COUNTIF(C5:C45,"PH")</f>
        <v>3</v>
      </c>
      <c r="D57" s="140">
        <f t="shared" si="17"/>
        <v>2</v>
      </c>
      <c r="E57" s="141">
        <f t="shared" si="17"/>
        <v>4</v>
      </c>
      <c r="F57" s="139">
        <f t="shared" si="17"/>
        <v>2</v>
      </c>
      <c r="G57" s="140">
        <f t="shared" si="17"/>
        <v>3</v>
      </c>
      <c r="H57" s="140">
        <f t="shared" si="17"/>
        <v>1</v>
      </c>
      <c r="I57" s="140">
        <f t="shared" si="17"/>
        <v>2</v>
      </c>
      <c r="J57" s="140">
        <f t="shared" si="17"/>
        <v>1</v>
      </c>
      <c r="K57" s="140">
        <f t="shared" si="17"/>
        <v>0</v>
      </c>
      <c r="L57" s="141">
        <f t="shared" si="17"/>
        <v>1</v>
      </c>
      <c r="M57" s="139">
        <f t="shared" si="17"/>
        <v>2</v>
      </c>
      <c r="N57" s="140">
        <f t="shared" si="17"/>
        <v>3</v>
      </c>
      <c r="O57" s="140">
        <f t="shared" si="17"/>
        <v>3</v>
      </c>
      <c r="P57" s="140">
        <f t="shared" si="17"/>
        <v>2</v>
      </c>
      <c r="Q57" s="140">
        <f t="shared" si="17"/>
        <v>1</v>
      </c>
      <c r="R57" s="140">
        <f t="shared" si="17"/>
        <v>0</v>
      </c>
      <c r="S57" s="141">
        <f t="shared" si="17"/>
        <v>2</v>
      </c>
      <c r="T57" s="139">
        <f t="shared" si="17"/>
        <v>2</v>
      </c>
      <c r="U57" s="140">
        <f t="shared" si="17"/>
        <v>2</v>
      </c>
      <c r="V57" s="140">
        <f t="shared" si="17"/>
        <v>4</v>
      </c>
      <c r="W57" s="140">
        <f t="shared" si="17"/>
        <v>0</v>
      </c>
      <c r="X57" s="140">
        <f t="shared" si="17"/>
        <v>0</v>
      </c>
      <c r="Y57" s="140">
        <f t="shared" si="17"/>
        <v>1</v>
      </c>
      <c r="Z57" s="141">
        <f t="shared" si="17"/>
        <v>2</v>
      </c>
      <c r="AA57" s="139">
        <f t="shared" si="17"/>
        <v>2</v>
      </c>
      <c r="AB57" s="140">
        <f t="shared" si="17"/>
        <v>1</v>
      </c>
      <c r="AC57" s="140">
        <f t="shared" si="17"/>
        <v>0</v>
      </c>
      <c r="AD57" s="140">
        <f t="shared" si="17"/>
        <v>2</v>
      </c>
      <c r="AE57" s="140">
        <f t="shared" si="17"/>
        <v>2</v>
      </c>
      <c r="AF57" s="141">
        <f t="shared" si="17"/>
        <v>1</v>
      </c>
      <c r="AG57" s="182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17"/>
      <c r="B58" s="223" t="s">
        <v>183</v>
      </c>
      <c r="C58" s="224">
        <f t="shared" ref="C58:AF58" si="18">SUM(C50:C54)</f>
        <v>26</v>
      </c>
      <c r="D58" s="225">
        <f t="shared" si="18"/>
        <v>26</v>
      </c>
      <c r="E58" s="226">
        <f t="shared" si="18"/>
        <v>25</v>
      </c>
      <c r="F58" s="227">
        <f t="shared" si="18"/>
        <v>26</v>
      </c>
      <c r="G58" s="228">
        <f t="shared" si="18"/>
        <v>25</v>
      </c>
      <c r="H58" s="228">
        <f t="shared" si="18"/>
        <v>27</v>
      </c>
      <c r="I58" s="228">
        <f t="shared" si="18"/>
        <v>25</v>
      </c>
      <c r="J58" s="225">
        <f t="shared" si="18"/>
        <v>26</v>
      </c>
      <c r="K58" s="225">
        <f t="shared" si="18"/>
        <v>26</v>
      </c>
      <c r="L58" s="226">
        <f t="shared" si="18"/>
        <v>25</v>
      </c>
      <c r="M58" s="227">
        <f t="shared" si="18"/>
        <v>26</v>
      </c>
      <c r="N58" s="228">
        <f t="shared" si="18"/>
        <v>25</v>
      </c>
      <c r="O58" s="228">
        <f t="shared" si="18"/>
        <v>27</v>
      </c>
      <c r="P58" s="228">
        <f t="shared" si="18"/>
        <v>26</v>
      </c>
      <c r="Q58" s="225">
        <f t="shared" si="18"/>
        <v>26</v>
      </c>
      <c r="R58" s="225">
        <f t="shared" si="18"/>
        <v>26</v>
      </c>
      <c r="S58" s="226">
        <f t="shared" si="18"/>
        <v>25</v>
      </c>
      <c r="T58" s="227">
        <f t="shared" si="18"/>
        <v>25</v>
      </c>
      <c r="U58" s="228">
        <f t="shared" si="18"/>
        <v>25</v>
      </c>
      <c r="V58" s="228">
        <f t="shared" si="18"/>
        <v>26</v>
      </c>
      <c r="W58" s="228">
        <f t="shared" si="18"/>
        <v>27</v>
      </c>
      <c r="X58" s="225">
        <f t="shared" si="18"/>
        <v>26</v>
      </c>
      <c r="Y58" s="225">
        <f t="shared" si="18"/>
        <v>26</v>
      </c>
      <c r="Z58" s="226">
        <f t="shared" si="18"/>
        <v>25</v>
      </c>
      <c r="AA58" s="227">
        <f t="shared" si="18"/>
        <v>25</v>
      </c>
      <c r="AB58" s="228">
        <f t="shared" si="18"/>
        <v>25</v>
      </c>
      <c r="AC58" s="228">
        <f t="shared" si="18"/>
        <v>25</v>
      </c>
      <c r="AD58" s="228">
        <f t="shared" si="18"/>
        <v>27</v>
      </c>
      <c r="AE58" s="225">
        <f t="shared" si="18"/>
        <v>26</v>
      </c>
      <c r="AF58" s="229">
        <f t="shared" si="18"/>
        <v>26</v>
      </c>
      <c r="AG58" s="182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210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210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210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210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210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210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210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210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210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210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210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210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210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210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210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210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210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210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210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210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210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210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210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210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210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210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210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210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210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210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210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210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210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210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210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210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210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210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210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210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210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210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210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210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210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210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210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210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210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210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210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210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210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210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210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210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210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210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210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210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210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210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210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210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210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210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210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210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210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210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210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210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210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210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210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210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210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210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210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210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210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210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210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210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210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210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210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210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210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210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210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210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210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210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210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210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210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210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210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210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210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210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210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210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210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210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210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210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210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210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210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210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210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210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210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210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210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210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210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210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210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210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210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210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210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210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210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210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210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210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210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210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210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210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210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210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210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210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210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210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210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210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210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210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210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210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210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210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210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210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210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210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210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210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210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210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210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210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210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210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210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210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210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210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210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210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210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210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210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210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210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210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210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210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210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210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210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210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210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210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210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210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210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210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210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210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210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210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210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210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210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210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210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210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210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210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210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210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210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210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S2:Z2"/>
  </mergeCells>
  <conditionalFormatting sqref="C5:N46 O5:O9 P5:AF46 O11:O46">
    <cfRule type="containsText" dxfId="0" priority="1" operator="containsText" text="PH">
      <formula>NOT(ISERROR(SEARCH(("PH"),(C5))))</formula>
    </cfRule>
  </conditionalFormatting>
  <conditionalFormatting sqref="C5:N46 O5:O9 P5:AF46 O11:O46">
    <cfRule type="containsText" dxfId="1" priority="2" operator="containsText" text="AL">
      <formula>NOT(ISERROR(SEARCH(("AL"),(C5))))</formula>
    </cfRule>
  </conditionalFormatting>
  <conditionalFormatting sqref="C5:N46 O5:O9 P5:AF46 O11:O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230" t="str">
        <f t="array" ref="A1:AF44">'ORIGIN MONTH 7'!A3:AF46</f>
        <v>E .NAME</v>
      </c>
      <c r="B1" s="231" t="s">
        <v>5</v>
      </c>
      <c r="C1" s="231" t="s">
        <v>8</v>
      </c>
      <c r="D1" s="231" t="s">
        <v>9</v>
      </c>
      <c r="E1" s="231" t="s">
        <v>10</v>
      </c>
      <c r="F1" s="231" t="s">
        <v>11</v>
      </c>
      <c r="G1" s="231" t="s">
        <v>12</v>
      </c>
      <c r="H1" s="231" t="s">
        <v>13</v>
      </c>
      <c r="I1" s="231" t="s">
        <v>7</v>
      </c>
      <c r="J1" s="231" t="s">
        <v>8</v>
      </c>
      <c r="K1" s="231" t="s">
        <v>9</v>
      </c>
      <c r="L1" s="231" t="s">
        <v>10</v>
      </c>
      <c r="M1" s="231" t="s">
        <v>11</v>
      </c>
      <c r="N1" s="231" t="s">
        <v>12</v>
      </c>
      <c r="O1" s="231" t="s">
        <v>13</v>
      </c>
      <c r="P1" s="231" t="s">
        <v>7</v>
      </c>
      <c r="Q1" s="231" t="s">
        <v>8</v>
      </c>
      <c r="R1" s="231" t="s">
        <v>9</v>
      </c>
      <c r="S1" s="231" t="s">
        <v>10</v>
      </c>
      <c r="T1" s="231" t="s">
        <v>11</v>
      </c>
      <c r="U1" s="231" t="s">
        <v>12</v>
      </c>
      <c r="V1" s="231" t="s">
        <v>13</v>
      </c>
      <c r="W1" s="231" t="s">
        <v>7</v>
      </c>
      <c r="X1" s="231" t="s">
        <v>8</v>
      </c>
      <c r="Y1" s="231" t="s">
        <v>9</v>
      </c>
      <c r="Z1" s="231" t="s">
        <v>10</v>
      </c>
      <c r="AA1" s="231" t="s">
        <v>11</v>
      </c>
      <c r="AB1" s="231" t="s">
        <v>12</v>
      </c>
      <c r="AC1" s="231" t="s">
        <v>13</v>
      </c>
      <c r="AD1" s="231" t="s">
        <v>7</v>
      </c>
      <c r="AE1" s="231" t="s">
        <v>8</v>
      </c>
      <c r="AF1" s="231" t="s">
        <v>9</v>
      </c>
      <c r="AG1" s="232"/>
      <c r="AH1" s="232"/>
    </row>
    <row r="2">
      <c r="A2" s="230"/>
      <c r="B2" s="231"/>
      <c r="C2" s="231" t="s">
        <v>14</v>
      </c>
      <c r="D2" s="231" t="s">
        <v>15</v>
      </c>
      <c r="E2" s="231" t="s">
        <v>16</v>
      </c>
      <c r="F2" s="231" t="s">
        <v>226</v>
      </c>
      <c r="G2" s="231" t="s">
        <v>227</v>
      </c>
      <c r="H2" s="231" t="s">
        <v>17</v>
      </c>
      <c r="I2" s="231" t="s">
        <v>18</v>
      </c>
      <c r="J2" s="231" t="s">
        <v>19</v>
      </c>
      <c r="K2" s="231" t="s">
        <v>20</v>
      </c>
      <c r="L2" s="231" t="s">
        <v>21</v>
      </c>
      <c r="M2" s="231" t="s">
        <v>22</v>
      </c>
      <c r="N2" s="231" t="s">
        <v>23</v>
      </c>
      <c r="O2" s="231" t="s">
        <v>24</v>
      </c>
      <c r="P2" s="231" t="s">
        <v>25</v>
      </c>
      <c r="Q2" s="231" t="s">
        <v>26</v>
      </c>
      <c r="R2" s="231" t="s">
        <v>27</v>
      </c>
      <c r="S2" s="231" t="s">
        <v>28</v>
      </c>
      <c r="T2" s="231" t="s">
        <v>29</v>
      </c>
      <c r="U2" s="231" t="s">
        <v>30</v>
      </c>
      <c r="V2" s="231" t="s">
        <v>31</v>
      </c>
      <c r="W2" s="231" t="s">
        <v>32</v>
      </c>
      <c r="X2" s="231" t="s">
        <v>33</v>
      </c>
      <c r="Y2" s="231" t="s">
        <v>34</v>
      </c>
      <c r="Z2" s="231" t="s">
        <v>35</v>
      </c>
      <c r="AA2" s="231" t="s">
        <v>36</v>
      </c>
      <c r="AB2" s="231" t="s">
        <v>37</v>
      </c>
      <c r="AC2" s="231" t="s">
        <v>38</v>
      </c>
      <c r="AD2" s="231" t="s">
        <v>39</v>
      </c>
      <c r="AE2" s="231" t="s">
        <v>40</v>
      </c>
      <c r="AF2" s="231" t="s">
        <v>41</v>
      </c>
      <c r="AG2" s="232"/>
      <c r="AH2" s="232"/>
    </row>
    <row r="3">
      <c r="A3" s="233" t="s">
        <v>228</v>
      </c>
      <c r="B3" s="231" t="s">
        <v>59</v>
      </c>
      <c r="C3" s="231" t="s">
        <v>47</v>
      </c>
      <c r="D3" s="231" t="s">
        <v>53</v>
      </c>
      <c r="E3" s="231" t="s">
        <v>53</v>
      </c>
      <c r="F3" s="231" t="s">
        <v>47</v>
      </c>
      <c r="G3" s="231" t="s">
        <v>47</v>
      </c>
      <c r="H3" s="231" t="s">
        <v>47</v>
      </c>
      <c r="I3" s="231" t="s">
        <v>47</v>
      </c>
      <c r="J3" s="231" t="s">
        <v>47</v>
      </c>
      <c r="K3" s="231" t="s">
        <v>53</v>
      </c>
      <c r="L3" s="231" t="s">
        <v>53</v>
      </c>
      <c r="M3" s="231" t="s">
        <v>47</v>
      </c>
      <c r="N3" s="231" t="s">
        <v>47</v>
      </c>
      <c r="O3" s="231" t="s">
        <v>47</v>
      </c>
      <c r="P3" s="231" t="s">
        <v>47</v>
      </c>
      <c r="Q3" s="231" t="s">
        <v>48</v>
      </c>
      <c r="R3" s="231" t="s">
        <v>53</v>
      </c>
      <c r="S3" s="231" t="s">
        <v>53</v>
      </c>
      <c r="T3" s="231" t="s">
        <v>47</v>
      </c>
      <c r="U3" s="231" t="s">
        <v>47</v>
      </c>
      <c r="V3" s="231" t="s">
        <v>48</v>
      </c>
      <c r="W3" s="231" t="s">
        <v>48</v>
      </c>
      <c r="X3" s="231" t="s">
        <v>48</v>
      </c>
      <c r="Y3" s="231" t="s">
        <v>53</v>
      </c>
      <c r="Z3" s="231" t="s">
        <v>53</v>
      </c>
      <c r="AA3" s="231" t="s">
        <v>47</v>
      </c>
      <c r="AB3" s="231" t="s">
        <v>47</v>
      </c>
      <c r="AC3" s="231" t="s">
        <v>47</v>
      </c>
      <c r="AD3" s="231" t="s">
        <v>47</v>
      </c>
      <c r="AE3" s="231" t="s">
        <v>47</v>
      </c>
      <c r="AF3" s="231" t="s">
        <v>53</v>
      </c>
      <c r="AG3" s="230"/>
      <c r="AH3" s="230"/>
    </row>
    <row r="4">
      <c r="A4" s="233" t="s">
        <v>229</v>
      </c>
      <c r="B4" s="231" t="s">
        <v>62</v>
      </c>
      <c r="C4" s="231" t="s">
        <v>47</v>
      </c>
      <c r="D4" s="231" t="s">
        <v>53</v>
      </c>
      <c r="E4" s="231" t="s">
        <v>53</v>
      </c>
      <c r="F4" s="231" t="s">
        <v>47</v>
      </c>
      <c r="G4" s="231" t="s">
        <v>47</v>
      </c>
      <c r="H4" s="231" t="s">
        <v>47</v>
      </c>
      <c r="I4" s="231" t="s">
        <v>47</v>
      </c>
      <c r="J4" s="230" t="s">
        <v>47</v>
      </c>
      <c r="K4" s="231" t="s">
        <v>53</v>
      </c>
      <c r="L4" s="231" t="s">
        <v>53</v>
      </c>
      <c r="M4" s="231" t="s">
        <v>47</v>
      </c>
      <c r="N4" s="231" t="s">
        <v>47</v>
      </c>
      <c r="O4" s="231" t="s">
        <v>47</v>
      </c>
      <c r="P4" s="231" t="s">
        <v>47</v>
      </c>
      <c r="Q4" s="231" t="s">
        <v>47</v>
      </c>
      <c r="R4" s="231" t="s">
        <v>53</v>
      </c>
      <c r="S4" s="231" t="s">
        <v>53</v>
      </c>
      <c r="T4" s="231" t="s">
        <v>47</v>
      </c>
      <c r="U4" s="231" t="s">
        <v>47</v>
      </c>
      <c r="V4" s="231" t="s">
        <v>47</v>
      </c>
      <c r="W4" s="231" t="s">
        <v>47</v>
      </c>
      <c r="X4" s="231" t="s">
        <v>47</v>
      </c>
      <c r="Y4" s="231" t="s">
        <v>53</v>
      </c>
      <c r="Z4" s="231" t="s">
        <v>53</v>
      </c>
      <c r="AA4" s="231" t="s">
        <v>47</v>
      </c>
      <c r="AB4" s="231" t="s">
        <v>47</v>
      </c>
      <c r="AC4" s="231" t="s">
        <v>47</v>
      </c>
      <c r="AD4" s="231" t="s">
        <v>47</v>
      </c>
      <c r="AE4" s="231" t="s">
        <v>47</v>
      </c>
      <c r="AF4" s="231" t="s">
        <v>53</v>
      </c>
      <c r="AG4" s="230"/>
      <c r="AH4" s="230"/>
    </row>
    <row r="5">
      <c r="A5" s="233" t="s">
        <v>230</v>
      </c>
      <c r="B5" s="231" t="s">
        <v>65</v>
      </c>
      <c r="C5" s="230" t="s">
        <v>47</v>
      </c>
      <c r="D5" s="230" t="s">
        <v>47</v>
      </c>
      <c r="E5" s="231" t="s">
        <v>53</v>
      </c>
      <c r="F5" s="231" t="s">
        <v>53</v>
      </c>
      <c r="G5" s="231" t="s">
        <v>47</v>
      </c>
      <c r="H5" s="231" t="s">
        <v>47</v>
      </c>
      <c r="I5" s="231" t="s">
        <v>47</v>
      </c>
      <c r="J5" s="231" t="s">
        <v>47</v>
      </c>
      <c r="K5" s="231" t="s">
        <v>47</v>
      </c>
      <c r="L5" s="231" t="s">
        <v>53</v>
      </c>
      <c r="M5" s="231" t="s">
        <v>53</v>
      </c>
      <c r="N5" s="231" t="s">
        <v>47</v>
      </c>
      <c r="O5" s="231" t="s">
        <v>47</v>
      </c>
      <c r="P5" s="231" t="s">
        <v>47</v>
      </c>
      <c r="Q5" s="231" t="s">
        <v>47</v>
      </c>
      <c r="R5" s="231" t="s">
        <v>47</v>
      </c>
      <c r="S5" s="231" t="s">
        <v>53</v>
      </c>
      <c r="T5" s="231" t="s">
        <v>53</v>
      </c>
      <c r="U5" s="231" t="s">
        <v>47</v>
      </c>
      <c r="V5" s="231" t="s">
        <v>47</v>
      </c>
      <c r="W5" s="231" t="s">
        <v>47</v>
      </c>
      <c r="X5" s="231" t="s">
        <v>47</v>
      </c>
      <c r="Y5" s="231" t="s">
        <v>47</v>
      </c>
      <c r="Z5" s="231" t="s">
        <v>53</v>
      </c>
      <c r="AA5" s="231" t="s">
        <v>53</v>
      </c>
      <c r="AB5" s="231" t="s">
        <v>47</v>
      </c>
      <c r="AC5" s="231" t="s">
        <v>47</v>
      </c>
      <c r="AD5" s="231" t="s">
        <v>47</v>
      </c>
      <c r="AE5" s="231" t="s">
        <v>47</v>
      </c>
      <c r="AF5" s="231" t="s">
        <v>47</v>
      </c>
      <c r="AG5" s="230"/>
      <c r="AH5" s="230"/>
    </row>
    <row r="6">
      <c r="A6" s="233" t="s">
        <v>231</v>
      </c>
      <c r="B6" s="231" t="s">
        <v>68</v>
      </c>
      <c r="C6" s="230" t="s">
        <v>47</v>
      </c>
      <c r="D6" s="230" t="s">
        <v>47</v>
      </c>
      <c r="E6" s="231" t="s">
        <v>53</v>
      </c>
      <c r="F6" s="231" t="s">
        <v>53</v>
      </c>
      <c r="G6" s="231" t="s">
        <v>47</v>
      </c>
      <c r="H6" s="230" t="s">
        <v>47</v>
      </c>
      <c r="I6" s="230" t="s">
        <v>47</v>
      </c>
      <c r="J6" s="231" t="s">
        <v>47</v>
      </c>
      <c r="K6" s="231" t="s">
        <v>47</v>
      </c>
      <c r="L6" s="231" t="s">
        <v>53</v>
      </c>
      <c r="M6" s="231" t="s">
        <v>53</v>
      </c>
      <c r="N6" s="231" t="s">
        <v>47</v>
      </c>
      <c r="O6" s="231" t="s">
        <v>47</v>
      </c>
      <c r="P6" s="231" t="s">
        <v>48</v>
      </c>
      <c r="Q6" s="231" t="s">
        <v>47</v>
      </c>
      <c r="R6" s="231" t="s">
        <v>48</v>
      </c>
      <c r="S6" s="231" t="s">
        <v>53</v>
      </c>
      <c r="T6" s="231" t="s">
        <v>53</v>
      </c>
      <c r="U6" s="231" t="s">
        <v>47</v>
      </c>
      <c r="V6" s="231" t="s">
        <v>47</v>
      </c>
      <c r="W6" s="231" t="s">
        <v>47</v>
      </c>
      <c r="X6" s="231" t="s">
        <v>47</v>
      </c>
      <c r="Y6" s="231" t="s">
        <v>47</v>
      </c>
      <c r="Z6" s="231" t="s">
        <v>53</v>
      </c>
      <c r="AA6" s="231" t="s">
        <v>53</v>
      </c>
      <c r="AB6" s="231" t="s">
        <v>47</v>
      </c>
      <c r="AC6" s="231" t="s">
        <v>47</v>
      </c>
      <c r="AD6" s="231" t="s">
        <v>47</v>
      </c>
      <c r="AE6" s="231" t="s">
        <v>47</v>
      </c>
      <c r="AF6" s="231" t="s">
        <v>47</v>
      </c>
      <c r="AG6" s="230"/>
      <c r="AH6" s="230"/>
    </row>
    <row r="7">
      <c r="A7" s="233" t="s">
        <v>232</v>
      </c>
      <c r="B7" s="231" t="s">
        <v>71</v>
      </c>
      <c r="C7" s="231" t="s">
        <v>47</v>
      </c>
      <c r="D7" s="231" t="s">
        <v>53</v>
      </c>
      <c r="E7" s="231" t="s">
        <v>53</v>
      </c>
      <c r="F7" s="231" t="s">
        <v>49</v>
      </c>
      <c r="G7" s="231" t="s">
        <v>49</v>
      </c>
      <c r="H7" s="231" t="s">
        <v>48</v>
      </c>
      <c r="I7" s="231" t="s">
        <v>47</v>
      </c>
      <c r="J7" s="230" t="s">
        <v>47</v>
      </c>
      <c r="K7" s="231" t="s">
        <v>53</v>
      </c>
      <c r="L7" s="231" t="s">
        <v>53</v>
      </c>
      <c r="M7" s="231" t="s">
        <v>47</v>
      </c>
      <c r="N7" s="231" t="s">
        <v>47</v>
      </c>
      <c r="O7" s="231" t="s">
        <v>48</v>
      </c>
      <c r="P7" s="231" t="s">
        <v>47</v>
      </c>
      <c r="Q7" s="231" t="s">
        <v>47</v>
      </c>
      <c r="R7" s="231" t="s">
        <v>53</v>
      </c>
      <c r="S7" s="231" t="s">
        <v>53</v>
      </c>
      <c r="T7" s="231" t="s">
        <v>47</v>
      </c>
      <c r="U7" s="231" t="s">
        <v>47</v>
      </c>
      <c r="V7" s="231" t="s">
        <v>47</v>
      </c>
      <c r="W7" s="231" t="s">
        <v>47</v>
      </c>
      <c r="X7" s="231" t="s">
        <v>47</v>
      </c>
      <c r="Y7" s="231" t="s">
        <v>53</v>
      </c>
      <c r="Z7" s="231" t="s">
        <v>53</v>
      </c>
      <c r="AA7" s="231" t="s">
        <v>47</v>
      </c>
      <c r="AB7" s="231" t="s">
        <v>47</v>
      </c>
      <c r="AC7" s="231" t="s">
        <v>48</v>
      </c>
      <c r="AD7" s="231" t="s">
        <v>47</v>
      </c>
      <c r="AE7" s="230" t="s">
        <v>47</v>
      </c>
      <c r="AF7" s="231" t="s">
        <v>53</v>
      </c>
      <c r="AG7" s="230"/>
      <c r="AH7" s="230"/>
    </row>
    <row r="8">
      <c r="A8" s="233" t="s">
        <v>233</v>
      </c>
      <c r="B8" s="231" t="s">
        <v>74</v>
      </c>
      <c r="C8" s="231" t="s">
        <v>47</v>
      </c>
      <c r="D8" s="231" t="s">
        <v>47</v>
      </c>
      <c r="E8" s="231" t="s">
        <v>53</v>
      </c>
      <c r="F8" s="231" t="s">
        <v>53</v>
      </c>
      <c r="G8" s="231" t="s">
        <v>49</v>
      </c>
      <c r="H8" s="231" t="s">
        <v>47</v>
      </c>
      <c r="I8" s="231" t="s">
        <v>47</v>
      </c>
      <c r="J8" s="231" t="s">
        <v>47</v>
      </c>
      <c r="K8" s="231" t="s">
        <v>47</v>
      </c>
      <c r="L8" s="231" t="s">
        <v>53</v>
      </c>
      <c r="M8" s="231" t="s">
        <v>53</v>
      </c>
      <c r="N8" s="231" t="s">
        <v>47</v>
      </c>
      <c r="O8" s="231" t="s">
        <v>47</v>
      </c>
      <c r="P8" s="231" t="s">
        <v>47</v>
      </c>
      <c r="Q8" s="231" t="s">
        <v>47</v>
      </c>
      <c r="R8" s="231" t="s">
        <v>47</v>
      </c>
      <c r="S8" s="231" t="s">
        <v>53</v>
      </c>
      <c r="T8" s="231" t="s">
        <v>53</v>
      </c>
      <c r="U8" s="231" t="s">
        <v>47</v>
      </c>
      <c r="V8" s="231" t="s">
        <v>47</v>
      </c>
      <c r="W8" s="231" t="s">
        <v>47</v>
      </c>
      <c r="X8" s="231" t="s">
        <v>47</v>
      </c>
      <c r="Y8" s="231" t="s">
        <v>47</v>
      </c>
      <c r="Z8" s="231" t="s">
        <v>53</v>
      </c>
      <c r="AA8" s="231" t="s">
        <v>53</v>
      </c>
      <c r="AB8" s="231" t="s">
        <v>47</v>
      </c>
      <c r="AC8" s="231" t="s">
        <v>47</v>
      </c>
      <c r="AD8" s="231" t="s">
        <v>47</v>
      </c>
      <c r="AE8" s="231" t="s">
        <v>47</v>
      </c>
      <c r="AF8" s="231" t="s">
        <v>47</v>
      </c>
      <c r="AG8" s="230"/>
      <c r="AH8" s="230"/>
    </row>
    <row r="9">
      <c r="A9" s="233" t="s">
        <v>234</v>
      </c>
      <c r="B9" s="231" t="s">
        <v>77</v>
      </c>
      <c r="C9" s="231" t="s">
        <v>49</v>
      </c>
      <c r="D9" s="231" t="s">
        <v>53</v>
      </c>
      <c r="E9" s="231" t="s">
        <v>53</v>
      </c>
      <c r="F9" s="231" t="s">
        <v>47</v>
      </c>
      <c r="G9" s="231" t="s">
        <v>47</v>
      </c>
      <c r="H9" s="231" t="s">
        <v>47</v>
      </c>
      <c r="I9" s="231" t="s">
        <v>49</v>
      </c>
      <c r="J9" s="231" t="s">
        <v>49</v>
      </c>
      <c r="K9" s="231" t="s">
        <v>53</v>
      </c>
      <c r="L9" s="231" t="s">
        <v>53</v>
      </c>
      <c r="M9" s="231" t="s">
        <v>47</v>
      </c>
      <c r="N9" s="231" t="s">
        <v>47</v>
      </c>
      <c r="O9" s="231" t="s">
        <v>47</v>
      </c>
      <c r="P9" s="231" t="s">
        <v>47</v>
      </c>
      <c r="Q9" s="231" t="s">
        <v>48</v>
      </c>
      <c r="R9" s="231" t="s">
        <v>53</v>
      </c>
      <c r="S9" s="231" t="s">
        <v>53</v>
      </c>
      <c r="T9" s="231" t="s">
        <v>47</v>
      </c>
      <c r="U9" s="231" t="s">
        <v>47</v>
      </c>
      <c r="V9" s="231" t="s">
        <v>47</v>
      </c>
      <c r="W9" s="231" t="s">
        <v>47</v>
      </c>
      <c r="X9" s="231" t="s">
        <v>47</v>
      </c>
      <c r="Y9" s="231" t="s">
        <v>53</v>
      </c>
      <c r="Z9" s="231" t="s">
        <v>53</v>
      </c>
      <c r="AA9" s="231" t="s">
        <v>47</v>
      </c>
      <c r="AB9" s="231" t="s">
        <v>47</v>
      </c>
      <c r="AC9" s="231" t="s">
        <v>48</v>
      </c>
      <c r="AD9" s="231" t="s">
        <v>47</v>
      </c>
      <c r="AE9" s="231" t="s">
        <v>47</v>
      </c>
      <c r="AF9" s="231" t="s">
        <v>53</v>
      </c>
      <c r="AG9" s="230"/>
      <c r="AH9" s="230"/>
    </row>
    <row r="10">
      <c r="A10" s="233" t="s">
        <v>235</v>
      </c>
      <c r="B10" s="231" t="s">
        <v>80</v>
      </c>
      <c r="C10" s="231" t="s">
        <v>47</v>
      </c>
      <c r="D10" s="231" t="s">
        <v>47</v>
      </c>
      <c r="E10" s="231" t="s">
        <v>53</v>
      </c>
      <c r="F10" s="231" t="s">
        <v>53</v>
      </c>
      <c r="G10" s="231" t="s">
        <v>47</v>
      </c>
      <c r="H10" s="231" t="s">
        <v>47</v>
      </c>
      <c r="I10" s="231" t="s">
        <v>47</v>
      </c>
      <c r="J10" s="230" t="s">
        <v>47</v>
      </c>
      <c r="K10" s="230" t="s">
        <v>47</v>
      </c>
      <c r="L10" s="231" t="s">
        <v>53</v>
      </c>
      <c r="M10" s="231" t="s">
        <v>53</v>
      </c>
      <c r="N10" s="231" t="s">
        <v>47</v>
      </c>
      <c r="O10" s="231" t="s">
        <v>47</v>
      </c>
      <c r="P10" s="231" t="s">
        <v>53</v>
      </c>
      <c r="Q10" s="231" t="s">
        <v>47</v>
      </c>
      <c r="R10" s="231" t="s">
        <v>47</v>
      </c>
      <c r="S10" s="231" t="s">
        <v>47</v>
      </c>
      <c r="T10" s="231" t="s">
        <v>53</v>
      </c>
      <c r="U10" s="231" t="s">
        <v>47</v>
      </c>
      <c r="V10" s="231" t="s">
        <v>47</v>
      </c>
      <c r="W10" s="231" t="s">
        <v>47</v>
      </c>
      <c r="X10" s="231" t="s">
        <v>47</v>
      </c>
      <c r="Y10" s="231" t="s">
        <v>47</v>
      </c>
      <c r="Z10" s="231" t="s">
        <v>53</v>
      </c>
      <c r="AA10" s="231" t="s">
        <v>53</v>
      </c>
      <c r="AB10" s="231" t="s">
        <v>47</v>
      </c>
      <c r="AC10" s="231" t="s">
        <v>47</v>
      </c>
      <c r="AD10" s="231" t="s">
        <v>47</v>
      </c>
      <c r="AE10" s="231" t="s">
        <v>47</v>
      </c>
      <c r="AF10" s="231" t="s">
        <v>47</v>
      </c>
      <c r="AG10" s="230"/>
      <c r="AH10" s="230"/>
    </row>
    <row r="11">
      <c r="A11" s="233" t="s">
        <v>236</v>
      </c>
      <c r="B11" s="231" t="s">
        <v>83</v>
      </c>
      <c r="C11" s="231" t="s">
        <v>47</v>
      </c>
      <c r="D11" s="231" t="s">
        <v>53</v>
      </c>
      <c r="E11" s="231" t="s">
        <v>53</v>
      </c>
      <c r="F11" s="231" t="s">
        <v>47</v>
      </c>
      <c r="G11" s="231" t="s">
        <v>47</v>
      </c>
      <c r="H11" s="231" t="s">
        <v>47</v>
      </c>
      <c r="I11" s="231" t="s">
        <v>47</v>
      </c>
      <c r="J11" s="231" t="s">
        <v>47</v>
      </c>
      <c r="K11" s="231" t="s">
        <v>53</v>
      </c>
      <c r="L11" s="231" t="s">
        <v>53</v>
      </c>
      <c r="M11" s="231" t="s">
        <v>47</v>
      </c>
      <c r="N11" s="231" t="s">
        <v>47</v>
      </c>
      <c r="O11" s="231" t="s">
        <v>47</v>
      </c>
      <c r="P11" s="231" t="s">
        <v>47</v>
      </c>
      <c r="Q11" s="231" t="s">
        <v>47</v>
      </c>
      <c r="R11" s="231" t="s">
        <v>53</v>
      </c>
      <c r="S11" s="231" t="s">
        <v>53</v>
      </c>
      <c r="T11" s="231" t="s">
        <v>49</v>
      </c>
      <c r="U11" s="231" t="s">
        <v>49</v>
      </c>
      <c r="V11" s="231" t="s">
        <v>49</v>
      </c>
      <c r="W11" s="231" t="s">
        <v>48</v>
      </c>
      <c r="X11" s="231" t="s">
        <v>48</v>
      </c>
      <c r="Y11" s="231" t="s">
        <v>53</v>
      </c>
      <c r="Z11" s="231" t="s">
        <v>53</v>
      </c>
      <c r="AA11" s="231" t="s">
        <v>47</v>
      </c>
      <c r="AB11" s="231" t="s">
        <v>47</v>
      </c>
      <c r="AC11" s="231" t="s">
        <v>47</v>
      </c>
      <c r="AD11" s="231" t="s">
        <v>47</v>
      </c>
      <c r="AE11" s="231" t="s">
        <v>47</v>
      </c>
      <c r="AF11" s="231" t="s">
        <v>53</v>
      </c>
      <c r="AG11" s="230"/>
      <c r="AH11" s="230"/>
    </row>
    <row r="12">
      <c r="A12" s="233" t="s">
        <v>237</v>
      </c>
      <c r="B12" s="231" t="s">
        <v>86</v>
      </c>
      <c r="C12" s="231" t="s">
        <v>47</v>
      </c>
      <c r="D12" s="231" t="s">
        <v>47</v>
      </c>
      <c r="E12" s="231" t="s">
        <v>53</v>
      </c>
      <c r="F12" s="231" t="s">
        <v>53</v>
      </c>
      <c r="G12" s="231" t="s">
        <v>47</v>
      </c>
      <c r="H12" s="231" t="s">
        <v>48</v>
      </c>
      <c r="I12" s="231" t="s">
        <v>48</v>
      </c>
      <c r="J12" s="231" t="s">
        <v>47</v>
      </c>
      <c r="K12" s="231" t="s">
        <v>47</v>
      </c>
      <c r="L12" s="231" t="s">
        <v>53</v>
      </c>
      <c r="M12" s="231" t="s">
        <v>53</v>
      </c>
      <c r="N12" s="231" t="s">
        <v>47</v>
      </c>
      <c r="O12" s="231" t="s">
        <v>47</v>
      </c>
      <c r="P12" s="231" t="s">
        <v>47</v>
      </c>
      <c r="Q12" s="231" t="s">
        <v>47</v>
      </c>
      <c r="R12" s="231" t="s">
        <v>47</v>
      </c>
      <c r="S12" s="231" t="s">
        <v>53</v>
      </c>
      <c r="T12" s="231" t="s">
        <v>53</v>
      </c>
      <c r="U12" s="231" t="s">
        <v>47</v>
      </c>
      <c r="V12" s="231" t="s">
        <v>47</v>
      </c>
      <c r="W12" s="231" t="s">
        <v>47</v>
      </c>
      <c r="X12" s="231" t="s">
        <v>47</v>
      </c>
      <c r="Y12" s="231" t="s">
        <v>47</v>
      </c>
      <c r="Z12" s="231" t="s">
        <v>53</v>
      </c>
      <c r="AA12" s="231" t="s">
        <v>53</v>
      </c>
      <c r="AB12" s="231" t="s">
        <v>47</v>
      </c>
      <c r="AC12" s="231" t="s">
        <v>47</v>
      </c>
      <c r="AD12" s="231" t="s">
        <v>47</v>
      </c>
      <c r="AE12" s="231" t="s">
        <v>49</v>
      </c>
      <c r="AF12" s="231" t="s">
        <v>48</v>
      </c>
      <c r="AG12" s="230"/>
      <c r="AH12" s="230"/>
    </row>
    <row r="13">
      <c r="A13" s="233" t="s">
        <v>238</v>
      </c>
      <c r="B13" s="231" t="s">
        <v>89</v>
      </c>
      <c r="C13" s="231" t="s">
        <v>47</v>
      </c>
      <c r="D13" s="231" t="s">
        <v>47</v>
      </c>
      <c r="E13" s="231" t="s">
        <v>47</v>
      </c>
      <c r="F13" s="231" t="s">
        <v>53</v>
      </c>
      <c r="G13" s="231" t="s">
        <v>53</v>
      </c>
      <c r="H13" s="231" t="s">
        <v>47</v>
      </c>
      <c r="I13" s="231" t="s">
        <v>47</v>
      </c>
      <c r="J13" s="231" t="s">
        <v>47</v>
      </c>
      <c r="K13" s="231" t="s">
        <v>48</v>
      </c>
      <c r="L13" s="231" t="s">
        <v>48</v>
      </c>
      <c r="M13" s="231" t="s">
        <v>53</v>
      </c>
      <c r="N13" s="231" t="s">
        <v>53</v>
      </c>
      <c r="O13" s="231" t="s">
        <v>47</v>
      </c>
      <c r="P13" s="231" t="s">
        <v>47</v>
      </c>
      <c r="Q13" s="231" t="s">
        <v>47</v>
      </c>
      <c r="R13" s="231" t="s">
        <v>47</v>
      </c>
      <c r="S13" s="231" t="s">
        <v>47</v>
      </c>
      <c r="T13" s="231" t="s">
        <v>53</v>
      </c>
      <c r="U13" s="231" t="s">
        <v>53</v>
      </c>
      <c r="V13" s="231" t="s">
        <v>47</v>
      </c>
      <c r="W13" s="231" t="s">
        <v>47</v>
      </c>
      <c r="X13" s="231" t="s">
        <v>47</v>
      </c>
      <c r="Y13" s="231" t="s">
        <v>47</v>
      </c>
      <c r="Z13" s="230" t="s">
        <v>47</v>
      </c>
      <c r="AA13" s="231" t="s">
        <v>53</v>
      </c>
      <c r="AB13" s="231" t="s">
        <v>53</v>
      </c>
      <c r="AC13" s="231" t="s">
        <v>48</v>
      </c>
      <c r="AD13" s="231" t="s">
        <v>47</v>
      </c>
      <c r="AE13" s="231" t="s">
        <v>47</v>
      </c>
      <c r="AF13" s="231" t="s">
        <v>47</v>
      </c>
      <c r="AG13" s="230"/>
      <c r="AH13" s="230"/>
    </row>
    <row r="14">
      <c r="A14" s="233" t="s">
        <v>239</v>
      </c>
      <c r="B14" s="231" t="s">
        <v>92</v>
      </c>
      <c r="C14" s="231" t="s">
        <v>47</v>
      </c>
      <c r="D14" s="231" t="s">
        <v>47</v>
      </c>
      <c r="E14" s="231" t="s">
        <v>47</v>
      </c>
      <c r="F14" s="231" t="s">
        <v>47</v>
      </c>
      <c r="G14" s="231" t="s">
        <v>47</v>
      </c>
      <c r="H14" s="231" t="s">
        <v>53</v>
      </c>
      <c r="I14" s="231" t="s">
        <v>53</v>
      </c>
      <c r="J14" s="231" t="s">
        <v>47</v>
      </c>
      <c r="K14" s="231" t="s">
        <v>47</v>
      </c>
      <c r="L14" s="231" t="s">
        <v>47</v>
      </c>
      <c r="M14" s="231" t="s">
        <v>47</v>
      </c>
      <c r="N14" s="231" t="s">
        <v>47</v>
      </c>
      <c r="O14" s="231" t="s">
        <v>53</v>
      </c>
      <c r="P14" s="231" t="s">
        <v>53</v>
      </c>
      <c r="Q14" s="231" t="s">
        <v>47</v>
      </c>
      <c r="R14" s="231" t="s">
        <v>47</v>
      </c>
      <c r="S14" s="231" t="s">
        <v>47</v>
      </c>
      <c r="T14" s="231" t="s">
        <v>47</v>
      </c>
      <c r="U14" s="231" t="s">
        <v>48</v>
      </c>
      <c r="V14" s="231" t="s">
        <v>53</v>
      </c>
      <c r="W14" s="231" t="s">
        <v>53</v>
      </c>
      <c r="X14" s="231" t="s">
        <v>47</v>
      </c>
      <c r="Y14" s="231" t="s">
        <v>47</v>
      </c>
      <c r="Z14" s="231" t="s">
        <v>47</v>
      </c>
      <c r="AA14" s="231" t="s">
        <v>47</v>
      </c>
      <c r="AB14" s="231" t="s">
        <v>47</v>
      </c>
      <c r="AC14" s="231" t="s">
        <v>53</v>
      </c>
      <c r="AD14" s="231" t="s">
        <v>53</v>
      </c>
      <c r="AE14" s="231" t="s">
        <v>47</v>
      </c>
      <c r="AF14" s="231" t="s">
        <v>47</v>
      </c>
      <c r="AG14" s="230"/>
      <c r="AH14" s="230"/>
    </row>
    <row r="15">
      <c r="A15" s="233" t="s">
        <v>240</v>
      </c>
      <c r="B15" s="231" t="s">
        <v>95</v>
      </c>
      <c r="C15" s="231" t="s">
        <v>53</v>
      </c>
      <c r="D15" s="231" t="s">
        <v>53</v>
      </c>
      <c r="E15" s="231" t="s">
        <v>47</v>
      </c>
      <c r="F15" s="231" t="s">
        <v>47</v>
      </c>
      <c r="G15" s="231" t="s">
        <v>47</v>
      </c>
      <c r="H15" s="231" t="s">
        <v>47</v>
      </c>
      <c r="I15" s="231" t="s">
        <v>47</v>
      </c>
      <c r="J15" s="231" t="s">
        <v>53</v>
      </c>
      <c r="K15" s="231" t="s">
        <v>53</v>
      </c>
      <c r="L15" s="231" t="s">
        <v>49</v>
      </c>
      <c r="M15" s="231" t="s">
        <v>47</v>
      </c>
      <c r="N15" s="231" t="s">
        <v>47</v>
      </c>
      <c r="O15" s="231" t="s">
        <v>47</v>
      </c>
      <c r="P15" s="231" t="s">
        <v>47</v>
      </c>
      <c r="Q15" s="231" t="s">
        <v>53</v>
      </c>
      <c r="R15" s="231" t="s">
        <v>53</v>
      </c>
      <c r="S15" s="231" t="s">
        <v>49</v>
      </c>
      <c r="T15" s="231" t="s">
        <v>47</v>
      </c>
      <c r="U15" s="231" t="s">
        <v>47</v>
      </c>
      <c r="V15" s="231" t="s">
        <v>47</v>
      </c>
      <c r="W15" s="231" t="s">
        <v>47</v>
      </c>
      <c r="X15" s="231" t="s">
        <v>53</v>
      </c>
      <c r="Y15" s="231" t="s">
        <v>53</v>
      </c>
      <c r="Z15" s="231" t="s">
        <v>47</v>
      </c>
      <c r="AA15" s="231" t="s">
        <v>47</v>
      </c>
      <c r="AB15" s="231" t="s">
        <v>47</v>
      </c>
      <c r="AC15" s="231" t="s">
        <v>48</v>
      </c>
      <c r="AD15" s="231" t="s">
        <v>48</v>
      </c>
      <c r="AE15" s="231" t="s">
        <v>53</v>
      </c>
      <c r="AF15" s="231" t="s">
        <v>53</v>
      </c>
      <c r="AG15" s="230"/>
      <c r="AH15" s="230"/>
    </row>
    <row r="16">
      <c r="A16" s="233" t="s">
        <v>241</v>
      </c>
      <c r="B16" s="231" t="s">
        <v>98</v>
      </c>
      <c r="C16" s="231" t="s">
        <v>47</v>
      </c>
      <c r="D16" s="231" t="s">
        <v>47</v>
      </c>
      <c r="E16" s="231" t="s">
        <v>53</v>
      </c>
      <c r="F16" s="231" t="s">
        <v>53</v>
      </c>
      <c r="G16" s="231" t="s">
        <v>47</v>
      </c>
      <c r="H16" s="231" t="s">
        <v>47</v>
      </c>
      <c r="I16" s="231" t="s">
        <v>47</v>
      </c>
      <c r="J16" s="231" t="s">
        <v>47</v>
      </c>
      <c r="K16" s="231" t="s">
        <v>47</v>
      </c>
      <c r="L16" s="231" t="s">
        <v>53</v>
      </c>
      <c r="M16" s="231" t="s">
        <v>53</v>
      </c>
      <c r="N16" s="231" t="s">
        <v>47</v>
      </c>
      <c r="O16" s="231" t="s">
        <v>47</v>
      </c>
      <c r="P16" s="231" t="s">
        <v>47</v>
      </c>
      <c r="Q16" s="231" t="s">
        <v>47</v>
      </c>
      <c r="R16" s="231" t="s">
        <v>47</v>
      </c>
      <c r="S16" s="231" t="s">
        <v>53</v>
      </c>
      <c r="T16" s="231" t="s">
        <v>53</v>
      </c>
      <c r="U16" s="231" t="s">
        <v>47</v>
      </c>
      <c r="V16" s="231" t="s">
        <v>47</v>
      </c>
      <c r="W16" s="231" t="s">
        <v>47</v>
      </c>
      <c r="X16" s="231" t="s">
        <v>47</v>
      </c>
      <c r="Y16" s="231" t="s">
        <v>47</v>
      </c>
      <c r="Z16" s="231" t="s">
        <v>53</v>
      </c>
      <c r="AA16" s="231" t="s">
        <v>53</v>
      </c>
      <c r="AB16" s="231" t="s">
        <v>47</v>
      </c>
      <c r="AC16" s="231" t="s">
        <v>47</v>
      </c>
      <c r="AD16" s="231" t="s">
        <v>47</v>
      </c>
      <c r="AE16" s="231" t="s">
        <v>47</v>
      </c>
      <c r="AF16" s="231" t="s">
        <v>47</v>
      </c>
      <c r="AG16" s="230"/>
      <c r="AH16" s="230"/>
    </row>
    <row r="17">
      <c r="A17" s="233" t="s">
        <v>242</v>
      </c>
      <c r="B17" s="231" t="s">
        <v>101</v>
      </c>
      <c r="C17" s="231" t="s">
        <v>53</v>
      </c>
      <c r="D17" s="231" t="s">
        <v>53</v>
      </c>
      <c r="E17" s="231" t="s">
        <v>47</v>
      </c>
      <c r="F17" s="231" t="s">
        <v>47</v>
      </c>
      <c r="G17" s="231" t="s">
        <v>47</v>
      </c>
      <c r="H17" s="231" t="s">
        <v>47</v>
      </c>
      <c r="I17" s="231" t="s">
        <v>48</v>
      </c>
      <c r="J17" s="231" t="s">
        <v>53</v>
      </c>
      <c r="K17" s="231" t="s">
        <v>53</v>
      </c>
      <c r="L17" s="231" t="s">
        <v>48</v>
      </c>
      <c r="M17" s="231" t="s">
        <v>47</v>
      </c>
      <c r="N17" s="231" t="s">
        <v>47</v>
      </c>
      <c r="O17" s="231" t="s">
        <v>47</v>
      </c>
      <c r="P17" s="231" t="s">
        <v>47</v>
      </c>
      <c r="Q17" s="231" t="s">
        <v>53</v>
      </c>
      <c r="R17" s="231" t="s">
        <v>53</v>
      </c>
      <c r="S17" s="231" t="s">
        <v>47</v>
      </c>
      <c r="T17" s="231" t="s">
        <v>47</v>
      </c>
      <c r="U17" s="231" t="s">
        <v>47</v>
      </c>
      <c r="V17" s="231" t="s">
        <v>47</v>
      </c>
      <c r="W17" s="231" t="s">
        <v>47</v>
      </c>
      <c r="X17" s="231" t="s">
        <v>53</v>
      </c>
      <c r="Y17" s="231" t="s">
        <v>53</v>
      </c>
      <c r="Z17" s="231" t="s">
        <v>47</v>
      </c>
      <c r="AA17" s="231" t="s">
        <v>47</v>
      </c>
      <c r="AB17" s="231" t="s">
        <v>47</v>
      </c>
      <c r="AC17" s="231" t="s">
        <v>47</v>
      </c>
      <c r="AD17" s="231" t="s">
        <v>47</v>
      </c>
      <c r="AE17" s="231" t="s">
        <v>53</v>
      </c>
      <c r="AF17" s="231" t="s">
        <v>53</v>
      </c>
      <c r="AG17" s="230"/>
      <c r="AH17" s="230"/>
    </row>
    <row r="18">
      <c r="A18" s="233" t="s">
        <v>243</v>
      </c>
      <c r="B18" s="231" t="s">
        <v>104</v>
      </c>
      <c r="C18" s="231" t="s">
        <v>53</v>
      </c>
      <c r="D18" s="231" t="s">
        <v>47</v>
      </c>
      <c r="E18" s="231" t="s">
        <v>47</v>
      </c>
      <c r="F18" s="231" t="s">
        <v>47</v>
      </c>
      <c r="G18" s="231" t="s">
        <v>47</v>
      </c>
      <c r="H18" s="231" t="s">
        <v>47</v>
      </c>
      <c r="I18" s="231" t="s">
        <v>53</v>
      </c>
      <c r="J18" s="231" t="s">
        <v>53</v>
      </c>
      <c r="K18" s="231" t="s">
        <v>47</v>
      </c>
      <c r="L18" s="231" t="s">
        <v>47</v>
      </c>
      <c r="M18" s="231" t="s">
        <v>49</v>
      </c>
      <c r="N18" s="231" t="s">
        <v>47</v>
      </c>
      <c r="O18" s="231" t="s">
        <v>47</v>
      </c>
      <c r="P18" s="231" t="s">
        <v>53</v>
      </c>
      <c r="Q18" s="231" t="s">
        <v>53</v>
      </c>
      <c r="R18" s="231" t="s">
        <v>47</v>
      </c>
      <c r="S18" s="231" t="s">
        <v>47</v>
      </c>
      <c r="T18" s="231" t="s">
        <v>49</v>
      </c>
      <c r="U18" s="231" t="s">
        <v>47</v>
      </c>
      <c r="V18" s="231" t="s">
        <v>47</v>
      </c>
      <c r="W18" s="231" t="s">
        <v>53</v>
      </c>
      <c r="X18" s="231" t="s">
        <v>53</v>
      </c>
      <c r="Y18" s="231" t="s">
        <v>47</v>
      </c>
      <c r="Z18" s="231" t="s">
        <v>47</v>
      </c>
      <c r="AA18" s="231" t="s">
        <v>47</v>
      </c>
      <c r="AB18" s="231" t="s">
        <v>47</v>
      </c>
      <c r="AC18" s="231" t="s">
        <v>47</v>
      </c>
      <c r="AD18" s="231" t="s">
        <v>53</v>
      </c>
      <c r="AE18" s="231" t="s">
        <v>53</v>
      </c>
      <c r="AF18" s="230" t="s">
        <v>47</v>
      </c>
      <c r="AG18" s="230"/>
      <c r="AH18" s="230"/>
    </row>
    <row r="19">
      <c r="A19" s="233" t="s">
        <v>244</v>
      </c>
      <c r="B19" s="231" t="s">
        <v>107</v>
      </c>
      <c r="C19" s="231" t="s">
        <v>47</v>
      </c>
      <c r="D19" s="231" t="s">
        <v>53</v>
      </c>
      <c r="E19" s="231" t="s">
        <v>47</v>
      </c>
      <c r="F19" s="231" t="s">
        <v>47</v>
      </c>
      <c r="G19" s="231" t="s">
        <v>53</v>
      </c>
      <c r="H19" s="231" t="s">
        <v>47</v>
      </c>
      <c r="I19" s="230" t="s">
        <v>47</v>
      </c>
      <c r="J19" s="230" t="s">
        <v>47</v>
      </c>
      <c r="K19" s="231" t="s">
        <v>53</v>
      </c>
      <c r="L19" s="230" t="s">
        <v>47</v>
      </c>
      <c r="M19" s="230" t="s">
        <v>47</v>
      </c>
      <c r="N19" s="231" t="s">
        <v>53</v>
      </c>
      <c r="O19" s="231" t="s">
        <v>47</v>
      </c>
      <c r="P19" s="230" t="s">
        <v>47</v>
      </c>
      <c r="Q19" s="230" t="s">
        <v>47</v>
      </c>
      <c r="R19" s="231" t="s">
        <v>53</v>
      </c>
      <c r="S19" s="231" t="s">
        <v>47</v>
      </c>
      <c r="T19" s="231" t="s">
        <v>47</v>
      </c>
      <c r="U19" s="231" t="s">
        <v>53</v>
      </c>
      <c r="V19" s="231" t="s">
        <v>47</v>
      </c>
      <c r="W19" s="231" t="s">
        <v>47</v>
      </c>
      <c r="X19" s="231" t="s">
        <v>47</v>
      </c>
      <c r="Y19" s="231" t="s">
        <v>53</v>
      </c>
      <c r="Z19" s="231" t="s">
        <v>49</v>
      </c>
      <c r="AA19" s="231" t="s">
        <v>49</v>
      </c>
      <c r="AB19" s="231" t="s">
        <v>53</v>
      </c>
      <c r="AC19" s="231" t="s">
        <v>47</v>
      </c>
      <c r="AD19" s="230" t="s">
        <v>47</v>
      </c>
      <c r="AE19" s="230" t="s">
        <v>47</v>
      </c>
      <c r="AF19" s="231" t="s">
        <v>53</v>
      </c>
      <c r="AG19" s="230"/>
      <c r="AH19" s="230"/>
    </row>
    <row r="20">
      <c r="A20" s="233" t="s">
        <v>245</v>
      </c>
      <c r="B20" s="231" t="s">
        <v>110</v>
      </c>
      <c r="C20" s="231" t="s">
        <v>53</v>
      </c>
      <c r="D20" s="231" t="s">
        <v>47</v>
      </c>
      <c r="E20" s="231" t="s">
        <v>47</v>
      </c>
      <c r="F20" s="231" t="s">
        <v>47</v>
      </c>
      <c r="G20" s="231" t="s">
        <v>47</v>
      </c>
      <c r="H20" s="231" t="s">
        <v>47</v>
      </c>
      <c r="I20" s="231" t="s">
        <v>53</v>
      </c>
      <c r="J20" s="231" t="s">
        <v>53</v>
      </c>
      <c r="K20" s="231" t="s">
        <v>47</v>
      </c>
      <c r="L20" s="231" t="s">
        <v>47</v>
      </c>
      <c r="M20" s="231" t="s">
        <v>47</v>
      </c>
      <c r="N20" s="231" t="s">
        <v>47</v>
      </c>
      <c r="O20" s="231" t="s">
        <v>47</v>
      </c>
      <c r="P20" s="231" t="s">
        <v>53</v>
      </c>
      <c r="Q20" s="231" t="s">
        <v>53</v>
      </c>
      <c r="R20" s="231" t="s">
        <v>47</v>
      </c>
      <c r="S20" s="231" t="s">
        <v>47</v>
      </c>
      <c r="T20" s="231" t="s">
        <v>47</v>
      </c>
      <c r="U20" s="231" t="s">
        <v>47</v>
      </c>
      <c r="V20" s="231" t="s">
        <v>49</v>
      </c>
      <c r="W20" s="231" t="s">
        <v>53</v>
      </c>
      <c r="X20" s="231" t="s">
        <v>53</v>
      </c>
      <c r="Y20" s="231" t="s">
        <v>47</v>
      </c>
      <c r="Z20" s="231" t="s">
        <v>47</v>
      </c>
      <c r="AA20" s="231" t="s">
        <v>47</v>
      </c>
      <c r="AB20" s="231" t="s">
        <v>47</v>
      </c>
      <c r="AC20" s="231" t="s">
        <v>47</v>
      </c>
      <c r="AD20" s="231" t="s">
        <v>53</v>
      </c>
      <c r="AE20" s="231" t="s">
        <v>53</v>
      </c>
      <c r="AF20" s="230" t="s">
        <v>47</v>
      </c>
      <c r="AG20" s="230"/>
      <c r="AH20" s="230"/>
    </row>
    <row r="21" ht="15.75" customHeight="1">
      <c r="A21" s="233" t="s">
        <v>246</v>
      </c>
      <c r="B21" s="231" t="s">
        <v>113</v>
      </c>
      <c r="C21" s="231" t="s">
        <v>53</v>
      </c>
      <c r="D21" s="231" t="s">
        <v>53</v>
      </c>
      <c r="E21" s="231" t="s">
        <v>49</v>
      </c>
      <c r="F21" s="231" t="s">
        <v>47</v>
      </c>
      <c r="G21" s="231" t="s">
        <v>47</v>
      </c>
      <c r="H21" s="231" t="s">
        <v>49</v>
      </c>
      <c r="I21" s="231" t="s">
        <v>49</v>
      </c>
      <c r="J21" s="231" t="s">
        <v>53</v>
      </c>
      <c r="K21" s="231" t="s">
        <v>53</v>
      </c>
      <c r="L21" s="230" t="s">
        <v>47</v>
      </c>
      <c r="M21" s="230" t="s">
        <v>47</v>
      </c>
      <c r="N21" s="230" t="s">
        <v>47</v>
      </c>
      <c r="O21" s="230" t="s">
        <v>47</v>
      </c>
      <c r="P21" s="231" t="s">
        <v>48</v>
      </c>
      <c r="Q21" s="231" t="s">
        <v>53</v>
      </c>
      <c r="R21" s="231" t="s">
        <v>53</v>
      </c>
      <c r="S21" s="230" t="s">
        <v>47</v>
      </c>
      <c r="T21" s="230" t="s">
        <v>47</v>
      </c>
      <c r="U21" s="230" t="s">
        <v>47</v>
      </c>
      <c r="V21" s="230" t="s">
        <v>47</v>
      </c>
      <c r="W21" s="231" t="s">
        <v>48</v>
      </c>
      <c r="X21" s="231" t="s">
        <v>53</v>
      </c>
      <c r="Y21" s="231" t="s">
        <v>53</v>
      </c>
      <c r="Z21" s="230" t="s">
        <v>47</v>
      </c>
      <c r="AA21" s="231" t="s">
        <v>47</v>
      </c>
      <c r="AB21" s="231" t="s">
        <v>47</v>
      </c>
      <c r="AC21" s="230" t="s">
        <v>47</v>
      </c>
      <c r="AD21" s="230" t="s">
        <v>47</v>
      </c>
      <c r="AE21" s="231" t="s">
        <v>53</v>
      </c>
      <c r="AF21" s="231" t="s">
        <v>53</v>
      </c>
      <c r="AG21" s="230"/>
      <c r="AH21" s="230"/>
    </row>
    <row r="22" ht="15.75" customHeight="1">
      <c r="A22" s="233" t="s">
        <v>247</v>
      </c>
      <c r="B22" s="231" t="s">
        <v>116</v>
      </c>
      <c r="C22" s="230" t="s">
        <v>47</v>
      </c>
      <c r="D22" s="230" t="s">
        <v>47</v>
      </c>
      <c r="E22" s="230" t="s">
        <v>47</v>
      </c>
      <c r="F22" s="230" t="s">
        <v>47</v>
      </c>
      <c r="G22" s="231" t="s">
        <v>53</v>
      </c>
      <c r="H22" s="231" t="s">
        <v>53</v>
      </c>
      <c r="I22" s="231" t="s">
        <v>47</v>
      </c>
      <c r="J22" s="230" t="s">
        <v>47</v>
      </c>
      <c r="K22" s="230" t="s">
        <v>47</v>
      </c>
      <c r="L22" s="231" t="s">
        <v>47</v>
      </c>
      <c r="M22" s="231" t="s">
        <v>47</v>
      </c>
      <c r="N22" s="231" t="s">
        <v>53</v>
      </c>
      <c r="O22" s="231" t="s">
        <v>53</v>
      </c>
      <c r="P22" s="231" t="s">
        <v>47</v>
      </c>
      <c r="Q22" s="231" t="s">
        <v>47</v>
      </c>
      <c r="R22" s="231" t="s">
        <v>47</v>
      </c>
      <c r="S22" s="231" t="s">
        <v>47</v>
      </c>
      <c r="T22" s="231" t="s">
        <v>47</v>
      </c>
      <c r="U22" s="231" t="s">
        <v>53</v>
      </c>
      <c r="V22" s="231" t="s">
        <v>53</v>
      </c>
      <c r="W22" s="231" t="s">
        <v>47</v>
      </c>
      <c r="X22" s="231" t="s">
        <v>47</v>
      </c>
      <c r="Y22" s="231" t="s">
        <v>47</v>
      </c>
      <c r="Z22" s="231" t="s">
        <v>47</v>
      </c>
      <c r="AA22" s="231" t="s">
        <v>47</v>
      </c>
      <c r="AB22" s="231" t="s">
        <v>53</v>
      </c>
      <c r="AC22" s="231" t="s">
        <v>53</v>
      </c>
      <c r="AD22" s="231" t="s">
        <v>47</v>
      </c>
      <c r="AE22" s="231" t="s">
        <v>47</v>
      </c>
      <c r="AF22" s="231" t="s">
        <v>47</v>
      </c>
      <c r="AG22" s="230"/>
      <c r="AH22" s="230"/>
    </row>
    <row r="23" ht="15.75" customHeight="1">
      <c r="A23" s="233" t="s">
        <v>248</v>
      </c>
      <c r="B23" s="231" t="s">
        <v>119</v>
      </c>
      <c r="C23" s="231" t="s">
        <v>53</v>
      </c>
      <c r="D23" s="231" t="s">
        <v>53</v>
      </c>
      <c r="E23" s="231" t="s">
        <v>49</v>
      </c>
      <c r="F23" s="231" t="s">
        <v>49</v>
      </c>
      <c r="G23" s="231" t="s">
        <v>47</v>
      </c>
      <c r="H23" s="231" t="s">
        <v>47</v>
      </c>
      <c r="I23" s="231" t="s">
        <v>47</v>
      </c>
      <c r="J23" s="231" t="s">
        <v>53</v>
      </c>
      <c r="K23" s="231" t="s">
        <v>53</v>
      </c>
      <c r="L23" s="231" t="s">
        <v>47</v>
      </c>
      <c r="M23" s="231" t="s">
        <v>47</v>
      </c>
      <c r="N23" s="231" t="s">
        <v>47</v>
      </c>
      <c r="O23" s="231" t="s">
        <v>47</v>
      </c>
      <c r="P23" s="231" t="s">
        <v>48</v>
      </c>
      <c r="Q23" s="231" t="s">
        <v>53</v>
      </c>
      <c r="R23" s="231" t="s">
        <v>53</v>
      </c>
      <c r="S23" s="231" t="s">
        <v>48</v>
      </c>
      <c r="T23" s="231" t="s">
        <v>47</v>
      </c>
      <c r="U23" s="231" t="s">
        <v>47</v>
      </c>
      <c r="V23" s="231" t="s">
        <v>47</v>
      </c>
      <c r="W23" s="231" t="s">
        <v>47</v>
      </c>
      <c r="X23" s="231" t="s">
        <v>53</v>
      </c>
      <c r="Y23" s="231" t="s">
        <v>53</v>
      </c>
      <c r="Z23" s="231" t="s">
        <v>47</v>
      </c>
      <c r="AA23" s="231" t="s">
        <v>47</v>
      </c>
      <c r="AB23" s="231" t="s">
        <v>47</v>
      </c>
      <c r="AC23" s="231" t="s">
        <v>47</v>
      </c>
      <c r="AD23" s="231" t="s">
        <v>49</v>
      </c>
      <c r="AE23" s="231" t="s">
        <v>53</v>
      </c>
      <c r="AF23" s="231" t="s">
        <v>53</v>
      </c>
      <c r="AG23" s="230"/>
      <c r="AH23" s="230"/>
    </row>
    <row r="24" ht="15.75" customHeight="1">
      <c r="A24" s="233" t="s">
        <v>249</v>
      </c>
      <c r="B24" s="231" t="s">
        <v>122</v>
      </c>
      <c r="C24" s="230" t="s">
        <v>47</v>
      </c>
      <c r="D24" s="230" t="s">
        <v>47</v>
      </c>
      <c r="E24" s="230" t="s">
        <v>47</v>
      </c>
      <c r="F24" s="231" t="s">
        <v>47</v>
      </c>
      <c r="G24" s="231" t="s">
        <v>53</v>
      </c>
      <c r="H24" s="231" t="s">
        <v>53</v>
      </c>
      <c r="I24" s="231" t="s">
        <v>47</v>
      </c>
      <c r="J24" s="230" t="s">
        <v>47</v>
      </c>
      <c r="K24" s="230" t="s">
        <v>47</v>
      </c>
      <c r="L24" s="231" t="s">
        <v>47</v>
      </c>
      <c r="M24" s="231" t="s">
        <v>47</v>
      </c>
      <c r="N24" s="231" t="s">
        <v>53</v>
      </c>
      <c r="O24" s="231" t="s">
        <v>53</v>
      </c>
      <c r="P24" s="231" t="s">
        <v>47</v>
      </c>
      <c r="Q24" s="231" t="s">
        <v>47</v>
      </c>
      <c r="R24" s="231" t="s">
        <v>47</v>
      </c>
      <c r="S24" s="231" t="s">
        <v>47</v>
      </c>
      <c r="T24" s="231" t="s">
        <v>48</v>
      </c>
      <c r="U24" s="231" t="s">
        <v>53</v>
      </c>
      <c r="V24" s="231" t="s">
        <v>53</v>
      </c>
      <c r="W24" s="231" t="s">
        <v>48</v>
      </c>
      <c r="X24" s="231" t="s">
        <v>48</v>
      </c>
      <c r="Y24" s="231" t="s">
        <v>48</v>
      </c>
      <c r="Z24" s="231" t="s">
        <v>47</v>
      </c>
      <c r="AA24" s="231" t="s">
        <v>47</v>
      </c>
      <c r="AB24" s="231" t="s">
        <v>53</v>
      </c>
      <c r="AC24" s="231" t="s">
        <v>53</v>
      </c>
      <c r="AD24" s="231" t="s">
        <v>48</v>
      </c>
      <c r="AE24" s="231" t="s">
        <v>48</v>
      </c>
      <c r="AF24" s="231" t="s">
        <v>47</v>
      </c>
      <c r="AG24" s="230"/>
      <c r="AH24" s="230"/>
    </row>
    <row r="25" ht="15.75" customHeight="1">
      <c r="A25" s="233" t="s">
        <v>250</v>
      </c>
      <c r="B25" s="231" t="s">
        <v>125</v>
      </c>
      <c r="C25" s="230" t="s">
        <v>47</v>
      </c>
      <c r="D25" s="230" t="s">
        <v>47</v>
      </c>
      <c r="E25" s="230" t="s">
        <v>47</v>
      </c>
      <c r="F25" s="230" t="s">
        <v>47</v>
      </c>
      <c r="G25" s="231" t="s">
        <v>53</v>
      </c>
      <c r="H25" s="231" t="s">
        <v>53</v>
      </c>
      <c r="I25" s="231" t="s">
        <v>47</v>
      </c>
      <c r="J25" s="230" t="s">
        <v>47</v>
      </c>
      <c r="K25" s="230" t="s">
        <v>47</v>
      </c>
      <c r="L25" s="230" t="s">
        <v>47</v>
      </c>
      <c r="M25" s="230" t="s">
        <v>47</v>
      </c>
      <c r="N25" s="231" t="s">
        <v>53</v>
      </c>
      <c r="O25" s="231" t="s">
        <v>53</v>
      </c>
      <c r="P25" s="231" t="s">
        <v>47</v>
      </c>
      <c r="Q25" s="230" t="s">
        <v>47</v>
      </c>
      <c r="R25" s="230" t="s">
        <v>47</v>
      </c>
      <c r="S25" s="231" t="s">
        <v>47</v>
      </c>
      <c r="T25" s="231" t="s">
        <v>47</v>
      </c>
      <c r="U25" s="231" t="s">
        <v>53</v>
      </c>
      <c r="V25" s="231" t="s">
        <v>53</v>
      </c>
      <c r="W25" s="231" t="s">
        <v>47</v>
      </c>
      <c r="X25" s="231" t="s">
        <v>47</v>
      </c>
      <c r="Y25" s="231" t="s">
        <v>49</v>
      </c>
      <c r="Z25" s="231" t="s">
        <v>49</v>
      </c>
      <c r="AA25" s="231" t="s">
        <v>49</v>
      </c>
      <c r="AB25" s="231" t="s">
        <v>53</v>
      </c>
      <c r="AC25" s="231" t="s">
        <v>53</v>
      </c>
      <c r="AD25" s="231" t="s">
        <v>47</v>
      </c>
      <c r="AE25" s="231" t="s">
        <v>47</v>
      </c>
      <c r="AF25" s="231" t="s">
        <v>47</v>
      </c>
      <c r="AG25" s="230"/>
      <c r="AH25" s="230"/>
    </row>
    <row r="26" ht="15.75" customHeight="1">
      <c r="A26" s="233" t="s">
        <v>251</v>
      </c>
      <c r="B26" s="231" t="s">
        <v>128</v>
      </c>
      <c r="C26" s="231" t="s">
        <v>53</v>
      </c>
      <c r="D26" s="231" t="s">
        <v>53</v>
      </c>
      <c r="E26" s="231" t="s">
        <v>47</v>
      </c>
      <c r="F26" s="231" t="s">
        <v>47</v>
      </c>
      <c r="G26" s="231" t="s">
        <v>47</v>
      </c>
      <c r="H26" s="231" t="s">
        <v>47</v>
      </c>
      <c r="I26" s="231" t="s">
        <v>47</v>
      </c>
      <c r="J26" s="231" t="s">
        <v>53</v>
      </c>
      <c r="K26" s="231" t="s">
        <v>53</v>
      </c>
      <c r="L26" s="231" t="s">
        <v>47</v>
      </c>
      <c r="M26" s="231" t="s">
        <v>47</v>
      </c>
      <c r="N26" s="231" t="s">
        <v>49</v>
      </c>
      <c r="O26" s="231" t="s">
        <v>47</v>
      </c>
      <c r="P26" s="231" t="s">
        <v>47</v>
      </c>
      <c r="Q26" s="231" t="s">
        <v>53</v>
      </c>
      <c r="R26" s="231" t="s">
        <v>53</v>
      </c>
      <c r="S26" s="231" t="s">
        <v>47</v>
      </c>
      <c r="T26" s="231" t="s">
        <v>47</v>
      </c>
      <c r="U26" s="231" t="s">
        <v>47</v>
      </c>
      <c r="V26" s="231" t="s">
        <v>47</v>
      </c>
      <c r="W26" s="231" t="s">
        <v>47</v>
      </c>
      <c r="X26" s="231" t="s">
        <v>53</v>
      </c>
      <c r="Y26" s="231" t="s">
        <v>53</v>
      </c>
      <c r="Z26" s="231" t="s">
        <v>47</v>
      </c>
      <c r="AA26" s="230" t="s">
        <v>47</v>
      </c>
      <c r="AB26" s="231" t="s">
        <v>49</v>
      </c>
      <c r="AC26" s="231" t="s">
        <v>47</v>
      </c>
      <c r="AD26" s="231" t="s">
        <v>47</v>
      </c>
      <c r="AE26" s="231" t="s">
        <v>53</v>
      </c>
      <c r="AF26" s="231" t="s">
        <v>53</v>
      </c>
      <c r="AG26" s="230"/>
      <c r="AH26" s="230"/>
    </row>
    <row r="27" ht="15.75" customHeight="1">
      <c r="A27" s="233" t="s">
        <v>252</v>
      </c>
      <c r="B27" s="231" t="s">
        <v>131</v>
      </c>
      <c r="C27" s="231" t="s">
        <v>47</v>
      </c>
      <c r="D27" s="231" t="s">
        <v>47</v>
      </c>
      <c r="E27" s="231" t="s">
        <v>47</v>
      </c>
      <c r="F27" s="231" t="s">
        <v>53</v>
      </c>
      <c r="G27" s="231" t="s">
        <v>53</v>
      </c>
      <c r="H27" s="231" t="s">
        <v>47</v>
      </c>
      <c r="I27" s="231" t="s">
        <v>47</v>
      </c>
      <c r="J27" s="231" t="s">
        <v>47</v>
      </c>
      <c r="K27" s="231" t="s">
        <v>47</v>
      </c>
      <c r="L27" s="231" t="s">
        <v>47</v>
      </c>
      <c r="M27" s="231" t="s">
        <v>53</v>
      </c>
      <c r="N27" s="231" t="s">
        <v>53</v>
      </c>
      <c r="O27" s="231" t="s">
        <v>49</v>
      </c>
      <c r="P27" s="231" t="s">
        <v>49</v>
      </c>
      <c r="Q27" s="231" t="s">
        <v>47</v>
      </c>
      <c r="R27" s="231" t="s">
        <v>47</v>
      </c>
      <c r="S27" s="230" t="s">
        <v>47</v>
      </c>
      <c r="T27" s="231" t="s">
        <v>53</v>
      </c>
      <c r="U27" s="231" t="s">
        <v>53</v>
      </c>
      <c r="V27" s="231" t="s">
        <v>47</v>
      </c>
      <c r="W27" s="231" t="s">
        <v>47</v>
      </c>
      <c r="X27" s="231" t="s">
        <v>47</v>
      </c>
      <c r="Y27" s="231" t="s">
        <v>47</v>
      </c>
      <c r="Z27" s="230" t="s">
        <v>47</v>
      </c>
      <c r="AA27" s="231" t="s">
        <v>53</v>
      </c>
      <c r="AB27" s="231" t="s">
        <v>53</v>
      </c>
      <c r="AC27" s="231" t="s">
        <v>47</v>
      </c>
      <c r="AD27" s="231" t="s">
        <v>47</v>
      </c>
      <c r="AE27" s="231" t="s">
        <v>47</v>
      </c>
      <c r="AF27" s="231" t="s">
        <v>47</v>
      </c>
      <c r="AG27" s="230"/>
      <c r="AH27" s="230"/>
    </row>
    <row r="28" ht="15.75" customHeight="1">
      <c r="A28" s="233" t="s">
        <v>253</v>
      </c>
      <c r="B28" s="231" t="s">
        <v>134</v>
      </c>
      <c r="C28" s="231" t="s">
        <v>49</v>
      </c>
      <c r="D28" s="231" t="s">
        <v>53</v>
      </c>
      <c r="E28" s="231" t="s">
        <v>53</v>
      </c>
      <c r="F28" s="231" t="s">
        <v>47</v>
      </c>
      <c r="G28" s="231" t="s">
        <v>47</v>
      </c>
      <c r="H28" s="231" t="s">
        <v>48</v>
      </c>
      <c r="I28" s="231" t="s">
        <v>48</v>
      </c>
      <c r="J28" s="231" t="s">
        <v>48</v>
      </c>
      <c r="K28" s="231" t="s">
        <v>53</v>
      </c>
      <c r="L28" s="231" t="s">
        <v>53</v>
      </c>
      <c r="M28" s="231" t="s">
        <v>47</v>
      </c>
      <c r="N28" s="231" t="s">
        <v>47</v>
      </c>
      <c r="O28" s="231" t="s">
        <v>47</v>
      </c>
      <c r="P28" s="231" t="s">
        <v>47</v>
      </c>
      <c r="Q28" s="231" t="s">
        <v>47</v>
      </c>
      <c r="R28" s="231" t="s">
        <v>53</v>
      </c>
      <c r="S28" s="231" t="s">
        <v>53</v>
      </c>
      <c r="T28" s="231" t="s">
        <v>47</v>
      </c>
      <c r="U28" s="231" t="s">
        <v>47</v>
      </c>
      <c r="V28" s="231" t="s">
        <v>47</v>
      </c>
      <c r="W28" s="231" t="s">
        <v>47</v>
      </c>
      <c r="X28" s="231" t="s">
        <v>47</v>
      </c>
      <c r="Y28" s="231" t="s">
        <v>53</v>
      </c>
      <c r="Z28" s="231" t="s">
        <v>53</v>
      </c>
      <c r="AA28" s="231" t="s">
        <v>47</v>
      </c>
      <c r="AB28" s="231" t="s">
        <v>47</v>
      </c>
      <c r="AC28" s="231" t="s">
        <v>47</v>
      </c>
      <c r="AD28" s="231" t="s">
        <v>49</v>
      </c>
      <c r="AE28" s="231" t="s">
        <v>49</v>
      </c>
      <c r="AF28" s="231" t="s">
        <v>53</v>
      </c>
      <c r="AG28" s="230"/>
      <c r="AH28" s="230"/>
    </row>
    <row r="29" ht="15.75" customHeight="1">
      <c r="A29" s="233" t="s">
        <v>254</v>
      </c>
      <c r="B29" s="231" t="s">
        <v>137</v>
      </c>
      <c r="C29" s="231" t="s">
        <v>47</v>
      </c>
      <c r="D29" s="231" t="s">
        <v>47</v>
      </c>
      <c r="E29" s="231" t="s">
        <v>47</v>
      </c>
      <c r="F29" s="231" t="s">
        <v>53</v>
      </c>
      <c r="G29" s="231" t="s">
        <v>53</v>
      </c>
      <c r="H29" s="231" t="s">
        <v>47</v>
      </c>
      <c r="I29" s="231" t="s">
        <v>47</v>
      </c>
      <c r="J29" s="231" t="s">
        <v>47</v>
      </c>
      <c r="K29" s="231" t="s">
        <v>47</v>
      </c>
      <c r="L29" s="231" t="s">
        <v>47</v>
      </c>
      <c r="M29" s="231" t="s">
        <v>53</v>
      </c>
      <c r="N29" s="231" t="s">
        <v>53</v>
      </c>
      <c r="O29" s="231" t="s">
        <v>49</v>
      </c>
      <c r="P29" s="231" t="s">
        <v>49</v>
      </c>
      <c r="Q29" s="231" t="s">
        <v>47</v>
      </c>
      <c r="R29" s="231" t="s">
        <v>47</v>
      </c>
      <c r="S29" s="230" t="s">
        <v>47</v>
      </c>
      <c r="T29" s="231" t="s">
        <v>53</v>
      </c>
      <c r="U29" s="231" t="s">
        <v>53</v>
      </c>
      <c r="V29" s="231" t="s">
        <v>47</v>
      </c>
      <c r="W29" s="231" t="s">
        <v>47</v>
      </c>
      <c r="X29" s="231" t="s">
        <v>47</v>
      </c>
      <c r="Y29" s="231" t="s">
        <v>47</v>
      </c>
      <c r="Z29" s="230" t="s">
        <v>47</v>
      </c>
      <c r="AA29" s="231" t="s">
        <v>53</v>
      </c>
      <c r="AB29" s="231" t="s">
        <v>53</v>
      </c>
      <c r="AC29" s="231" t="s">
        <v>47</v>
      </c>
      <c r="AD29" s="231" t="s">
        <v>47</v>
      </c>
      <c r="AE29" s="231" t="s">
        <v>47</v>
      </c>
      <c r="AF29" s="231" t="s">
        <v>47</v>
      </c>
      <c r="AG29" s="230"/>
      <c r="AH29" s="230"/>
    </row>
    <row r="30" ht="15.75" customHeight="1">
      <c r="A30" s="233" t="s">
        <v>255</v>
      </c>
      <c r="B30" s="231" t="s">
        <v>140</v>
      </c>
      <c r="C30" s="231" t="s">
        <v>47</v>
      </c>
      <c r="D30" s="231" t="s">
        <v>47</v>
      </c>
      <c r="E30" s="231" t="s">
        <v>47</v>
      </c>
      <c r="F30" s="231" t="s">
        <v>53</v>
      </c>
      <c r="G30" s="231" t="s">
        <v>53</v>
      </c>
      <c r="H30" s="231" t="s">
        <v>47</v>
      </c>
      <c r="I30" s="231" t="s">
        <v>47</v>
      </c>
      <c r="J30" s="231" t="s">
        <v>47</v>
      </c>
      <c r="K30" s="231" t="s">
        <v>47</v>
      </c>
      <c r="L30" s="231" t="s">
        <v>47</v>
      </c>
      <c r="M30" s="231" t="s">
        <v>53</v>
      </c>
      <c r="N30" s="231" t="s">
        <v>53</v>
      </c>
      <c r="O30" s="231" t="s">
        <v>47</v>
      </c>
      <c r="P30" s="231" t="s">
        <v>47</v>
      </c>
      <c r="Q30" s="231" t="s">
        <v>47</v>
      </c>
      <c r="R30" s="231" t="s">
        <v>47</v>
      </c>
      <c r="S30" s="231" t="s">
        <v>47</v>
      </c>
      <c r="T30" s="231" t="s">
        <v>53</v>
      </c>
      <c r="U30" s="231" t="s">
        <v>53</v>
      </c>
      <c r="V30" s="231" t="s">
        <v>47</v>
      </c>
      <c r="W30" s="231" t="s">
        <v>47</v>
      </c>
      <c r="X30" s="231" t="s">
        <v>47</v>
      </c>
      <c r="Y30" s="231" t="s">
        <v>47</v>
      </c>
      <c r="Z30" s="231" t="s">
        <v>47</v>
      </c>
      <c r="AA30" s="231" t="s">
        <v>53</v>
      </c>
      <c r="AB30" s="231" t="s">
        <v>53</v>
      </c>
      <c r="AC30" s="231" t="s">
        <v>47</v>
      </c>
      <c r="AD30" s="231" t="s">
        <v>47</v>
      </c>
      <c r="AE30" s="231" t="s">
        <v>47</v>
      </c>
      <c r="AF30" s="231" t="s">
        <v>47</v>
      </c>
      <c r="AG30" s="230"/>
      <c r="AH30" s="230"/>
    </row>
    <row r="31" ht="15.75" customHeight="1">
      <c r="A31" s="233" t="s">
        <v>256</v>
      </c>
      <c r="B31" s="231" t="s">
        <v>143</v>
      </c>
      <c r="C31" s="231" t="s">
        <v>49</v>
      </c>
      <c r="D31" s="231" t="s">
        <v>49</v>
      </c>
      <c r="E31" s="231" t="s">
        <v>49</v>
      </c>
      <c r="F31" s="231" t="s">
        <v>48</v>
      </c>
      <c r="G31" s="231" t="s">
        <v>53</v>
      </c>
      <c r="H31" s="231" t="s">
        <v>53</v>
      </c>
      <c r="I31" s="231" t="s">
        <v>48</v>
      </c>
      <c r="J31" s="231" t="s">
        <v>48</v>
      </c>
      <c r="K31" s="231" t="s">
        <v>48</v>
      </c>
      <c r="L31" s="231" t="s">
        <v>48</v>
      </c>
      <c r="M31" s="231" t="s">
        <v>48</v>
      </c>
      <c r="N31" s="231" t="s">
        <v>53</v>
      </c>
      <c r="O31" s="231" t="s">
        <v>53</v>
      </c>
      <c r="P31" s="231" t="s">
        <v>47</v>
      </c>
      <c r="Q31" s="231" t="s">
        <v>47</v>
      </c>
      <c r="R31" s="231" t="s">
        <v>47</v>
      </c>
      <c r="S31" s="231" t="s">
        <v>47</v>
      </c>
      <c r="T31" s="231" t="s">
        <v>47</v>
      </c>
      <c r="U31" s="231" t="s">
        <v>53</v>
      </c>
      <c r="V31" s="231" t="s">
        <v>53</v>
      </c>
      <c r="W31" s="231" t="s">
        <v>47</v>
      </c>
      <c r="X31" s="231" t="s">
        <v>47</v>
      </c>
      <c r="Y31" s="231" t="s">
        <v>47</v>
      </c>
      <c r="Z31" s="231" t="s">
        <v>47</v>
      </c>
      <c r="AA31" s="231" t="s">
        <v>47</v>
      </c>
      <c r="AB31" s="231" t="s">
        <v>53</v>
      </c>
      <c r="AC31" s="231" t="s">
        <v>53</v>
      </c>
      <c r="AD31" s="231" t="s">
        <v>47</v>
      </c>
      <c r="AE31" s="231" t="s">
        <v>47</v>
      </c>
      <c r="AF31" s="231" t="s">
        <v>47</v>
      </c>
      <c r="AG31" s="230"/>
      <c r="AH31" s="230"/>
    </row>
    <row r="32" ht="15.75" customHeight="1">
      <c r="A32" s="233" t="s">
        <v>257</v>
      </c>
      <c r="B32" s="231" t="s">
        <v>146</v>
      </c>
      <c r="C32" s="231" t="s">
        <v>53</v>
      </c>
      <c r="D32" s="231" t="s">
        <v>47</v>
      </c>
      <c r="E32" s="231" t="s">
        <v>47</v>
      </c>
      <c r="F32" s="231" t="s">
        <v>47</v>
      </c>
      <c r="G32" s="231" t="s">
        <v>47</v>
      </c>
      <c r="H32" s="231" t="s">
        <v>47</v>
      </c>
      <c r="I32" s="231" t="s">
        <v>53</v>
      </c>
      <c r="J32" s="231" t="s">
        <v>53</v>
      </c>
      <c r="K32" s="231" t="s">
        <v>47</v>
      </c>
      <c r="L32" s="231" t="s">
        <v>47</v>
      </c>
      <c r="M32" s="231" t="s">
        <v>47</v>
      </c>
      <c r="N32" s="231" t="s">
        <v>47</v>
      </c>
      <c r="O32" s="231" t="s">
        <v>47</v>
      </c>
      <c r="P32" s="231" t="s">
        <v>53</v>
      </c>
      <c r="Q32" s="231" t="s">
        <v>53</v>
      </c>
      <c r="R32" s="231" t="s">
        <v>47</v>
      </c>
      <c r="S32" s="231" t="s">
        <v>47</v>
      </c>
      <c r="T32" s="231" t="s">
        <v>47</v>
      </c>
      <c r="U32" s="231" t="s">
        <v>47</v>
      </c>
      <c r="V32" s="231" t="s">
        <v>47</v>
      </c>
      <c r="W32" s="231" t="s">
        <v>53</v>
      </c>
      <c r="X32" s="231" t="s">
        <v>53</v>
      </c>
      <c r="Y32" s="231" t="s">
        <v>47</v>
      </c>
      <c r="Z32" s="231" t="s">
        <v>47</v>
      </c>
      <c r="AA32" s="231" t="s">
        <v>47</v>
      </c>
      <c r="AB32" s="231" t="s">
        <v>47</v>
      </c>
      <c r="AC32" s="231" t="s">
        <v>48</v>
      </c>
      <c r="AD32" s="231" t="s">
        <v>53</v>
      </c>
      <c r="AE32" s="231" t="s">
        <v>53</v>
      </c>
      <c r="AF32" s="231" t="s">
        <v>47</v>
      </c>
      <c r="AG32" s="230"/>
      <c r="AH32" s="230"/>
    </row>
    <row r="33" ht="15.75" customHeight="1">
      <c r="A33" s="233" t="s">
        <v>258</v>
      </c>
      <c r="B33" s="231" t="s">
        <v>150</v>
      </c>
      <c r="C33" s="231" t="s">
        <v>47</v>
      </c>
      <c r="D33" s="231" t="s">
        <v>47</v>
      </c>
      <c r="E33" s="230" t="s">
        <v>47</v>
      </c>
      <c r="F33" s="230" t="s">
        <v>47</v>
      </c>
      <c r="G33" s="231" t="s">
        <v>53</v>
      </c>
      <c r="H33" s="231" t="s">
        <v>53</v>
      </c>
      <c r="I33" s="231" t="s">
        <v>47</v>
      </c>
      <c r="J33" s="231" t="s">
        <v>47</v>
      </c>
      <c r="K33" s="231" t="s">
        <v>47</v>
      </c>
      <c r="L33" s="231" t="s">
        <v>47</v>
      </c>
      <c r="M33" s="231" t="s">
        <v>47</v>
      </c>
      <c r="N33" s="231" t="s">
        <v>53</v>
      </c>
      <c r="O33" s="231" t="s">
        <v>53</v>
      </c>
      <c r="P33" s="231" t="s">
        <v>47</v>
      </c>
      <c r="Q33" s="231" t="s">
        <v>47</v>
      </c>
      <c r="R33" s="231" t="s">
        <v>47</v>
      </c>
      <c r="S33" s="231" t="s">
        <v>47</v>
      </c>
      <c r="T33" s="231" t="s">
        <v>47</v>
      </c>
      <c r="U33" s="231" t="s">
        <v>53</v>
      </c>
      <c r="V33" s="231" t="s">
        <v>53</v>
      </c>
      <c r="W33" s="231" t="s">
        <v>47</v>
      </c>
      <c r="X33" s="231" t="s">
        <v>47</v>
      </c>
      <c r="Y33" s="231" t="s">
        <v>47</v>
      </c>
      <c r="Z33" s="231" t="s">
        <v>47</v>
      </c>
      <c r="AA33" s="231" t="s">
        <v>47</v>
      </c>
      <c r="AB33" s="231" t="s">
        <v>53</v>
      </c>
      <c r="AC33" s="231" t="s">
        <v>53</v>
      </c>
      <c r="AD33" s="231" t="s">
        <v>47</v>
      </c>
      <c r="AE33" s="231" t="s">
        <v>47</v>
      </c>
      <c r="AF33" s="231" t="s">
        <v>47</v>
      </c>
      <c r="AG33" s="230"/>
      <c r="AH33" s="230"/>
    </row>
    <row r="34" ht="15.75" customHeight="1">
      <c r="A34" s="233" t="s">
        <v>259</v>
      </c>
      <c r="B34" s="231" t="s">
        <v>153</v>
      </c>
      <c r="C34" s="231" t="s">
        <v>47</v>
      </c>
      <c r="D34" s="231" t="s">
        <v>47</v>
      </c>
      <c r="E34" s="231" t="s">
        <v>47</v>
      </c>
      <c r="F34" s="231" t="s">
        <v>47</v>
      </c>
      <c r="G34" s="231" t="s">
        <v>53</v>
      </c>
      <c r="H34" s="231" t="s">
        <v>53</v>
      </c>
      <c r="I34" s="231" t="s">
        <v>47</v>
      </c>
      <c r="J34" s="231" t="s">
        <v>47</v>
      </c>
      <c r="K34" s="231" t="s">
        <v>47</v>
      </c>
      <c r="L34" s="231" t="s">
        <v>47</v>
      </c>
      <c r="M34" s="231" t="s">
        <v>47</v>
      </c>
      <c r="N34" s="231" t="s">
        <v>53</v>
      </c>
      <c r="O34" s="231" t="s">
        <v>53</v>
      </c>
      <c r="P34" s="231" t="s">
        <v>47</v>
      </c>
      <c r="Q34" s="231" t="s">
        <v>47</v>
      </c>
      <c r="R34" s="231" t="s">
        <v>47</v>
      </c>
      <c r="S34" s="231" t="s">
        <v>47</v>
      </c>
      <c r="T34" s="231" t="s">
        <v>47</v>
      </c>
      <c r="U34" s="231" t="s">
        <v>53</v>
      </c>
      <c r="V34" s="231" t="s">
        <v>53</v>
      </c>
      <c r="W34" s="231" t="s">
        <v>47</v>
      </c>
      <c r="X34" s="231" t="s">
        <v>47</v>
      </c>
      <c r="Y34" s="231" t="s">
        <v>47</v>
      </c>
      <c r="Z34" s="231" t="s">
        <v>47</v>
      </c>
      <c r="AA34" s="231" t="s">
        <v>47</v>
      </c>
      <c r="AB34" s="231" t="s">
        <v>53</v>
      </c>
      <c r="AC34" s="231" t="s">
        <v>53</v>
      </c>
      <c r="AD34" s="231" t="s">
        <v>47</v>
      </c>
      <c r="AE34" s="231" t="s">
        <v>47</v>
      </c>
      <c r="AF34" s="231" t="s">
        <v>47</v>
      </c>
      <c r="AG34" s="230"/>
      <c r="AH34" s="230"/>
    </row>
    <row r="35" ht="15.75" customHeight="1">
      <c r="A35" s="233" t="s">
        <v>260</v>
      </c>
      <c r="B35" s="231" t="s">
        <v>156</v>
      </c>
      <c r="C35" s="231" t="s">
        <v>47</v>
      </c>
      <c r="D35" s="231" t="s">
        <v>47</v>
      </c>
      <c r="E35" s="231" t="s">
        <v>47</v>
      </c>
      <c r="F35" s="231" t="s">
        <v>53</v>
      </c>
      <c r="G35" s="231" t="s">
        <v>53</v>
      </c>
      <c r="H35" s="231" t="s">
        <v>47</v>
      </c>
      <c r="I35" s="230" t="s">
        <v>47</v>
      </c>
      <c r="J35" s="230" t="s">
        <v>47</v>
      </c>
      <c r="K35" s="230" t="s">
        <v>47</v>
      </c>
      <c r="L35" s="230" t="s">
        <v>47</v>
      </c>
      <c r="M35" s="231" t="s">
        <v>53</v>
      </c>
      <c r="N35" s="231" t="s">
        <v>53</v>
      </c>
      <c r="O35" s="231" t="s">
        <v>47</v>
      </c>
      <c r="P35" s="231" t="s">
        <v>47</v>
      </c>
      <c r="Q35" s="231" t="s">
        <v>47</v>
      </c>
      <c r="R35" s="231" t="s">
        <v>47</v>
      </c>
      <c r="S35" s="230" t="s">
        <v>47</v>
      </c>
      <c r="T35" s="231" t="s">
        <v>53</v>
      </c>
      <c r="U35" s="231" t="s">
        <v>53</v>
      </c>
      <c r="V35" s="231" t="s">
        <v>47</v>
      </c>
      <c r="W35" s="231" t="s">
        <v>47</v>
      </c>
      <c r="X35" s="231" t="s">
        <v>47</v>
      </c>
      <c r="Y35" s="231" t="s">
        <v>47</v>
      </c>
      <c r="Z35" s="231" t="s">
        <v>47</v>
      </c>
      <c r="AA35" s="231" t="s">
        <v>53</v>
      </c>
      <c r="AB35" s="231" t="s">
        <v>53</v>
      </c>
      <c r="AC35" s="231" t="s">
        <v>47</v>
      </c>
      <c r="AD35" s="231" t="s">
        <v>47</v>
      </c>
      <c r="AE35" s="231" t="s">
        <v>47</v>
      </c>
      <c r="AF35" s="231" t="s">
        <v>47</v>
      </c>
      <c r="AG35" s="230"/>
      <c r="AH35" s="230"/>
    </row>
    <row r="36" ht="15.75" customHeight="1">
      <c r="A36" s="233" t="s">
        <v>261</v>
      </c>
      <c r="B36" s="231" t="s">
        <v>159</v>
      </c>
      <c r="C36" s="231" t="s">
        <v>47</v>
      </c>
      <c r="D36" s="231" t="s">
        <v>47</v>
      </c>
      <c r="E36" s="231" t="s">
        <v>47</v>
      </c>
      <c r="F36" s="231" t="s">
        <v>47</v>
      </c>
      <c r="G36" s="231" t="s">
        <v>49</v>
      </c>
      <c r="H36" s="231" t="s">
        <v>53</v>
      </c>
      <c r="I36" s="231" t="s">
        <v>53</v>
      </c>
      <c r="J36" s="231" t="s">
        <v>47</v>
      </c>
      <c r="K36" s="231" t="s">
        <v>47</v>
      </c>
      <c r="L36" s="231" t="s">
        <v>47</v>
      </c>
      <c r="M36" s="231" t="s">
        <v>47</v>
      </c>
      <c r="N36" s="231" t="s">
        <v>49</v>
      </c>
      <c r="O36" s="231" t="s">
        <v>53</v>
      </c>
      <c r="P36" s="231" t="s">
        <v>53</v>
      </c>
      <c r="Q36" s="231" t="s">
        <v>47</v>
      </c>
      <c r="R36" s="231" t="s">
        <v>47</v>
      </c>
      <c r="S36" s="231" t="s">
        <v>47</v>
      </c>
      <c r="T36" s="231" t="s">
        <v>47</v>
      </c>
      <c r="U36" s="231" t="s">
        <v>47</v>
      </c>
      <c r="V36" s="231" t="s">
        <v>53</v>
      </c>
      <c r="W36" s="231" t="s">
        <v>53</v>
      </c>
      <c r="X36" s="231" t="s">
        <v>47</v>
      </c>
      <c r="Y36" s="231" t="s">
        <v>47</v>
      </c>
      <c r="Z36" s="231" t="s">
        <v>48</v>
      </c>
      <c r="AA36" s="231" t="s">
        <v>48</v>
      </c>
      <c r="AB36" s="231" t="s">
        <v>48</v>
      </c>
      <c r="AC36" s="231" t="s">
        <v>53</v>
      </c>
      <c r="AD36" s="231" t="s">
        <v>53</v>
      </c>
      <c r="AE36" s="231" t="s">
        <v>47</v>
      </c>
      <c r="AF36" s="231" t="s">
        <v>47</v>
      </c>
      <c r="AG36" s="230"/>
      <c r="AH36" s="230"/>
    </row>
    <row r="37" ht="15.75" customHeight="1">
      <c r="A37" s="233" t="s">
        <v>262</v>
      </c>
      <c r="B37" s="231" t="s">
        <v>162</v>
      </c>
      <c r="C37" s="231" t="s">
        <v>47</v>
      </c>
      <c r="D37" s="230" t="s">
        <v>47</v>
      </c>
      <c r="E37" s="231" t="s">
        <v>47</v>
      </c>
      <c r="F37" s="231" t="s">
        <v>53</v>
      </c>
      <c r="G37" s="231" t="s">
        <v>53</v>
      </c>
      <c r="H37" s="231" t="s">
        <v>47</v>
      </c>
      <c r="I37" s="231" t="s">
        <v>47</v>
      </c>
      <c r="J37" s="231" t="s">
        <v>47</v>
      </c>
      <c r="K37" s="231" t="s">
        <v>47</v>
      </c>
      <c r="L37" s="230" t="s">
        <v>47</v>
      </c>
      <c r="M37" s="231" t="s">
        <v>53</v>
      </c>
      <c r="N37" s="231" t="s">
        <v>53</v>
      </c>
      <c r="O37" s="231" t="s">
        <v>49</v>
      </c>
      <c r="P37" s="231" t="s">
        <v>47</v>
      </c>
      <c r="Q37" s="231" t="s">
        <v>47</v>
      </c>
      <c r="R37" s="231" t="s">
        <v>47</v>
      </c>
      <c r="S37" s="231" t="s">
        <v>49</v>
      </c>
      <c r="T37" s="231" t="s">
        <v>53</v>
      </c>
      <c r="U37" s="231" t="s">
        <v>53</v>
      </c>
      <c r="V37" s="231" t="s">
        <v>49</v>
      </c>
      <c r="W37" s="231" t="s">
        <v>47</v>
      </c>
      <c r="X37" s="231" t="s">
        <v>47</v>
      </c>
      <c r="Y37" s="231" t="s">
        <v>47</v>
      </c>
      <c r="Z37" s="230" t="s">
        <v>47</v>
      </c>
      <c r="AA37" s="231" t="s">
        <v>53</v>
      </c>
      <c r="AB37" s="231" t="s">
        <v>53</v>
      </c>
      <c r="AC37" s="231" t="s">
        <v>48</v>
      </c>
      <c r="AD37" s="231" t="s">
        <v>47</v>
      </c>
      <c r="AE37" s="231" t="s">
        <v>47</v>
      </c>
      <c r="AF37" s="231" t="s">
        <v>47</v>
      </c>
      <c r="AG37" s="230"/>
      <c r="AH37" s="230"/>
    </row>
    <row r="38" ht="15.75" customHeight="1">
      <c r="A38" s="233" t="s">
        <v>263</v>
      </c>
      <c r="B38" s="231" t="s">
        <v>165</v>
      </c>
      <c r="C38" s="231" t="s">
        <v>47</v>
      </c>
      <c r="D38" s="231" t="s">
        <v>47</v>
      </c>
      <c r="E38" s="231" t="s">
        <v>47</v>
      </c>
      <c r="F38" s="231" t="s">
        <v>47</v>
      </c>
      <c r="G38" s="231" t="s">
        <v>47</v>
      </c>
      <c r="H38" s="231" t="s">
        <v>53</v>
      </c>
      <c r="I38" s="231" t="s">
        <v>53</v>
      </c>
      <c r="J38" s="231" t="s">
        <v>47</v>
      </c>
      <c r="K38" s="231" t="s">
        <v>47</v>
      </c>
      <c r="L38" s="231" t="s">
        <v>47</v>
      </c>
      <c r="M38" s="231" t="s">
        <v>47</v>
      </c>
      <c r="N38" s="231" t="s">
        <v>47</v>
      </c>
      <c r="O38" s="231" t="s">
        <v>53</v>
      </c>
      <c r="P38" s="231" t="s">
        <v>47</v>
      </c>
      <c r="Q38" s="231" t="s">
        <v>47</v>
      </c>
      <c r="R38" s="231" t="s">
        <v>47</v>
      </c>
      <c r="S38" s="231" t="s">
        <v>53</v>
      </c>
      <c r="T38" s="231" t="s">
        <v>47</v>
      </c>
      <c r="U38" s="231" t="s">
        <v>47</v>
      </c>
      <c r="V38" s="231" t="s">
        <v>53</v>
      </c>
      <c r="W38" s="231" t="s">
        <v>53</v>
      </c>
      <c r="X38" s="231" t="s">
        <v>47</v>
      </c>
      <c r="Y38" s="231" t="s">
        <v>47</v>
      </c>
      <c r="Z38" s="231" t="s">
        <v>47</v>
      </c>
      <c r="AA38" s="231" t="s">
        <v>47</v>
      </c>
      <c r="AB38" s="231" t="s">
        <v>47</v>
      </c>
      <c r="AC38" s="231" t="s">
        <v>53</v>
      </c>
      <c r="AD38" s="231" t="s">
        <v>53</v>
      </c>
      <c r="AE38" s="231" t="s">
        <v>47</v>
      </c>
      <c r="AF38" s="231" t="s">
        <v>47</v>
      </c>
      <c r="AG38" s="230"/>
      <c r="AH38" s="230"/>
    </row>
    <row r="39" ht="15.75" customHeight="1">
      <c r="A39" s="233" t="s">
        <v>264</v>
      </c>
      <c r="B39" s="231" t="s">
        <v>168</v>
      </c>
      <c r="C39" s="231" t="s">
        <v>53</v>
      </c>
      <c r="D39" s="231" t="s">
        <v>53</v>
      </c>
      <c r="E39" s="231" t="s">
        <v>47</v>
      </c>
      <c r="F39" s="231" t="s">
        <v>47</v>
      </c>
      <c r="G39" s="231" t="s">
        <v>47</v>
      </c>
      <c r="H39" s="231" t="s">
        <v>47</v>
      </c>
      <c r="I39" s="231" t="s">
        <v>47</v>
      </c>
      <c r="J39" s="231" t="s">
        <v>53</v>
      </c>
      <c r="K39" s="231" t="s">
        <v>53</v>
      </c>
      <c r="L39" s="231" t="s">
        <v>47</v>
      </c>
      <c r="M39" s="231" t="s">
        <v>47</v>
      </c>
      <c r="N39" s="231" t="s">
        <v>47</v>
      </c>
      <c r="O39" s="231" t="s">
        <v>47</v>
      </c>
      <c r="P39" s="231" t="s">
        <v>47</v>
      </c>
      <c r="Q39" s="231" t="s">
        <v>53</v>
      </c>
      <c r="R39" s="231" t="s">
        <v>53</v>
      </c>
      <c r="S39" s="231" t="s">
        <v>47</v>
      </c>
      <c r="T39" s="231" t="s">
        <v>47</v>
      </c>
      <c r="U39" s="231" t="s">
        <v>47</v>
      </c>
      <c r="V39" s="231" t="s">
        <v>47</v>
      </c>
      <c r="W39" s="231" t="s">
        <v>47</v>
      </c>
      <c r="X39" s="231" t="s">
        <v>53</v>
      </c>
      <c r="Y39" s="231" t="s">
        <v>53</v>
      </c>
      <c r="Z39" s="231" t="s">
        <v>47</v>
      </c>
      <c r="AA39" s="231" t="s">
        <v>47</v>
      </c>
      <c r="AB39" s="231" t="s">
        <v>47</v>
      </c>
      <c r="AC39" s="231" t="s">
        <v>47</v>
      </c>
      <c r="AD39" s="231" t="s">
        <v>47</v>
      </c>
      <c r="AE39" s="231" t="s">
        <v>53</v>
      </c>
      <c r="AF39" s="231" t="s">
        <v>53</v>
      </c>
      <c r="AG39" s="230"/>
      <c r="AH39" s="230"/>
    </row>
    <row r="40" ht="15.75" customHeight="1">
      <c r="A40" s="233" t="s">
        <v>265</v>
      </c>
      <c r="B40" s="231" t="s">
        <v>171</v>
      </c>
      <c r="C40" s="231" t="s">
        <v>53</v>
      </c>
      <c r="D40" s="231" t="s">
        <v>47</v>
      </c>
      <c r="E40" s="230" t="s">
        <v>47</v>
      </c>
      <c r="F40" s="230" t="s">
        <v>47</v>
      </c>
      <c r="G40" s="230" t="s">
        <v>47</v>
      </c>
      <c r="H40" s="230" t="s">
        <v>47</v>
      </c>
      <c r="I40" s="231" t="s">
        <v>53</v>
      </c>
      <c r="J40" s="231" t="s">
        <v>53</v>
      </c>
      <c r="K40" s="231" t="s">
        <v>47</v>
      </c>
      <c r="L40" s="230" t="s">
        <v>47</v>
      </c>
      <c r="M40" s="230" t="s">
        <v>47</v>
      </c>
      <c r="N40" s="230" t="s">
        <v>47</v>
      </c>
      <c r="O40" s="230" t="s">
        <v>47</v>
      </c>
      <c r="P40" s="231" t="s">
        <v>53</v>
      </c>
      <c r="Q40" s="231" t="s">
        <v>53</v>
      </c>
      <c r="R40" s="231" t="s">
        <v>47</v>
      </c>
      <c r="S40" s="230" t="s">
        <v>47</v>
      </c>
      <c r="T40" s="230" t="s">
        <v>47</v>
      </c>
      <c r="U40" s="230" t="s">
        <v>47</v>
      </c>
      <c r="V40" s="230" t="s">
        <v>47</v>
      </c>
      <c r="W40" s="231" t="s">
        <v>53</v>
      </c>
      <c r="X40" s="231" t="s">
        <v>53</v>
      </c>
      <c r="Y40" s="231" t="s">
        <v>47</v>
      </c>
      <c r="Z40" s="230" t="s">
        <v>47</v>
      </c>
      <c r="AA40" s="230" t="s">
        <v>47</v>
      </c>
      <c r="AB40" s="231" t="s">
        <v>47</v>
      </c>
      <c r="AC40" s="231" t="s">
        <v>47</v>
      </c>
      <c r="AD40" s="231" t="s">
        <v>53</v>
      </c>
      <c r="AE40" s="231" t="s">
        <v>53</v>
      </c>
      <c r="AF40" s="231" t="s">
        <v>47</v>
      </c>
      <c r="AG40" s="230"/>
      <c r="AH40" s="230"/>
    </row>
    <row r="41" ht="15.75" customHeight="1">
      <c r="A41" s="233" t="s">
        <v>266</v>
      </c>
      <c r="B41" s="231" t="s">
        <v>174</v>
      </c>
      <c r="C41" s="231" t="s">
        <v>53</v>
      </c>
      <c r="D41" s="231" t="s">
        <v>47</v>
      </c>
      <c r="E41" s="231" t="s">
        <v>47</v>
      </c>
      <c r="F41" s="231" t="s">
        <v>47</v>
      </c>
      <c r="G41" s="231" t="s">
        <v>47</v>
      </c>
      <c r="H41" s="231" t="s">
        <v>47</v>
      </c>
      <c r="I41" s="231" t="s">
        <v>53</v>
      </c>
      <c r="J41" s="231" t="s">
        <v>53</v>
      </c>
      <c r="K41" s="231" t="s">
        <v>47</v>
      </c>
      <c r="L41" s="231" t="s">
        <v>47</v>
      </c>
      <c r="M41" s="231" t="s">
        <v>47</v>
      </c>
      <c r="N41" s="231" t="s">
        <v>47</v>
      </c>
      <c r="O41" s="231" t="s">
        <v>47</v>
      </c>
      <c r="P41" s="231" t="s">
        <v>53</v>
      </c>
      <c r="Q41" s="231" t="s">
        <v>53</v>
      </c>
      <c r="R41" s="231" t="s">
        <v>47</v>
      </c>
      <c r="S41" s="231" t="s">
        <v>47</v>
      </c>
      <c r="T41" s="231" t="s">
        <v>47</v>
      </c>
      <c r="U41" s="231" t="s">
        <v>49</v>
      </c>
      <c r="V41" s="231" t="s">
        <v>49</v>
      </c>
      <c r="W41" s="231" t="s">
        <v>53</v>
      </c>
      <c r="X41" s="231" t="s">
        <v>53</v>
      </c>
      <c r="Y41" s="230" t="s">
        <v>47</v>
      </c>
      <c r="Z41" s="231" t="s">
        <v>47</v>
      </c>
      <c r="AA41" s="231" t="s">
        <v>47</v>
      </c>
      <c r="AB41" s="231" t="s">
        <v>47</v>
      </c>
      <c r="AC41" s="231" t="s">
        <v>47</v>
      </c>
      <c r="AD41" s="231" t="s">
        <v>53</v>
      </c>
      <c r="AE41" s="231" t="s">
        <v>53</v>
      </c>
      <c r="AF41" s="231" t="s">
        <v>47</v>
      </c>
      <c r="AG41" s="230"/>
      <c r="AH41" s="230"/>
    </row>
    <row r="42" ht="15.75" customHeight="1">
      <c r="A42" s="233" t="s">
        <v>267</v>
      </c>
      <c r="B42" s="231" t="s">
        <v>177</v>
      </c>
      <c r="C42" s="231" t="s">
        <v>47</v>
      </c>
      <c r="D42" s="231" t="s">
        <v>47</v>
      </c>
      <c r="E42" s="231" t="s">
        <v>47</v>
      </c>
      <c r="F42" s="231" t="s">
        <v>47</v>
      </c>
      <c r="G42" s="231" t="s">
        <v>47</v>
      </c>
      <c r="H42" s="231" t="s">
        <v>53</v>
      </c>
      <c r="I42" s="231" t="s">
        <v>53</v>
      </c>
      <c r="J42" s="231" t="s">
        <v>47</v>
      </c>
      <c r="K42" s="231" t="s">
        <v>47</v>
      </c>
      <c r="L42" s="231" t="s">
        <v>47</v>
      </c>
      <c r="M42" s="231" t="s">
        <v>49</v>
      </c>
      <c r="N42" s="231" t="s">
        <v>49</v>
      </c>
      <c r="O42" s="231" t="s">
        <v>53</v>
      </c>
      <c r="P42" s="231" t="s">
        <v>53</v>
      </c>
      <c r="Q42" s="231" t="s">
        <v>49</v>
      </c>
      <c r="R42" s="231" t="s">
        <v>48</v>
      </c>
      <c r="S42" s="231" t="s">
        <v>48</v>
      </c>
      <c r="T42" s="231" t="s">
        <v>48</v>
      </c>
      <c r="U42" s="231" t="s">
        <v>47</v>
      </c>
      <c r="V42" s="231" t="s">
        <v>53</v>
      </c>
      <c r="W42" s="231" t="s">
        <v>53</v>
      </c>
      <c r="X42" s="230" t="s">
        <v>47</v>
      </c>
      <c r="Y42" s="230" t="s">
        <v>47</v>
      </c>
      <c r="Z42" s="231" t="s">
        <v>48</v>
      </c>
      <c r="AA42" s="231" t="s">
        <v>48</v>
      </c>
      <c r="AB42" s="231" t="s">
        <v>48</v>
      </c>
      <c r="AC42" s="231" t="s">
        <v>53</v>
      </c>
      <c r="AD42" s="231" t="s">
        <v>53</v>
      </c>
      <c r="AE42" s="231" t="s">
        <v>47</v>
      </c>
      <c r="AF42" s="231" t="s">
        <v>47</v>
      </c>
      <c r="AG42" s="230"/>
      <c r="AH42" s="230"/>
    </row>
    <row r="43" ht="15.75" customHeight="1">
      <c r="A43" s="232" t="s">
        <v>268</v>
      </c>
      <c r="B43" s="231" t="s">
        <v>180</v>
      </c>
      <c r="C43" s="231" t="s">
        <v>53</v>
      </c>
      <c r="D43" s="231" t="s">
        <v>49</v>
      </c>
      <c r="E43" s="231" t="s">
        <v>49</v>
      </c>
      <c r="F43" s="230" t="s">
        <v>47</v>
      </c>
      <c r="G43" s="230" t="s">
        <v>47</v>
      </c>
      <c r="H43" s="230" t="s">
        <v>47</v>
      </c>
      <c r="I43" s="231" t="s">
        <v>53</v>
      </c>
      <c r="J43" s="231" t="s">
        <v>53</v>
      </c>
      <c r="K43" s="231" t="s">
        <v>47</v>
      </c>
      <c r="L43" s="230" t="s">
        <v>47</v>
      </c>
      <c r="M43" s="231" t="s">
        <v>47</v>
      </c>
      <c r="N43" s="230" t="s">
        <v>47</v>
      </c>
      <c r="O43" s="230" t="s">
        <v>47</v>
      </c>
      <c r="P43" s="231" t="s">
        <v>53</v>
      </c>
      <c r="Q43" s="231" t="s">
        <v>53</v>
      </c>
      <c r="R43" s="231" t="s">
        <v>47</v>
      </c>
      <c r="S43" s="230" t="s">
        <v>47</v>
      </c>
      <c r="T43" s="230" t="s">
        <v>47</v>
      </c>
      <c r="U43" s="231" t="s">
        <v>47</v>
      </c>
      <c r="V43" s="231" t="s">
        <v>47</v>
      </c>
      <c r="W43" s="231" t="s">
        <v>53</v>
      </c>
      <c r="X43" s="231" t="s">
        <v>53</v>
      </c>
      <c r="Y43" s="230" t="s">
        <v>47</v>
      </c>
      <c r="Z43" s="231" t="s">
        <v>47</v>
      </c>
      <c r="AA43" s="231" t="s">
        <v>47</v>
      </c>
      <c r="AB43" s="230" t="s">
        <v>47</v>
      </c>
      <c r="AC43" s="231" t="s">
        <v>47</v>
      </c>
      <c r="AD43" s="231" t="s">
        <v>53</v>
      </c>
      <c r="AE43" s="231" t="s">
        <v>53</v>
      </c>
      <c r="AF43" s="231" t="s">
        <v>49</v>
      </c>
      <c r="AG43" s="230"/>
      <c r="AH43" s="230"/>
    </row>
    <row r="44" ht="15.75" customHeight="1">
      <c r="A44" s="232" t="s">
        <v>269</v>
      </c>
      <c r="B44" s="231" t="s">
        <v>270</v>
      </c>
      <c r="C44" s="231" t="s">
        <v>47</v>
      </c>
      <c r="D44" s="231" t="s">
        <v>47</v>
      </c>
      <c r="E44" s="230" t="s">
        <v>47</v>
      </c>
      <c r="F44" s="230" t="s">
        <v>47</v>
      </c>
      <c r="G44" s="230" t="s">
        <v>47</v>
      </c>
      <c r="H44" s="231" t="s">
        <v>53</v>
      </c>
      <c r="I44" s="231" t="s">
        <v>53</v>
      </c>
      <c r="J44" s="231" t="s">
        <v>47</v>
      </c>
      <c r="K44" s="231" t="s">
        <v>47</v>
      </c>
      <c r="L44" s="230" t="s">
        <v>47</v>
      </c>
      <c r="M44" s="230" t="s">
        <v>47</v>
      </c>
      <c r="N44" s="230" t="s">
        <v>47</v>
      </c>
      <c r="O44" s="231" t="s">
        <v>53</v>
      </c>
      <c r="P44" s="231" t="s">
        <v>53</v>
      </c>
      <c r="Q44" s="231" t="s">
        <v>47</v>
      </c>
      <c r="R44" s="231" t="s">
        <v>47</v>
      </c>
      <c r="S44" s="230" t="s">
        <v>47</v>
      </c>
      <c r="T44" s="230" t="s">
        <v>47</v>
      </c>
      <c r="U44" s="231" t="s">
        <v>47</v>
      </c>
      <c r="V44" s="231" t="s">
        <v>53</v>
      </c>
      <c r="W44" s="231" t="s">
        <v>53</v>
      </c>
      <c r="X44" s="230" t="s">
        <v>47</v>
      </c>
      <c r="Y44" s="230" t="s">
        <v>47</v>
      </c>
      <c r="Z44" s="231" t="s">
        <v>47</v>
      </c>
      <c r="AA44" s="231" t="s">
        <v>47</v>
      </c>
      <c r="AB44" s="231" t="s">
        <v>48</v>
      </c>
      <c r="AC44" s="231" t="s">
        <v>53</v>
      </c>
      <c r="AD44" s="231" t="s">
        <v>53</v>
      </c>
      <c r="AE44" s="231" t="s">
        <v>47</v>
      </c>
      <c r="AF44" s="231" t="s">
        <v>47</v>
      </c>
      <c r="AG44" s="230"/>
      <c r="AH44" s="230"/>
    </row>
    <row r="45" ht="15.75" customHeight="1">
      <c r="B45" s="163"/>
      <c r="C45" s="163"/>
      <c r="D45" s="163"/>
    </row>
    <row r="46" ht="15.75" customHeight="1">
      <c r="B46" s="163"/>
      <c r="C46" s="163"/>
      <c r="D46" s="163"/>
    </row>
    <row r="47" ht="15.75" customHeight="1">
      <c r="B47" s="163"/>
      <c r="C47" s="163"/>
      <c r="D47" s="163"/>
    </row>
    <row r="48" ht="15.75" customHeight="1">
      <c r="B48" s="163"/>
      <c r="C48" s="163"/>
      <c r="D48" s="163"/>
    </row>
    <row r="49" ht="15.75" customHeight="1">
      <c r="B49" s="163"/>
      <c r="C49" s="163"/>
      <c r="D49" s="163"/>
    </row>
    <row r="50" ht="15.75" customHeight="1">
      <c r="B50" s="163"/>
      <c r="C50" s="163"/>
      <c r="D50" s="163"/>
    </row>
    <row r="51" ht="15.75" customHeight="1">
      <c r="B51" s="163"/>
      <c r="C51" s="163"/>
      <c r="D51" s="163"/>
    </row>
    <row r="52" ht="15.75" customHeight="1">
      <c r="B52" s="163"/>
      <c r="C52" s="163"/>
      <c r="D52" s="163"/>
    </row>
    <row r="53" ht="15.75" customHeight="1">
      <c r="B53" s="163"/>
      <c r="C53" s="163"/>
      <c r="D53" s="163"/>
    </row>
    <row r="54" ht="15.75" customHeight="1">
      <c r="B54" s="163"/>
      <c r="C54" s="163"/>
      <c r="D54" s="163"/>
    </row>
    <row r="55" ht="15.75" customHeight="1">
      <c r="B55" s="163"/>
      <c r="C55" s="163"/>
      <c r="D55" s="163"/>
    </row>
    <row r="56" ht="15.75" customHeight="1">
      <c r="B56" s="163"/>
      <c r="C56" s="163"/>
      <c r="D56" s="163"/>
    </row>
    <row r="57" ht="15.75" customHeight="1">
      <c r="B57" s="163"/>
      <c r="C57" s="163"/>
      <c r="D57" s="163"/>
    </row>
    <row r="58" ht="15.75" customHeight="1">
      <c r="B58" s="163"/>
      <c r="C58" s="163"/>
      <c r="D58" s="163"/>
    </row>
    <row r="59" ht="15.75" customHeight="1">
      <c r="B59" s="163"/>
      <c r="C59" s="163"/>
      <c r="D59" s="163"/>
    </row>
    <row r="60" ht="15.75" customHeight="1">
      <c r="B60" s="163"/>
      <c r="C60" s="163"/>
      <c r="D60" s="163"/>
    </row>
    <row r="61" ht="15.75" customHeight="1">
      <c r="B61" s="163"/>
      <c r="C61" s="163"/>
      <c r="D61" s="163"/>
    </row>
    <row r="62" ht="15.75" customHeight="1">
      <c r="B62" s="163"/>
      <c r="C62" s="163"/>
      <c r="D62" s="163"/>
    </row>
    <row r="63" ht="15.75" customHeight="1">
      <c r="B63" s="163"/>
      <c r="C63" s="163"/>
      <c r="D63" s="163"/>
    </row>
    <row r="64" ht="15.75" customHeight="1">
      <c r="B64" s="163"/>
      <c r="C64" s="163"/>
      <c r="D64" s="163"/>
    </row>
    <row r="65" ht="15.75" customHeight="1">
      <c r="B65" s="163"/>
      <c r="C65" s="163"/>
      <c r="D65" s="163"/>
    </row>
    <row r="66" ht="15.75" customHeight="1">
      <c r="B66" s="163"/>
      <c r="C66" s="163"/>
      <c r="D66" s="163"/>
    </row>
    <row r="67" ht="15.75" customHeight="1">
      <c r="B67" s="163"/>
      <c r="C67" s="163"/>
      <c r="D67" s="163"/>
    </row>
    <row r="68" ht="15.75" customHeight="1">
      <c r="B68" s="163"/>
      <c r="C68" s="163"/>
      <c r="D68" s="163"/>
    </row>
    <row r="69" ht="15.75" customHeight="1">
      <c r="B69" s="163"/>
      <c r="C69" s="163"/>
      <c r="D69" s="163"/>
    </row>
    <row r="70" ht="15.75" customHeight="1">
      <c r="B70" s="163"/>
      <c r="C70" s="163"/>
      <c r="D70" s="163"/>
    </row>
    <row r="71" ht="15.75" customHeight="1">
      <c r="B71" s="163"/>
      <c r="C71" s="163"/>
      <c r="D71" s="163"/>
    </row>
    <row r="72" ht="15.75" customHeight="1">
      <c r="B72" s="163"/>
      <c r="C72" s="163"/>
      <c r="D72" s="163"/>
    </row>
    <row r="73" ht="15.75" customHeight="1">
      <c r="B73" s="163"/>
      <c r="C73" s="163"/>
      <c r="D73" s="163"/>
    </row>
    <row r="74" ht="15.75" customHeight="1">
      <c r="B74" s="163"/>
      <c r="C74" s="163"/>
      <c r="D74" s="163"/>
    </row>
    <row r="75" ht="15.75" customHeight="1">
      <c r="B75" s="163"/>
      <c r="C75" s="163"/>
      <c r="D75" s="163"/>
    </row>
    <row r="76" ht="15.75" customHeight="1">
      <c r="B76" s="163"/>
      <c r="C76" s="163"/>
      <c r="D76" s="163"/>
    </row>
    <row r="77" ht="15.75" customHeight="1">
      <c r="B77" s="163"/>
      <c r="C77" s="163"/>
      <c r="D77" s="163"/>
    </row>
    <row r="78" ht="15.75" customHeight="1">
      <c r="B78" s="163"/>
      <c r="C78" s="163"/>
      <c r="D78" s="163"/>
    </row>
    <row r="79" ht="15.75" customHeight="1">
      <c r="B79" s="163"/>
      <c r="C79" s="163"/>
      <c r="D79" s="163"/>
    </row>
    <row r="80" ht="15.75" customHeight="1">
      <c r="B80" s="163"/>
      <c r="C80" s="163"/>
      <c r="D80" s="163"/>
    </row>
    <row r="81" ht="15.75" customHeight="1">
      <c r="B81" s="163"/>
      <c r="C81" s="163"/>
      <c r="D81" s="163"/>
    </row>
    <row r="82" ht="15.75" customHeight="1">
      <c r="B82" s="163"/>
      <c r="C82" s="163"/>
      <c r="D82" s="163"/>
    </row>
    <row r="83" ht="15.75" customHeight="1">
      <c r="B83" s="163"/>
      <c r="C83" s="163"/>
      <c r="D83" s="163"/>
    </row>
    <row r="84" ht="15.75" customHeight="1">
      <c r="B84" s="163"/>
      <c r="C84" s="163"/>
      <c r="D84" s="163"/>
    </row>
    <row r="85" ht="15.75" customHeight="1">
      <c r="B85" s="163"/>
      <c r="C85" s="163"/>
      <c r="D85" s="163"/>
    </row>
    <row r="86" ht="15.75" customHeight="1">
      <c r="B86" s="163"/>
      <c r="C86" s="163"/>
      <c r="D86" s="163"/>
    </row>
    <row r="87" ht="15.75" customHeight="1">
      <c r="B87" s="163"/>
      <c r="C87" s="163"/>
      <c r="D87" s="163"/>
    </row>
    <row r="88" ht="15.75" customHeight="1">
      <c r="B88" s="163"/>
      <c r="C88" s="163"/>
      <c r="D88" s="163"/>
    </row>
    <row r="89" ht="15.75" customHeight="1">
      <c r="B89" s="163"/>
      <c r="C89" s="163"/>
      <c r="D89" s="163"/>
    </row>
    <row r="90" ht="15.75" customHeight="1">
      <c r="B90" s="163"/>
      <c r="C90" s="163"/>
      <c r="D90" s="163"/>
    </row>
    <row r="91" ht="15.75" customHeight="1">
      <c r="B91" s="163"/>
      <c r="C91" s="163"/>
      <c r="D91" s="163"/>
    </row>
    <row r="92" ht="15.75" customHeight="1">
      <c r="B92" s="163"/>
      <c r="C92" s="163"/>
      <c r="D92" s="163"/>
    </row>
    <row r="93" ht="15.75" customHeight="1">
      <c r="B93" s="163"/>
      <c r="C93" s="163"/>
      <c r="D93" s="163"/>
    </row>
    <row r="94" ht="15.75" customHeight="1">
      <c r="B94" s="163"/>
      <c r="C94" s="163"/>
      <c r="D94" s="163"/>
    </row>
    <row r="95" ht="15.75" customHeight="1">
      <c r="B95" s="163"/>
      <c r="C95" s="163"/>
      <c r="D95" s="163"/>
    </row>
    <row r="96" ht="15.75" customHeight="1">
      <c r="B96" s="163"/>
      <c r="C96" s="163"/>
      <c r="D96" s="163"/>
    </row>
    <row r="97" ht="15.75" customHeight="1">
      <c r="B97" s="163"/>
      <c r="C97" s="163"/>
      <c r="D97" s="163"/>
    </row>
    <row r="98" ht="15.75" customHeight="1">
      <c r="B98" s="163"/>
      <c r="C98" s="163"/>
      <c r="D98" s="163"/>
    </row>
    <row r="99" ht="15.75" customHeight="1">
      <c r="B99" s="163"/>
      <c r="C99" s="163"/>
      <c r="D99" s="163"/>
    </row>
    <row r="100" ht="15.75" customHeight="1">
      <c r="B100" s="163"/>
      <c r="C100" s="163"/>
      <c r="D100" s="163"/>
    </row>
    <row r="101" ht="15.75" customHeight="1">
      <c r="B101" s="163"/>
      <c r="C101" s="163"/>
      <c r="D101" s="163"/>
    </row>
    <row r="102" ht="15.75" customHeight="1">
      <c r="B102" s="163"/>
      <c r="C102" s="163"/>
      <c r="D102" s="163"/>
    </row>
    <row r="103" ht="15.75" customHeight="1">
      <c r="B103" s="163"/>
      <c r="C103" s="163"/>
      <c r="D103" s="163"/>
    </row>
    <row r="104" ht="15.75" customHeight="1">
      <c r="B104" s="163"/>
      <c r="C104" s="163"/>
      <c r="D104" s="163"/>
    </row>
    <row r="105" ht="15.75" customHeight="1">
      <c r="B105" s="163"/>
      <c r="C105" s="163"/>
      <c r="D105" s="163"/>
    </row>
    <row r="106" ht="15.75" customHeight="1">
      <c r="B106" s="163"/>
      <c r="C106" s="163"/>
      <c r="D106" s="163"/>
    </row>
    <row r="107" ht="15.75" customHeight="1">
      <c r="B107" s="163"/>
      <c r="C107" s="163"/>
      <c r="D107" s="163"/>
    </row>
    <row r="108" ht="15.75" customHeight="1">
      <c r="B108" s="163"/>
      <c r="C108" s="163"/>
      <c r="D108" s="163"/>
    </row>
    <row r="109" ht="15.75" customHeight="1">
      <c r="B109" s="163"/>
      <c r="C109" s="163"/>
      <c r="D109" s="163"/>
    </row>
    <row r="110" ht="15.75" customHeight="1">
      <c r="B110" s="163"/>
      <c r="C110" s="163"/>
      <c r="D110" s="163"/>
    </row>
    <row r="111" ht="15.75" customHeight="1">
      <c r="B111" s="163"/>
      <c r="C111" s="163"/>
      <c r="D111" s="163"/>
    </row>
    <row r="112" ht="15.75" customHeight="1">
      <c r="B112" s="163"/>
      <c r="C112" s="163"/>
      <c r="D112" s="163"/>
    </row>
    <row r="113" ht="15.75" customHeight="1">
      <c r="B113" s="163"/>
      <c r="C113" s="163"/>
      <c r="D113" s="163"/>
    </row>
    <row r="114" ht="15.75" customHeight="1">
      <c r="B114" s="163"/>
      <c r="C114" s="163"/>
      <c r="D114" s="163"/>
    </row>
    <row r="115" ht="15.75" customHeight="1">
      <c r="B115" s="163"/>
      <c r="C115" s="163"/>
      <c r="D115" s="163"/>
    </row>
    <row r="116" ht="15.75" customHeight="1">
      <c r="B116" s="163"/>
      <c r="C116" s="163"/>
      <c r="D116" s="163"/>
    </row>
    <row r="117" ht="15.75" customHeight="1">
      <c r="B117" s="163"/>
      <c r="C117" s="163"/>
      <c r="D117" s="163"/>
    </row>
    <row r="118" ht="15.75" customHeight="1">
      <c r="B118" s="163"/>
      <c r="C118" s="163"/>
      <c r="D118" s="163"/>
    </row>
    <row r="119" ht="15.75" customHeight="1">
      <c r="B119" s="163"/>
      <c r="C119" s="163"/>
      <c r="D119" s="163"/>
    </row>
    <row r="120" ht="15.75" customHeight="1">
      <c r="B120" s="163"/>
      <c r="C120" s="163"/>
      <c r="D120" s="163"/>
    </row>
    <row r="121" ht="15.75" customHeight="1">
      <c r="B121" s="163"/>
      <c r="C121" s="163"/>
      <c r="D121" s="163"/>
    </row>
    <row r="122" ht="15.75" customHeight="1">
      <c r="B122" s="163"/>
      <c r="C122" s="163"/>
      <c r="D122" s="163"/>
    </row>
    <row r="123" ht="15.75" customHeight="1">
      <c r="B123" s="163"/>
      <c r="C123" s="163"/>
      <c r="D123" s="163"/>
    </row>
    <row r="124" ht="15.75" customHeight="1">
      <c r="B124" s="163"/>
      <c r="C124" s="163"/>
      <c r="D124" s="163"/>
    </row>
    <row r="125" ht="15.75" customHeight="1">
      <c r="B125" s="163"/>
      <c r="C125" s="163"/>
      <c r="D125" s="163"/>
    </row>
    <row r="126" ht="15.75" customHeight="1">
      <c r="B126" s="163"/>
      <c r="C126" s="163"/>
      <c r="D126" s="163"/>
    </row>
    <row r="127" ht="15.75" customHeight="1">
      <c r="B127" s="163"/>
      <c r="C127" s="163"/>
      <c r="D127" s="163"/>
    </row>
    <row r="128" ht="15.75" customHeight="1">
      <c r="B128" s="163"/>
      <c r="C128" s="163"/>
      <c r="D128" s="163"/>
    </row>
    <row r="129" ht="15.75" customHeight="1">
      <c r="B129" s="163"/>
      <c r="C129" s="163"/>
      <c r="D129" s="163"/>
    </row>
    <row r="130" ht="15.75" customHeight="1">
      <c r="B130" s="163"/>
      <c r="C130" s="163"/>
      <c r="D130" s="163"/>
    </row>
    <row r="131" ht="15.75" customHeight="1">
      <c r="B131" s="163"/>
      <c r="C131" s="163"/>
      <c r="D131" s="163"/>
    </row>
    <row r="132" ht="15.75" customHeight="1">
      <c r="B132" s="163"/>
      <c r="C132" s="163"/>
      <c r="D132" s="163"/>
    </row>
    <row r="133" ht="15.75" customHeight="1">
      <c r="B133" s="163"/>
      <c r="C133" s="163"/>
      <c r="D133" s="163"/>
    </row>
    <row r="134" ht="15.75" customHeight="1">
      <c r="B134" s="163"/>
      <c r="C134" s="163"/>
      <c r="D134" s="163"/>
    </row>
    <row r="135" ht="15.75" customHeight="1">
      <c r="B135" s="163"/>
      <c r="C135" s="163"/>
      <c r="D135" s="163"/>
    </row>
    <row r="136" ht="15.75" customHeight="1">
      <c r="B136" s="163"/>
      <c r="C136" s="163"/>
      <c r="D136" s="163"/>
    </row>
    <row r="137" ht="15.75" customHeight="1">
      <c r="B137" s="163"/>
      <c r="C137" s="163"/>
      <c r="D137" s="163"/>
    </row>
    <row r="138" ht="15.75" customHeight="1">
      <c r="B138" s="163"/>
      <c r="C138" s="163"/>
      <c r="D138" s="163"/>
    </row>
    <row r="139" ht="15.75" customHeight="1">
      <c r="B139" s="163"/>
      <c r="C139" s="163"/>
      <c r="D139" s="163"/>
    </row>
    <row r="140" ht="15.75" customHeight="1">
      <c r="B140" s="163"/>
      <c r="C140" s="163"/>
      <c r="D140" s="163"/>
    </row>
    <row r="141" ht="15.75" customHeight="1">
      <c r="B141" s="163"/>
      <c r="C141" s="163"/>
      <c r="D141" s="163"/>
    </row>
    <row r="142" ht="15.75" customHeight="1">
      <c r="B142" s="163"/>
      <c r="C142" s="163"/>
      <c r="D142" s="163"/>
    </row>
    <row r="143" ht="15.75" customHeight="1">
      <c r="B143" s="163"/>
      <c r="C143" s="163"/>
      <c r="D143" s="163"/>
    </row>
    <row r="144" ht="15.75" customHeight="1">
      <c r="B144" s="163"/>
      <c r="C144" s="163"/>
      <c r="D144" s="163"/>
    </row>
    <row r="145" ht="15.75" customHeight="1">
      <c r="B145" s="163"/>
      <c r="C145" s="163"/>
      <c r="D145" s="163"/>
    </row>
    <row r="146" ht="15.75" customHeight="1">
      <c r="B146" s="163"/>
      <c r="C146" s="163"/>
      <c r="D146" s="163"/>
    </row>
    <row r="147" ht="15.75" customHeight="1">
      <c r="B147" s="163"/>
      <c r="C147" s="163"/>
      <c r="D147" s="163"/>
    </row>
    <row r="148" ht="15.75" customHeight="1">
      <c r="B148" s="163"/>
      <c r="C148" s="163"/>
      <c r="D148" s="163"/>
    </row>
    <row r="149" ht="15.75" customHeight="1">
      <c r="B149" s="163"/>
      <c r="C149" s="163"/>
      <c r="D149" s="163"/>
    </row>
    <row r="150" ht="15.75" customHeight="1">
      <c r="B150" s="163"/>
      <c r="C150" s="163"/>
      <c r="D150" s="163"/>
    </row>
    <row r="151" ht="15.75" customHeight="1">
      <c r="B151" s="163"/>
      <c r="C151" s="163"/>
      <c r="D151" s="163"/>
    </row>
    <row r="152" ht="15.75" customHeight="1">
      <c r="B152" s="163"/>
      <c r="C152" s="163"/>
      <c r="D152" s="163"/>
    </row>
    <row r="153" ht="15.75" customHeight="1">
      <c r="B153" s="163"/>
      <c r="C153" s="163"/>
      <c r="D153" s="163"/>
    </row>
    <row r="154" ht="15.75" customHeight="1">
      <c r="B154" s="163"/>
      <c r="C154" s="163"/>
      <c r="D154" s="163"/>
    </row>
    <row r="155" ht="15.75" customHeight="1">
      <c r="B155" s="163"/>
      <c r="C155" s="163"/>
      <c r="D155" s="163"/>
    </row>
    <row r="156" ht="15.75" customHeight="1">
      <c r="B156" s="163"/>
      <c r="C156" s="163"/>
      <c r="D156" s="163"/>
    </row>
    <row r="157" ht="15.75" customHeight="1">
      <c r="B157" s="163"/>
      <c r="C157" s="163"/>
      <c r="D157" s="163"/>
    </row>
    <row r="158" ht="15.75" customHeight="1">
      <c r="B158" s="163"/>
      <c r="C158" s="163"/>
      <c r="D158" s="163"/>
    </row>
    <row r="159" ht="15.75" customHeight="1">
      <c r="B159" s="163"/>
      <c r="C159" s="163"/>
      <c r="D159" s="163"/>
    </row>
    <row r="160" ht="15.75" customHeight="1">
      <c r="B160" s="163"/>
      <c r="C160" s="163"/>
      <c r="D160" s="163"/>
    </row>
    <row r="161" ht="15.75" customHeight="1">
      <c r="B161" s="163"/>
      <c r="C161" s="163"/>
      <c r="D161" s="163"/>
    </row>
    <row r="162" ht="15.75" customHeight="1">
      <c r="B162" s="163"/>
      <c r="C162" s="163"/>
      <c r="D162" s="163"/>
    </row>
    <row r="163" ht="15.75" customHeight="1">
      <c r="B163" s="163"/>
      <c r="C163" s="163"/>
      <c r="D163" s="163"/>
    </row>
    <row r="164" ht="15.75" customHeight="1">
      <c r="B164" s="163"/>
      <c r="C164" s="163"/>
      <c r="D164" s="163"/>
    </row>
    <row r="165" ht="15.75" customHeight="1">
      <c r="B165" s="163"/>
      <c r="C165" s="163"/>
      <c r="D165" s="163"/>
    </row>
    <row r="166" ht="15.75" customHeight="1">
      <c r="B166" s="163"/>
      <c r="C166" s="163"/>
      <c r="D166" s="163"/>
    </row>
    <row r="167" ht="15.75" customHeight="1">
      <c r="B167" s="163"/>
      <c r="C167" s="163"/>
      <c r="D167" s="163"/>
    </row>
    <row r="168" ht="15.75" customHeight="1">
      <c r="B168" s="163"/>
      <c r="C168" s="163"/>
      <c r="D168" s="163"/>
    </row>
    <row r="169" ht="15.75" customHeight="1">
      <c r="B169" s="163"/>
      <c r="C169" s="163"/>
      <c r="D169" s="163"/>
    </row>
    <row r="170" ht="15.75" customHeight="1">
      <c r="B170" s="163"/>
      <c r="C170" s="163"/>
      <c r="D170" s="163"/>
    </row>
    <row r="171" ht="15.75" customHeight="1">
      <c r="B171" s="163"/>
      <c r="C171" s="163"/>
      <c r="D171" s="163"/>
    </row>
    <row r="172" ht="15.75" customHeight="1">
      <c r="B172" s="163"/>
      <c r="C172" s="163"/>
      <c r="D172" s="163"/>
    </row>
    <row r="173" ht="15.75" customHeight="1">
      <c r="B173" s="163"/>
      <c r="C173" s="163"/>
      <c r="D173" s="163"/>
    </row>
    <row r="174" ht="15.75" customHeight="1">
      <c r="B174" s="163"/>
      <c r="C174" s="163"/>
      <c r="D174" s="163"/>
    </row>
    <row r="175" ht="15.75" customHeight="1">
      <c r="B175" s="163"/>
      <c r="C175" s="163"/>
      <c r="D175" s="163"/>
    </row>
    <row r="176" ht="15.75" customHeight="1">
      <c r="B176" s="163"/>
      <c r="C176" s="163"/>
      <c r="D176" s="163"/>
    </row>
    <row r="177" ht="15.75" customHeight="1">
      <c r="B177" s="163"/>
      <c r="C177" s="163"/>
      <c r="D177" s="163"/>
    </row>
    <row r="178" ht="15.75" customHeight="1">
      <c r="B178" s="163"/>
      <c r="C178" s="163"/>
      <c r="D178" s="163"/>
    </row>
    <row r="179" ht="15.75" customHeight="1">
      <c r="B179" s="163"/>
      <c r="C179" s="163"/>
      <c r="D179" s="163"/>
    </row>
    <row r="180" ht="15.75" customHeight="1">
      <c r="B180" s="163"/>
      <c r="C180" s="163"/>
      <c r="D180" s="163"/>
    </row>
    <row r="181" ht="15.75" customHeight="1">
      <c r="B181" s="163"/>
      <c r="C181" s="163"/>
      <c r="D181" s="163"/>
    </row>
    <row r="182" ht="15.75" customHeight="1">
      <c r="B182" s="163"/>
      <c r="C182" s="163"/>
      <c r="D182" s="163"/>
    </row>
    <row r="183" ht="15.75" customHeight="1">
      <c r="B183" s="163"/>
      <c r="C183" s="163"/>
      <c r="D183" s="163"/>
    </row>
    <row r="184" ht="15.75" customHeight="1">
      <c r="B184" s="163"/>
      <c r="C184" s="163"/>
      <c r="D184" s="163"/>
    </row>
    <row r="185" ht="15.75" customHeight="1">
      <c r="B185" s="163"/>
      <c r="C185" s="163"/>
      <c r="D185" s="163"/>
    </row>
    <row r="186" ht="15.75" customHeight="1">
      <c r="B186" s="163"/>
      <c r="C186" s="163"/>
      <c r="D186" s="163"/>
    </row>
    <row r="187" ht="15.75" customHeight="1">
      <c r="B187" s="163"/>
      <c r="C187" s="163"/>
      <c r="D187" s="163"/>
    </row>
    <row r="188" ht="15.75" customHeight="1">
      <c r="B188" s="163"/>
      <c r="C188" s="163"/>
      <c r="D188" s="163"/>
    </row>
    <row r="189" ht="15.75" customHeight="1">
      <c r="B189" s="163"/>
      <c r="C189" s="163"/>
      <c r="D189" s="163"/>
    </row>
    <row r="190" ht="15.75" customHeight="1">
      <c r="B190" s="163"/>
      <c r="C190" s="163"/>
      <c r="D190" s="163"/>
    </row>
    <row r="191" ht="15.75" customHeight="1">
      <c r="B191" s="163"/>
      <c r="C191" s="163"/>
      <c r="D191" s="163"/>
    </row>
    <row r="192" ht="15.75" customHeight="1">
      <c r="B192" s="163"/>
      <c r="C192" s="163"/>
      <c r="D192" s="163"/>
    </row>
    <row r="193" ht="15.75" customHeight="1">
      <c r="B193" s="163"/>
      <c r="C193" s="163"/>
      <c r="D193" s="163"/>
    </row>
    <row r="194" ht="15.75" customHeight="1">
      <c r="B194" s="163"/>
      <c r="C194" s="163"/>
      <c r="D194" s="163"/>
    </row>
    <row r="195" ht="15.75" customHeight="1">
      <c r="B195" s="163"/>
      <c r="C195" s="163"/>
      <c r="D195" s="163"/>
    </row>
    <row r="196" ht="15.75" customHeight="1">
      <c r="B196" s="163"/>
      <c r="C196" s="163"/>
      <c r="D196" s="163"/>
    </row>
    <row r="197" ht="15.75" customHeight="1">
      <c r="B197" s="163"/>
      <c r="C197" s="163"/>
      <c r="D197" s="163"/>
    </row>
    <row r="198" ht="15.75" customHeight="1">
      <c r="B198" s="163"/>
      <c r="C198" s="163"/>
      <c r="D198" s="163"/>
    </row>
    <row r="199" ht="15.75" customHeight="1">
      <c r="B199" s="163"/>
      <c r="C199" s="163"/>
      <c r="D199" s="163"/>
    </row>
    <row r="200" ht="15.75" customHeight="1">
      <c r="B200" s="163"/>
      <c r="C200" s="163"/>
      <c r="D200" s="163"/>
    </row>
    <row r="201" ht="15.75" customHeight="1">
      <c r="B201" s="163"/>
      <c r="C201" s="163"/>
      <c r="D201" s="163"/>
    </row>
    <row r="202" ht="15.75" customHeight="1">
      <c r="B202" s="163"/>
      <c r="C202" s="163"/>
      <c r="D202" s="163"/>
    </row>
    <row r="203" ht="15.75" customHeight="1">
      <c r="B203" s="163"/>
      <c r="C203" s="163"/>
      <c r="D203" s="163"/>
    </row>
    <row r="204" ht="15.75" customHeight="1">
      <c r="B204" s="163"/>
      <c r="C204" s="163"/>
      <c r="D204" s="163"/>
    </row>
    <row r="205" ht="15.75" customHeight="1">
      <c r="B205" s="163"/>
      <c r="C205" s="163"/>
      <c r="D205" s="163"/>
    </row>
    <row r="206" ht="15.75" customHeight="1">
      <c r="B206" s="163"/>
      <c r="C206" s="163"/>
      <c r="D206" s="163"/>
    </row>
    <row r="207" ht="15.75" customHeight="1">
      <c r="B207" s="163"/>
      <c r="C207" s="163"/>
      <c r="D207" s="163"/>
    </row>
    <row r="208" ht="15.75" customHeight="1">
      <c r="B208" s="163"/>
      <c r="C208" s="163"/>
      <c r="D208" s="163"/>
    </row>
    <row r="209" ht="15.75" customHeight="1">
      <c r="B209" s="163"/>
      <c r="C209" s="163"/>
      <c r="D209" s="163"/>
    </row>
    <row r="210" ht="15.75" customHeight="1">
      <c r="B210" s="163"/>
      <c r="C210" s="163"/>
      <c r="D210" s="163"/>
    </row>
    <row r="211" ht="15.75" customHeight="1">
      <c r="B211" s="163"/>
      <c r="C211" s="163"/>
      <c r="D211" s="163"/>
    </row>
    <row r="212" ht="15.75" customHeight="1">
      <c r="B212" s="163"/>
      <c r="C212" s="163"/>
      <c r="D212" s="163"/>
    </row>
    <row r="213" ht="15.75" customHeight="1">
      <c r="B213" s="163"/>
      <c r="C213" s="163"/>
      <c r="D213" s="163"/>
    </row>
    <row r="214" ht="15.75" customHeight="1">
      <c r="B214" s="163"/>
      <c r="C214" s="163"/>
      <c r="D214" s="163"/>
    </row>
    <row r="215" ht="15.75" customHeight="1">
      <c r="B215" s="163"/>
      <c r="C215" s="163"/>
      <c r="D215" s="163"/>
    </row>
    <row r="216" ht="15.75" customHeight="1">
      <c r="B216" s="163"/>
      <c r="C216" s="163"/>
      <c r="D216" s="163"/>
    </row>
    <row r="217" ht="15.75" customHeight="1">
      <c r="B217" s="163"/>
      <c r="C217" s="163"/>
      <c r="D217" s="163"/>
    </row>
    <row r="218" ht="15.75" customHeight="1">
      <c r="B218" s="163"/>
      <c r="C218" s="163"/>
      <c r="D218" s="163"/>
    </row>
    <row r="219" ht="15.75" customHeight="1">
      <c r="B219" s="163"/>
      <c r="C219" s="163"/>
      <c r="D219" s="163"/>
    </row>
    <row r="220" ht="15.75" customHeight="1">
      <c r="B220" s="163"/>
      <c r="C220" s="163"/>
      <c r="D220" s="163"/>
    </row>
    <row r="221" ht="15.75" customHeight="1">
      <c r="B221" s="163"/>
      <c r="C221" s="163"/>
      <c r="D221" s="163"/>
    </row>
    <row r="222" ht="15.75" customHeight="1">
      <c r="B222" s="163"/>
      <c r="C222" s="163"/>
      <c r="D222" s="163"/>
    </row>
    <row r="223" ht="15.75" customHeight="1">
      <c r="B223" s="163"/>
      <c r="C223" s="163"/>
      <c r="D223" s="163"/>
    </row>
    <row r="224" ht="15.75" customHeight="1">
      <c r="B224" s="163"/>
      <c r="C224" s="163"/>
      <c r="D224" s="163"/>
    </row>
    <row r="225" ht="15.75" customHeight="1">
      <c r="B225" s="163"/>
      <c r="C225" s="163"/>
      <c r="D225" s="163"/>
    </row>
    <row r="226" ht="15.75" customHeight="1">
      <c r="B226" s="163"/>
      <c r="C226" s="163"/>
      <c r="D226" s="163"/>
    </row>
    <row r="227" ht="15.75" customHeight="1">
      <c r="B227" s="163"/>
      <c r="C227" s="163"/>
      <c r="D227" s="163"/>
    </row>
    <row r="228" ht="15.75" customHeight="1">
      <c r="B228" s="163"/>
      <c r="C228" s="163"/>
      <c r="D228" s="163"/>
    </row>
    <row r="229" ht="15.75" customHeight="1">
      <c r="B229" s="163"/>
      <c r="C229" s="163"/>
      <c r="D229" s="163"/>
    </row>
    <row r="230" ht="15.75" customHeight="1">
      <c r="B230" s="163"/>
      <c r="C230" s="163"/>
      <c r="D230" s="163"/>
    </row>
    <row r="231" ht="15.75" customHeight="1">
      <c r="B231" s="163"/>
      <c r="C231" s="163"/>
      <c r="D231" s="163"/>
    </row>
    <row r="232" ht="15.75" customHeight="1">
      <c r="B232" s="163"/>
      <c r="C232" s="163"/>
      <c r="D232" s="163"/>
    </row>
    <row r="233" ht="15.75" customHeight="1">
      <c r="B233" s="163"/>
      <c r="C233" s="163"/>
      <c r="D233" s="163"/>
    </row>
    <row r="234" ht="15.75" customHeight="1">
      <c r="B234" s="163"/>
      <c r="C234" s="163"/>
      <c r="D234" s="163"/>
    </row>
    <row r="235" ht="15.75" customHeight="1">
      <c r="B235" s="163"/>
      <c r="C235" s="163"/>
      <c r="D235" s="163"/>
    </row>
    <row r="236" ht="15.75" customHeight="1">
      <c r="B236" s="163"/>
      <c r="C236" s="163"/>
      <c r="D236" s="163"/>
    </row>
    <row r="237" ht="15.75" customHeight="1">
      <c r="B237" s="163"/>
      <c r="C237" s="163"/>
      <c r="D237" s="163"/>
    </row>
    <row r="238" ht="15.75" customHeight="1">
      <c r="B238" s="163"/>
      <c r="C238" s="163"/>
      <c r="D238" s="163"/>
    </row>
    <row r="239" ht="15.75" customHeight="1">
      <c r="B239" s="163"/>
      <c r="C239" s="163"/>
      <c r="D239" s="163"/>
    </row>
    <row r="240" ht="15.75" customHeight="1">
      <c r="B240" s="163"/>
      <c r="C240" s="163"/>
      <c r="D240" s="163"/>
    </row>
    <row r="241" ht="15.75" customHeight="1">
      <c r="B241" s="163"/>
      <c r="C241" s="163"/>
      <c r="D241" s="163"/>
    </row>
    <row r="242" ht="15.75" customHeight="1">
      <c r="B242" s="163"/>
      <c r="C242" s="163"/>
      <c r="D242" s="163"/>
    </row>
    <row r="243" ht="15.75" customHeight="1">
      <c r="B243" s="163"/>
      <c r="C243" s="163"/>
      <c r="D243" s="163"/>
    </row>
    <row r="244" ht="15.75" customHeight="1">
      <c r="B244" s="163"/>
      <c r="C244" s="163"/>
      <c r="D244" s="163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234" t="str">
        <f t="array" ref="A1:AE11">'ORIGIN MONTH 7'!B48:AF58</f>
        <v>Shift</v>
      </c>
      <c r="B1" s="235" t="s">
        <v>8</v>
      </c>
      <c r="C1" s="236" t="s">
        <v>9</v>
      </c>
      <c r="D1" s="237" t="s">
        <v>10</v>
      </c>
      <c r="E1" s="235" t="s">
        <v>11</v>
      </c>
      <c r="F1" s="236" t="s">
        <v>12</v>
      </c>
      <c r="G1" s="236" t="s">
        <v>13</v>
      </c>
      <c r="H1" s="236" t="s">
        <v>7</v>
      </c>
      <c r="I1" s="236" t="s">
        <v>8</v>
      </c>
      <c r="J1" s="236" t="s">
        <v>9</v>
      </c>
      <c r="K1" s="237" t="s">
        <v>10</v>
      </c>
      <c r="L1" s="235" t="s">
        <v>11</v>
      </c>
      <c r="M1" s="236" t="s">
        <v>12</v>
      </c>
      <c r="N1" s="236" t="s">
        <v>13</v>
      </c>
      <c r="O1" s="236" t="s">
        <v>7</v>
      </c>
      <c r="P1" s="236" t="s">
        <v>8</v>
      </c>
      <c r="Q1" s="236" t="s">
        <v>9</v>
      </c>
      <c r="R1" s="237" t="s">
        <v>10</v>
      </c>
      <c r="S1" s="235" t="s">
        <v>11</v>
      </c>
      <c r="T1" s="236" t="s">
        <v>12</v>
      </c>
      <c r="U1" s="236" t="s">
        <v>13</v>
      </c>
      <c r="V1" s="236" t="s">
        <v>7</v>
      </c>
      <c r="W1" s="236" t="s">
        <v>8</v>
      </c>
      <c r="X1" s="236" t="s">
        <v>9</v>
      </c>
      <c r="Y1" s="237" t="s">
        <v>10</v>
      </c>
      <c r="Z1" s="235" t="s">
        <v>11</v>
      </c>
      <c r="AA1" s="236" t="s">
        <v>12</v>
      </c>
      <c r="AB1" s="236" t="s">
        <v>13</v>
      </c>
      <c r="AC1" s="236" t="s">
        <v>7</v>
      </c>
      <c r="AD1" s="236" t="s">
        <v>8</v>
      </c>
      <c r="AE1" s="237" t="s">
        <v>9</v>
      </c>
    </row>
    <row r="2">
      <c r="A2" s="238" t="s">
        <v>272</v>
      </c>
      <c r="B2" s="239" t="s">
        <v>14</v>
      </c>
      <c r="C2" s="231" t="s">
        <v>15</v>
      </c>
      <c r="D2" s="240" t="s">
        <v>16</v>
      </c>
      <c r="E2" s="239" t="s">
        <v>226</v>
      </c>
      <c r="F2" s="231" t="s">
        <v>227</v>
      </c>
      <c r="G2" s="231" t="s">
        <v>17</v>
      </c>
      <c r="H2" s="231" t="s">
        <v>18</v>
      </c>
      <c r="I2" s="231" t="s">
        <v>19</v>
      </c>
      <c r="J2" s="231" t="s">
        <v>20</v>
      </c>
      <c r="K2" s="240" t="s">
        <v>21</v>
      </c>
      <c r="L2" s="239" t="s">
        <v>22</v>
      </c>
      <c r="M2" s="231" t="s">
        <v>23</v>
      </c>
      <c r="N2" s="231" t="s">
        <v>24</v>
      </c>
      <c r="O2" s="231" t="s">
        <v>25</v>
      </c>
      <c r="P2" s="231" t="s">
        <v>26</v>
      </c>
      <c r="Q2" s="231" t="s">
        <v>27</v>
      </c>
      <c r="R2" s="240" t="s">
        <v>28</v>
      </c>
      <c r="S2" s="239" t="s">
        <v>29</v>
      </c>
      <c r="T2" s="231" t="s">
        <v>30</v>
      </c>
      <c r="U2" s="231" t="s">
        <v>31</v>
      </c>
      <c r="V2" s="231" t="s">
        <v>32</v>
      </c>
      <c r="W2" s="231" t="s">
        <v>33</v>
      </c>
      <c r="X2" s="231" t="s">
        <v>34</v>
      </c>
      <c r="Y2" s="240" t="s">
        <v>35</v>
      </c>
      <c r="Z2" s="239" t="s">
        <v>36</v>
      </c>
      <c r="AA2" s="231" t="s">
        <v>37</v>
      </c>
      <c r="AB2" s="231" t="s">
        <v>38</v>
      </c>
      <c r="AC2" s="231" t="s">
        <v>39</v>
      </c>
      <c r="AD2" s="231" t="s">
        <v>40</v>
      </c>
      <c r="AE2" s="240" t="s">
        <v>41</v>
      </c>
    </row>
    <row r="3">
      <c r="A3" s="238" t="s">
        <v>47</v>
      </c>
      <c r="B3" s="241">
        <v>26.0</v>
      </c>
      <c r="C3" s="230">
        <v>26.0</v>
      </c>
      <c r="D3" s="242">
        <v>25.0</v>
      </c>
      <c r="E3" s="241">
        <v>26.0</v>
      </c>
      <c r="F3" s="230">
        <v>25.0</v>
      </c>
      <c r="G3" s="230">
        <v>27.0</v>
      </c>
      <c r="H3" s="230">
        <v>25.0</v>
      </c>
      <c r="I3" s="230">
        <v>26.0</v>
      </c>
      <c r="J3" s="230">
        <v>26.0</v>
      </c>
      <c r="K3" s="242">
        <v>25.0</v>
      </c>
      <c r="L3" s="241">
        <v>26.0</v>
      </c>
      <c r="M3" s="230">
        <v>25.0</v>
      </c>
      <c r="N3" s="230">
        <v>27.0</v>
      </c>
      <c r="O3" s="230">
        <v>26.0</v>
      </c>
      <c r="P3" s="230">
        <v>26.0</v>
      </c>
      <c r="Q3" s="230">
        <v>26.0</v>
      </c>
      <c r="R3" s="242">
        <v>25.0</v>
      </c>
      <c r="S3" s="241">
        <v>25.0</v>
      </c>
      <c r="T3" s="230">
        <v>25.0</v>
      </c>
      <c r="U3" s="230">
        <v>26.0</v>
      </c>
      <c r="V3" s="230">
        <v>27.0</v>
      </c>
      <c r="W3" s="230">
        <v>26.0</v>
      </c>
      <c r="X3" s="230">
        <v>26.0</v>
      </c>
      <c r="Y3" s="242">
        <v>25.0</v>
      </c>
      <c r="Z3" s="241">
        <v>25.0</v>
      </c>
      <c r="AA3" s="230">
        <v>25.0</v>
      </c>
      <c r="AB3" s="230">
        <v>25.0</v>
      </c>
      <c r="AC3" s="230">
        <v>27.0</v>
      </c>
      <c r="AD3" s="230">
        <v>26.0</v>
      </c>
      <c r="AE3" s="242">
        <v>26.0</v>
      </c>
    </row>
    <row r="4">
      <c r="A4" s="238" t="s">
        <v>46</v>
      </c>
      <c r="B4" s="241">
        <v>0.0</v>
      </c>
      <c r="C4" s="230">
        <v>0.0</v>
      </c>
      <c r="D4" s="242">
        <v>0.0</v>
      </c>
      <c r="E4" s="241">
        <v>0.0</v>
      </c>
      <c r="F4" s="230">
        <v>0.0</v>
      </c>
      <c r="G4" s="230">
        <v>0.0</v>
      </c>
      <c r="H4" s="230">
        <v>0.0</v>
      </c>
      <c r="I4" s="230">
        <v>0.0</v>
      </c>
      <c r="J4" s="230">
        <v>0.0</v>
      </c>
      <c r="K4" s="242">
        <v>0.0</v>
      </c>
      <c r="L4" s="241">
        <v>0.0</v>
      </c>
      <c r="M4" s="230">
        <v>0.0</v>
      </c>
      <c r="N4" s="230">
        <v>0.0</v>
      </c>
      <c r="O4" s="230">
        <v>0.0</v>
      </c>
      <c r="P4" s="230">
        <v>0.0</v>
      </c>
      <c r="Q4" s="230">
        <v>0.0</v>
      </c>
      <c r="R4" s="242">
        <v>0.0</v>
      </c>
      <c r="S4" s="241">
        <v>0.0</v>
      </c>
      <c r="T4" s="230">
        <v>0.0</v>
      </c>
      <c r="U4" s="230">
        <v>0.0</v>
      </c>
      <c r="V4" s="230">
        <v>0.0</v>
      </c>
      <c r="W4" s="230">
        <v>0.0</v>
      </c>
      <c r="X4" s="230">
        <v>0.0</v>
      </c>
      <c r="Y4" s="242">
        <v>0.0</v>
      </c>
      <c r="Z4" s="241">
        <v>0.0</v>
      </c>
      <c r="AA4" s="230">
        <v>0.0</v>
      </c>
      <c r="AB4" s="230">
        <v>0.0</v>
      </c>
      <c r="AC4" s="230">
        <v>0.0</v>
      </c>
      <c r="AD4" s="230">
        <v>0.0</v>
      </c>
      <c r="AE4" s="242">
        <v>0.0</v>
      </c>
    </row>
    <row r="5">
      <c r="A5" s="238" t="s">
        <v>45</v>
      </c>
      <c r="B5" s="241">
        <v>0.0</v>
      </c>
      <c r="C5" s="230">
        <v>0.0</v>
      </c>
      <c r="D5" s="242">
        <v>0.0</v>
      </c>
      <c r="E5" s="241">
        <v>0.0</v>
      </c>
      <c r="F5" s="230">
        <v>0.0</v>
      </c>
      <c r="G5" s="230">
        <v>0.0</v>
      </c>
      <c r="H5" s="230">
        <v>0.0</v>
      </c>
      <c r="I5" s="230">
        <v>0.0</v>
      </c>
      <c r="J5" s="230">
        <v>0.0</v>
      </c>
      <c r="K5" s="242">
        <v>0.0</v>
      </c>
      <c r="L5" s="241">
        <v>0.0</v>
      </c>
      <c r="M5" s="230">
        <v>0.0</v>
      </c>
      <c r="N5" s="230">
        <v>0.0</v>
      </c>
      <c r="O5" s="230">
        <v>0.0</v>
      </c>
      <c r="P5" s="230">
        <v>0.0</v>
      </c>
      <c r="Q5" s="230">
        <v>0.0</v>
      </c>
      <c r="R5" s="242">
        <v>0.0</v>
      </c>
      <c r="S5" s="241">
        <v>0.0</v>
      </c>
      <c r="T5" s="230">
        <v>0.0</v>
      </c>
      <c r="U5" s="230">
        <v>0.0</v>
      </c>
      <c r="V5" s="230">
        <v>0.0</v>
      </c>
      <c r="W5" s="230">
        <v>0.0</v>
      </c>
      <c r="X5" s="230">
        <v>0.0</v>
      </c>
      <c r="Y5" s="242">
        <v>0.0</v>
      </c>
      <c r="Z5" s="241">
        <v>0.0</v>
      </c>
      <c r="AA5" s="230">
        <v>0.0</v>
      </c>
      <c r="AB5" s="230">
        <v>0.0</v>
      </c>
      <c r="AC5" s="230">
        <v>0.0</v>
      </c>
      <c r="AD5" s="230">
        <v>0.0</v>
      </c>
      <c r="AE5" s="242">
        <v>0.0</v>
      </c>
    </row>
    <row r="6">
      <c r="A6" s="238" t="s">
        <v>44</v>
      </c>
      <c r="B6" s="241">
        <v>0.0</v>
      </c>
      <c r="C6" s="230">
        <v>0.0</v>
      </c>
      <c r="D6" s="242">
        <v>0.0</v>
      </c>
      <c r="E6" s="241">
        <v>0.0</v>
      </c>
      <c r="F6" s="230">
        <v>0.0</v>
      </c>
      <c r="G6" s="230">
        <v>0.0</v>
      </c>
      <c r="H6" s="230">
        <v>0.0</v>
      </c>
      <c r="I6" s="230">
        <v>0.0</v>
      </c>
      <c r="J6" s="230">
        <v>0.0</v>
      </c>
      <c r="K6" s="242">
        <v>0.0</v>
      </c>
      <c r="L6" s="241">
        <v>0.0</v>
      </c>
      <c r="M6" s="230">
        <v>0.0</v>
      </c>
      <c r="N6" s="230">
        <v>0.0</v>
      </c>
      <c r="O6" s="230">
        <v>0.0</v>
      </c>
      <c r="P6" s="230">
        <v>0.0</v>
      </c>
      <c r="Q6" s="230">
        <v>0.0</v>
      </c>
      <c r="R6" s="242">
        <v>0.0</v>
      </c>
      <c r="S6" s="241">
        <v>0.0</v>
      </c>
      <c r="T6" s="230">
        <v>0.0</v>
      </c>
      <c r="U6" s="230">
        <v>0.0</v>
      </c>
      <c r="V6" s="230">
        <v>0.0</v>
      </c>
      <c r="W6" s="230">
        <v>0.0</v>
      </c>
      <c r="X6" s="230">
        <v>0.0</v>
      </c>
      <c r="Y6" s="242">
        <v>0.0</v>
      </c>
      <c r="Z6" s="241">
        <v>0.0</v>
      </c>
      <c r="AA6" s="230">
        <v>0.0</v>
      </c>
      <c r="AB6" s="230">
        <v>0.0</v>
      </c>
      <c r="AC6" s="230">
        <v>0.0</v>
      </c>
      <c r="AD6" s="230">
        <v>0.0</v>
      </c>
      <c r="AE6" s="242">
        <v>0.0</v>
      </c>
    </row>
    <row r="7">
      <c r="A7" s="238" t="s">
        <v>43</v>
      </c>
      <c r="B7" s="241">
        <v>0.0</v>
      </c>
      <c r="C7" s="230">
        <v>0.0</v>
      </c>
      <c r="D7" s="242">
        <v>0.0</v>
      </c>
      <c r="E7" s="241">
        <v>0.0</v>
      </c>
      <c r="F7" s="230">
        <v>0.0</v>
      </c>
      <c r="G7" s="230">
        <v>0.0</v>
      </c>
      <c r="H7" s="230">
        <v>0.0</v>
      </c>
      <c r="I7" s="230">
        <v>0.0</v>
      </c>
      <c r="J7" s="230">
        <v>0.0</v>
      </c>
      <c r="K7" s="242">
        <v>0.0</v>
      </c>
      <c r="L7" s="241">
        <v>0.0</v>
      </c>
      <c r="M7" s="230">
        <v>0.0</v>
      </c>
      <c r="N7" s="230">
        <v>0.0</v>
      </c>
      <c r="O7" s="230">
        <v>0.0</v>
      </c>
      <c r="P7" s="230">
        <v>0.0</v>
      </c>
      <c r="Q7" s="230">
        <v>0.0</v>
      </c>
      <c r="R7" s="242">
        <v>0.0</v>
      </c>
      <c r="S7" s="241">
        <v>0.0</v>
      </c>
      <c r="T7" s="230">
        <v>0.0</v>
      </c>
      <c r="U7" s="230">
        <v>0.0</v>
      </c>
      <c r="V7" s="230">
        <v>0.0</v>
      </c>
      <c r="W7" s="230">
        <v>0.0</v>
      </c>
      <c r="X7" s="230">
        <v>0.0</v>
      </c>
      <c r="Y7" s="242">
        <v>0.0</v>
      </c>
      <c r="Z7" s="241">
        <v>0.0</v>
      </c>
      <c r="AA7" s="230">
        <v>0.0</v>
      </c>
      <c r="AB7" s="230">
        <v>0.0</v>
      </c>
      <c r="AC7" s="230">
        <v>0.0</v>
      </c>
      <c r="AD7" s="230">
        <v>0.0</v>
      </c>
      <c r="AE7" s="242">
        <v>0.0</v>
      </c>
    </row>
    <row r="8">
      <c r="A8" s="238" t="s">
        <v>53</v>
      </c>
      <c r="B8" s="241">
        <v>12.0</v>
      </c>
      <c r="C8" s="230">
        <v>13.0</v>
      </c>
      <c r="D8" s="242">
        <v>12.0</v>
      </c>
      <c r="E8" s="241">
        <v>12.0</v>
      </c>
      <c r="F8" s="230">
        <v>13.0</v>
      </c>
      <c r="G8" s="230">
        <v>10.0</v>
      </c>
      <c r="H8" s="230">
        <v>10.0</v>
      </c>
      <c r="I8" s="230">
        <v>12.0</v>
      </c>
      <c r="J8" s="230">
        <v>13.0</v>
      </c>
      <c r="K8" s="242">
        <v>12.0</v>
      </c>
      <c r="L8" s="241">
        <v>12.0</v>
      </c>
      <c r="M8" s="230">
        <v>13.0</v>
      </c>
      <c r="N8" s="230">
        <v>10.0</v>
      </c>
      <c r="O8" s="230">
        <v>10.0</v>
      </c>
      <c r="P8" s="230">
        <v>12.0</v>
      </c>
      <c r="Q8" s="230">
        <v>13.0</v>
      </c>
      <c r="R8" s="242">
        <v>12.0</v>
      </c>
      <c r="S8" s="241">
        <v>12.0</v>
      </c>
      <c r="T8" s="230">
        <v>13.0</v>
      </c>
      <c r="U8" s="230">
        <v>10.0</v>
      </c>
      <c r="V8" s="230">
        <v>10.0</v>
      </c>
      <c r="W8" s="230">
        <v>12.0</v>
      </c>
      <c r="X8" s="230">
        <v>13.0</v>
      </c>
      <c r="Y8" s="242">
        <v>12.0</v>
      </c>
      <c r="Z8" s="241">
        <v>12.0</v>
      </c>
      <c r="AA8" s="230">
        <v>13.0</v>
      </c>
      <c r="AB8" s="230">
        <v>10.0</v>
      </c>
      <c r="AC8" s="230">
        <v>10.0</v>
      </c>
      <c r="AD8" s="230">
        <v>12.0</v>
      </c>
      <c r="AE8" s="242">
        <v>13.0</v>
      </c>
    </row>
    <row r="9">
      <c r="A9" s="238" t="s">
        <v>48</v>
      </c>
      <c r="B9" s="241">
        <v>0.0</v>
      </c>
      <c r="C9" s="230">
        <v>0.0</v>
      </c>
      <c r="D9" s="242">
        <v>0.0</v>
      </c>
      <c r="E9" s="241">
        <v>1.0</v>
      </c>
      <c r="F9" s="230">
        <v>0.0</v>
      </c>
      <c r="G9" s="230">
        <v>3.0</v>
      </c>
      <c r="H9" s="230">
        <v>4.0</v>
      </c>
      <c r="I9" s="230">
        <v>2.0</v>
      </c>
      <c r="J9" s="230">
        <v>2.0</v>
      </c>
      <c r="K9" s="242">
        <v>3.0</v>
      </c>
      <c r="L9" s="241">
        <v>1.0</v>
      </c>
      <c r="M9" s="230">
        <v>0.0</v>
      </c>
      <c r="N9" s="230">
        <v>1.0</v>
      </c>
      <c r="O9" s="230">
        <v>3.0</v>
      </c>
      <c r="P9" s="230">
        <v>2.0</v>
      </c>
      <c r="Q9" s="230">
        <v>2.0</v>
      </c>
      <c r="R9" s="242">
        <v>2.0</v>
      </c>
      <c r="S9" s="241">
        <v>2.0</v>
      </c>
      <c r="T9" s="230">
        <v>1.0</v>
      </c>
      <c r="U9" s="230">
        <v>1.0</v>
      </c>
      <c r="V9" s="230">
        <v>4.0</v>
      </c>
      <c r="W9" s="230">
        <v>3.0</v>
      </c>
      <c r="X9" s="230">
        <v>1.0</v>
      </c>
      <c r="Y9" s="242">
        <v>2.0</v>
      </c>
      <c r="Z9" s="241">
        <v>2.0</v>
      </c>
      <c r="AA9" s="230">
        <v>2.0</v>
      </c>
      <c r="AB9" s="230">
        <v>6.0</v>
      </c>
      <c r="AC9" s="230">
        <v>2.0</v>
      </c>
      <c r="AD9" s="230">
        <v>1.0</v>
      </c>
      <c r="AE9" s="242">
        <v>1.0</v>
      </c>
    </row>
    <row r="10">
      <c r="A10" s="238" t="s">
        <v>49</v>
      </c>
      <c r="B10" s="241">
        <v>3.0</v>
      </c>
      <c r="C10" s="230">
        <v>2.0</v>
      </c>
      <c r="D10" s="242">
        <v>4.0</v>
      </c>
      <c r="E10" s="241">
        <v>2.0</v>
      </c>
      <c r="F10" s="230">
        <v>3.0</v>
      </c>
      <c r="G10" s="230">
        <v>1.0</v>
      </c>
      <c r="H10" s="230">
        <v>2.0</v>
      </c>
      <c r="I10" s="230">
        <v>1.0</v>
      </c>
      <c r="J10" s="230">
        <v>0.0</v>
      </c>
      <c r="K10" s="242">
        <v>1.0</v>
      </c>
      <c r="L10" s="241">
        <v>2.0</v>
      </c>
      <c r="M10" s="230">
        <v>3.0</v>
      </c>
      <c r="N10" s="230">
        <v>3.0</v>
      </c>
      <c r="O10" s="230">
        <v>2.0</v>
      </c>
      <c r="P10" s="230">
        <v>1.0</v>
      </c>
      <c r="Q10" s="230">
        <v>0.0</v>
      </c>
      <c r="R10" s="242">
        <v>2.0</v>
      </c>
      <c r="S10" s="241">
        <v>2.0</v>
      </c>
      <c r="T10" s="230">
        <v>2.0</v>
      </c>
      <c r="U10" s="230">
        <v>4.0</v>
      </c>
      <c r="V10" s="230">
        <v>0.0</v>
      </c>
      <c r="W10" s="230">
        <v>0.0</v>
      </c>
      <c r="X10" s="230">
        <v>1.0</v>
      </c>
      <c r="Y10" s="242">
        <v>2.0</v>
      </c>
      <c r="Z10" s="241">
        <v>2.0</v>
      </c>
      <c r="AA10" s="230">
        <v>1.0</v>
      </c>
      <c r="AB10" s="230">
        <v>0.0</v>
      </c>
      <c r="AC10" s="230">
        <v>2.0</v>
      </c>
      <c r="AD10" s="230">
        <v>2.0</v>
      </c>
      <c r="AE10" s="242">
        <v>1.0</v>
      </c>
    </row>
    <row r="11">
      <c r="A11" s="243" t="s">
        <v>183</v>
      </c>
      <c r="B11" s="244">
        <v>26.0</v>
      </c>
      <c r="C11" s="245">
        <v>26.0</v>
      </c>
      <c r="D11" s="246">
        <v>25.0</v>
      </c>
      <c r="E11" s="244">
        <v>26.0</v>
      </c>
      <c r="F11" s="245">
        <v>25.0</v>
      </c>
      <c r="G11" s="245">
        <v>27.0</v>
      </c>
      <c r="H11" s="245">
        <v>25.0</v>
      </c>
      <c r="I11" s="245">
        <v>26.0</v>
      </c>
      <c r="J11" s="245">
        <v>26.0</v>
      </c>
      <c r="K11" s="246">
        <v>25.0</v>
      </c>
      <c r="L11" s="244">
        <v>26.0</v>
      </c>
      <c r="M11" s="245">
        <v>25.0</v>
      </c>
      <c r="N11" s="245">
        <v>27.0</v>
      </c>
      <c r="O11" s="245">
        <v>26.0</v>
      </c>
      <c r="P11" s="245">
        <v>26.0</v>
      </c>
      <c r="Q11" s="245">
        <v>26.0</v>
      </c>
      <c r="R11" s="246">
        <v>25.0</v>
      </c>
      <c r="S11" s="244">
        <v>25.0</v>
      </c>
      <c r="T11" s="245">
        <v>25.0</v>
      </c>
      <c r="U11" s="245">
        <v>26.0</v>
      </c>
      <c r="V11" s="245">
        <v>27.0</v>
      </c>
      <c r="W11" s="245">
        <v>26.0</v>
      </c>
      <c r="X11" s="245">
        <v>26.0</v>
      </c>
      <c r="Y11" s="246">
        <v>25.0</v>
      </c>
      <c r="Z11" s="244">
        <v>25.0</v>
      </c>
      <c r="AA11" s="245">
        <v>25.0</v>
      </c>
      <c r="AB11" s="245">
        <v>25.0</v>
      </c>
      <c r="AC11" s="245">
        <v>27.0</v>
      </c>
      <c r="AD11" s="245">
        <v>26.0</v>
      </c>
      <c r="AE11" s="246">
        <v>26.0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247" t="s">
        <v>273</v>
      </c>
      <c r="C1" s="247" t="s">
        <v>274</v>
      </c>
    </row>
    <row r="2">
      <c r="A2" s="161" t="s">
        <v>67</v>
      </c>
      <c r="B2" s="164">
        <v>46272.0</v>
      </c>
      <c r="C2" s="161" t="s">
        <v>275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